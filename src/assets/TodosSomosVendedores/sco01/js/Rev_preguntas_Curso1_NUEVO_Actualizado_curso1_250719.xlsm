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C:\Users\Lenovo T480\Desktop\"/>
    </mc:Choice>
  </mc:AlternateContent>
  <xr:revisionPtr revIDLastSave="0" documentId="13_ncr:1_{FECF0235-010D-4747-8483-FF7832F9BBF8}" xr6:coauthVersionLast="43" xr6:coauthVersionMax="43" xr10:uidLastSave="{00000000-0000-0000-0000-000000000000}"/>
  <bookViews>
    <workbookView xWindow="-120" yWindow="-120" windowWidth="20730" windowHeight="11160" xr2:uid="{00000000-000D-0000-FFFF-FFFF00000000}"/>
  </bookViews>
  <sheets>
    <sheet name="Preguntas 3 tests FINAL_v1" sheetId="9" r:id="rId1"/>
    <sheet name="Tema 1" sheetId="16" r:id="rId2"/>
    <sheet name="Tema 2" sheetId="17" r:id="rId3"/>
    <sheet name="Tema 3" sheetId="18" r:id="rId4"/>
    <sheet name="Tema 4" sheetId="19" r:id="rId5"/>
    <sheet name="Tema 5" sheetId="20" r:id="rId6"/>
    <sheet name="Eval Domain Owner" sheetId="13" state="hidden" r:id="rId7"/>
    <sheet name="Eval SubDomain  SMEs" sheetId="14" state="hidden" r:id="rId8"/>
    <sheet name="NO SE QUE ES ESTE TAB" sheetId="15" state="hidden" r:id="rId9"/>
  </sheets>
  <definedNames>
    <definedName name="_xlnm._FilterDatabase" localSheetId="0" hidden="1">'Preguntas 3 tests FINAL_v1'!$A$2:$U$207</definedName>
    <definedName name="Z_E79D1D05_9F65_4414_A4D1_ED3DAE422003_.wvu.FilterData" localSheetId="6" hidden="1">'Eval Domain Owner'!$A$1:$I$129</definedName>
    <definedName name="Z_E79D1D05_9F65_4414_A4D1_ED3DAE422003_.wvu.FilterData" localSheetId="7" hidden="1">'Eval SubDomain  SMEs'!$A$1:$M$159</definedName>
  </definedNames>
  <calcPr calcId="191029"/>
  <customWorkbookViews>
    <customWorkbookView name="Filtro 4" guid="{3445A2BE-16C2-44C6-BCA5-EEFCD91AFF21}" maximized="1" windowWidth="0" windowHeight="0" activeSheetId="0"/>
    <customWorkbookView name="Filtro 5" guid="{4E17505F-4C12-47D2-B639-F1C412C1B6BB}" maximized="1" windowWidth="0" windowHeight="0" activeSheetId="0"/>
    <customWorkbookView name="Filtro 6" guid="{E8EDA9C7-A2B3-4824-A830-79912FE78799}" maximized="1" windowWidth="0" windowHeight="0" activeSheetId="0"/>
    <customWorkbookView name="Filtro 7" guid="{50E3FB63-9058-4352-8E6E-647301CD34DC}" maximized="1" windowWidth="0" windowHeight="0" activeSheetId="0"/>
    <customWorkbookView name="Filtro 1" guid="{E79D1D05-9F65-4414-A4D1-ED3DAE422003}" maximized="1" windowWidth="0" windowHeight="0" activeSheetId="0"/>
    <customWorkbookView name="Filtro 2" guid="{A8439AD7-E020-4935-9927-AAA8CB2EAD3D}" maximized="1" windowWidth="0" windowHeight="0" activeSheetId="0"/>
    <customWorkbookView name="Filtro 3" guid="{8C2621F3-E9CA-4D7E-B34D-A7272AD52BD6}"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59" i="14" l="1"/>
  <c r="J159" i="14"/>
  <c r="E159" i="14"/>
  <c r="M158" i="14"/>
  <c r="J158" i="14"/>
  <c r="E158" i="14"/>
  <c r="M157" i="14"/>
  <c r="J157" i="14"/>
  <c r="E157" i="14"/>
  <c r="M156" i="14"/>
  <c r="J156" i="14"/>
  <c r="E156" i="14"/>
  <c r="M155" i="14"/>
  <c r="J155" i="14"/>
  <c r="E155" i="14"/>
  <c r="M154" i="14"/>
  <c r="J154" i="14"/>
  <c r="E154" i="14"/>
  <c r="M153" i="14"/>
  <c r="J153" i="14"/>
  <c r="E153" i="14"/>
  <c r="M152" i="14"/>
  <c r="J152" i="14"/>
  <c r="E152" i="14"/>
  <c r="M151" i="14"/>
  <c r="J151" i="14"/>
  <c r="E151" i="14"/>
  <c r="M150" i="14"/>
  <c r="J150" i="14"/>
  <c r="E150" i="14"/>
  <c r="M149" i="14"/>
  <c r="J149" i="14"/>
  <c r="E149" i="14"/>
  <c r="M148" i="14"/>
  <c r="J148" i="14"/>
  <c r="E148" i="14"/>
  <c r="M147" i="14"/>
  <c r="J147" i="14"/>
  <c r="E147" i="14"/>
  <c r="M146" i="14"/>
  <c r="J146" i="14"/>
  <c r="E146" i="14"/>
  <c r="M145" i="14"/>
  <c r="J145" i="14"/>
  <c r="E145" i="14"/>
  <c r="M144" i="14"/>
  <c r="J144" i="14"/>
  <c r="E144" i="14"/>
  <c r="M143" i="14"/>
  <c r="J143" i="14"/>
  <c r="E143" i="14"/>
  <c r="M142" i="14"/>
  <c r="J142" i="14"/>
  <c r="E142" i="14"/>
  <c r="M141" i="14"/>
  <c r="J141" i="14"/>
  <c r="E141" i="14"/>
  <c r="M140" i="14"/>
  <c r="J140" i="14"/>
  <c r="E140" i="14"/>
  <c r="M139" i="14"/>
  <c r="J139" i="14"/>
  <c r="E139" i="14"/>
  <c r="M138" i="14"/>
  <c r="J138" i="14"/>
  <c r="E138" i="14"/>
  <c r="M137" i="14"/>
  <c r="J137" i="14"/>
  <c r="E137" i="14"/>
  <c r="M136" i="14"/>
  <c r="J136" i="14"/>
  <c r="E136" i="14"/>
  <c r="M135" i="14"/>
  <c r="J135" i="14"/>
  <c r="E135" i="14"/>
  <c r="M134" i="14"/>
  <c r="J134" i="14"/>
  <c r="E134" i="14"/>
  <c r="M133" i="14"/>
  <c r="J133" i="14"/>
  <c r="E133" i="14"/>
  <c r="M132" i="14"/>
  <c r="J132" i="14"/>
  <c r="E132" i="14"/>
  <c r="M131" i="14"/>
  <c r="J131" i="14"/>
  <c r="E131" i="14"/>
  <c r="M130" i="14"/>
  <c r="J130" i="14"/>
  <c r="E130" i="14"/>
  <c r="M129" i="14"/>
  <c r="J129" i="14"/>
  <c r="E129" i="14"/>
  <c r="M128" i="14"/>
  <c r="J128" i="14"/>
  <c r="E128" i="14"/>
  <c r="M127" i="14"/>
  <c r="J127" i="14"/>
  <c r="E127" i="14"/>
  <c r="M126" i="14"/>
  <c r="J126" i="14"/>
  <c r="E126" i="14"/>
  <c r="M125" i="14"/>
  <c r="J125" i="14"/>
  <c r="E125" i="14"/>
  <c r="M124" i="14"/>
  <c r="J124" i="14"/>
  <c r="E124" i="14"/>
  <c r="M123" i="14"/>
  <c r="J123" i="14"/>
  <c r="E123" i="14"/>
  <c r="M122" i="14"/>
  <c r="J122" i="14"/>
  <c r="E122" i="14"/>
  <c r="M121" i="14"/>
  <c r="J121" i="14"/>
  <c r="E121" i="14"/>
  <c r="M120" i="14"/>
  <c r="J120" i="14"/>
  <c r="E120" i="14"/>
  <c r="M119" i="14"/>
  <c r="J119" i="14"/>
  <c r="E119" i="14"/>
  <c r="M118" i="14"/>
  <c r="J118" i="14"/>
  <c r="E118" i="14"/>
  <c r="M117" i="14"/>
  <c r="J117" i="14"/>
  <c r="E117" i="14"/>
  <c r="M116" i="14"/>
  <c r="J116" i="14"/>
  <c r="E116" i="14"/>
  <c r="M115" i="14"/>
  <c r="J115" i="14"/>
  <c r="E115" i="14"/>
  <c r="M114" i="14"/>
  <c r="J114" i="14"/>
  <c r="E114" i="14"/>
  <c r="M113" i="14"/>
  <c r="J113" i="14"/>
  <c r="E113" i="14"/>
  <c r="M112" i="14"/>
  <c r="J112" i="14"/>
  <c r="E112" i="14"/>
  <c r="M111" i="14"/>
  <c r="J111" i="14"/>
  <c r="E111" i="14"/>
  <c r="M110" i="14"/>
  <c r="J110" i="14"/>
  <c r="E110" i="14"/>
  <c r="M109" i="14"/>
  <c r="J109" i="14"/>
  <c r="E109" i="14"/>
  <c r="M108" i="14"/>
  <c r="J108" i="14"/>
  <c r="E108" i="14"/>
  <c r="M107" i="14"/>
  <c r="J107" i="14"/>
  <c r="E107" i="14"/>
  <c r="M106" i="14"/>
  <c r="J106" i="14"/>
  <c r="E106" i="14"/>
  <c r="M105" i="14"/>
  <c r="J105" i="14"/>
  <c r="E105" i="14"/>
  <c r="M104" i="14"/>
  <c r="J104" i="14"/>
  <c r="E104" i="14"/>
  <c r="M103" i="14"/>
  <c r="J103" i="14"/>
  <c r="E103" i="14"/>
  <c r="M102" i="14"/>
  <c r="J102" i="14"/>
  <c r="E102" i="14"/>
  <c r="M101" i="14"/>
  <c r="J101" i="14"/>
  <c r="E101" i="14"/>
  <c r="M100" i="14"/>
  <c r="J100" i="14"/>
  <c r="E100" i="14"/>
  <c r="M99" i="14"/>
  <c r="J99" i="14"/>
  <c r="E99" i="14"/>
  <c r="M98" i="14"/>
  <c r="J98" i="14"/>
  <c r="E98" i="14"/>
  <c r="M97" i="14"/>
  <c r="J97" i="14"/>
  <c r="E97" i="14"/>
  <c r="M96" i="14"/>
  <c r="J96" i="14"/>
  <c r="E96" i="14"/>
  <c r="M95" i="14"/>
  <c r="J95" i="14"/>
  <c r="E95" i="14"/>
  <c r="M94" i="14"/>
  <c r="J94" i="14"/>
  <c r="E94" i="14"/>
  <c r="M93" i="14"/>
  <c r="J93" i="14"/>
  <c r="E93" i="14"/>
  <c r="M92" i="14"/>
  <c r="J92" i="14"/>
  <c r="E92" i="14"/>
  <c r="M91" i="14"/>
  <c r="J91" i="14"/>
  <c r="E91" i="14"/>
  <c r="M90" i="14"/>
  <c r="J90" i="14"/>
  <c r="E90" i="14"/>
  <c r="M89" i="14"/>
  <c r="J89" i="14"/>
  <c r="E89" i="14"/>
  <c r="M88" i="14"/>
  <c r="J88" i="14"/>
  <c r="E88" i="14"/>
  <c r="M87" i="14"/>
  <c r="J87" i="14"/>
  <c r="E87" i="14"/>
  <c r="M86" i="14"/>
  <c r="J86" i="14"/>
  <c r="E86" i="14"/>
  <c r="M85" i="14"/>
  <c r="J85" i="14"/>
  <c r="E85" i="14"/>
  <c r="M84" i="14"/>
  <c r="J84" i="14"/>
  <c r="E84" i="14"/>
  <c r="M83" i="14"/>
  <c r="J83" i="14"/>
  <c r="E83" i="14"/>
  <c r="M82" i="14"/>
  <c r="J82" i="14"/>
  <c r="E82" i="14"/>
  <c r="M81" i="14"/>
  <c r="J81" i="14"/>
  <c r="E81" i="14"/>
  <c r="M80" i="14"/>
  <c r="J80" i="14"/>
  <c r="E80" i="14"/>
  <c r="M79" i="14"/>
  <c r="J79" i="14"/>
  <c r="E79" i="14"/>
  <c r="M78" i="14"/>
  <c r="J78" i="14"/>
  <c r="E78" i="14"/>
  <c r="M77" i="14"/>
  <c r="J77" i="14"/>
  <c r="E77" i="14"/>
  <c r="M76" i="14"/>
  <c r="J76" i="14"/>
  <c r="E76" i="14"/>
  <c r="M75" i="14"/>
  <c r="J75" i="14"/>
  <c r="E75" i="14"/>
  <c r="M74" i="14"/>
  <c r="J74" i="14"/>
  <c r="E74" i="14"/>
  <c r="M73" i="14"/>
  <c r="J73" i="14"/>
  <c r="E73" i="14"/>
  <c r="M72" i="14"/>
  <c r="J72" i="14"/>
  <c r="E72" i="14"/>
  <c r="M71" i="14"/>
  <c r="J71" i="14"/>
  <c r="E71" i="14"/>
  <c r="M70" i="14"/>
  <c r="J70" i="14"/>
  <c r="E70" i="14"/>
  <c r="M69" i="14"/>
  <c r="J69" i="14"/>
  <c r="E69" i="14"/>
  <c r="M68" i="14"/>
  <c r="J68" i="14"/>
  <c r="E68" i="14"/>
  <c r="M67" i="14"/>
  <c r="J67" i="14"/>
  <c r="E67" i="14"/>
  <c r="M66" i="14"/>
  <c r="J66" i="14"/>
  <c r="E66" i="14"/>
  <c r="M65" i="14"/>
  <c r="J65" i="14"/>
  <c r="E65" i="14"/>
  <c r="M64" i="14"/>
  <c r="J64" i="14"/>
  <c r="E64" i="14"/>
  <c r="M63" i="14"/>
  <c r="J63" i="14"/>
  <c r="E63" i="14"/>
  <c r="M62" i="14"/>
  <c r="J62" i="14"/>
  <c r="E62" i="14"/>
  <c r="M61" i="14"/>
  <c r="J61" i="14"/>
  <c r="E61" i="14"/>
  <c r="M60" i="14"/>
  <c r="J60" i="14"/>
  <c r="E60" i="14"/>
  <c r="M59" i="14"/>
  <c r="J59" i="14"/>
  <c r="E59" i="14"/>
  <c r="M58" i="14"/>
  <c r="J58" i="14"/>
  <c r="E58" i="14"/>
  <c r="M57" i="14"/>
  <c r="J57" i="14"/>
  <c r="E57" i="14"/>
  <c r="M56" i="14"/>
  <c r="J56" i="14"/>
  <c r="E56" i="14"/>
  <c r="M55" i="14"/>
  <c r="J55" i="14"/>
  <c r="E55" i="14"/>
  <c r="M54" i="14"/>
  <c r="J54" i="14"/>
  <c r="E54" i="14"/>
  <c r="M53" i="14"/>
  <c r="J53" i="14"/>
  <c r="E53" i="14"/>
  <c r="M52" i="14"/>
  <c r="J52" i="14"/>
  <c r="E52" i="14"/>
  <c r="M51" i="14"/>
  <c r="J51" i="14"/>
  <c r="E51" i="14"/>
  <c r="M50" i="14"/>
  <c r="J50" i="14"/>
  <c r="E50" i="14"/>
  <c r="M49" i="14"/>
  <c r="J49" i="14"/>
  <c r="E49" i="14"/>
  <c r="M48" i="14"/>
  <c r="J48" i="14"/>
  <c r="E48" i="14"/>
  <c r="M47" i="14"/>
  <c r="J47" i="14"/>
  <c r="E47" i="14"/>
  <c r="M46" i="14"/>
  <c r="J46" i="14"/>
  <c r="E46" i="14"/>
  <c r="M45" i="14"/>
  <c r="J45" i="14"/>
  <c r="E45" i="14"/>
  <c r="M44" i="14"/>
  <c r="J44" i="14"/>
  <c r="E44" i="14"/>
  <c r="M43" i="14"/>
  <c r="J43" i="14"/>
  <c r="E43" i="14"/>
  <c r="M42" i="14"/>
  <c r="J42" i="14"/>
  <c r="E42" i="14"/>
  <c r="M41" i="14"/>
  <c r="J41" i="14"/>
  <c r="E41" i="14"/>
  <c r="M40" i="14"/>
  <c r="J40" i="14"/>
  <c r="E40" i="14"/>
  <c r="M39" i="14"/>
  <c r="J39" i="14"/>
  <c r="E39" i="14"/>
  <c r="M38" i="14"/>
  <c r="J38" i="14"/>
  <c r="E38" i="14"/>
  <c r="M37" i="14"/>
  <c r="J37" i="14"/>
  <c r="E37" i="14"/>
  <c r="M36" i="14"/>
  <c r="J36" i="14"/>
  <c r="E36" i="14"/>
  <c r="M35" i="14"/>
  <c r="J35" i="14"/>
  <c r="E35" i="14"/>
  <c r="M34" i="14"/>
  <c r="J34" i="14"/>
  <c r="E34" i="14"/>
  <c r="M33" i="14"/>
  <c r="J33" i="14"/>
  <c r="E33" i="14"/>
  <c r="M32" i="14"/>
  <c r="J32" i="14"/>
  <c r="E32" i="14"/>
  <c r="M31" i="14"/>
  <c r="J31" i="14"/>
  <c r="E31" i="14"/>
  <c r="M30" i="14"/>
  <c r="J30" i="14"/>
  <c r="E30" i="14"/>
  <c r="M29" i="14"/>
  <c r="J29" i="14"/>
  <c r="E29" i="14"/>
  <c r="M28" i="14"/>
  <c r="J28" i="14"/>
  <c r="E28" i="14"/>
  <c r="M27" i="14"/>
  <c r="J27" i="14"/>
  <c r="E27" i="14"/>
  <c r="M26" i="14"/>
  <c r="J26" i="14"/>
  <c r="E26" i="14"/>
  <c r="M25" i="14"/>
  <c r="J25" i="14"/>
  <c r="E25" i="14"/>
  <c r="M24" i="14"/>
  <c r="J24" i="14"/>
  <c r="E24" i="14"/>
  <c r="M23" i="14"/>
  <c r="J23" i="14"/>
  <c r="E23" i="14"/>
  <c r="M22" i="14"/>
  <c r="J22" i="14"/>
  <c r="E22" i="14"/>
  <c r="M21" i="14"/>
  <c r="J21" i="14"/>
  <c r="E21" i="14"/>
  <c r="M20" i="14"/>
  <c r="J20" i="14"/>
  <c r="E20" i="14"/>
  <c r="M19" i="14"/>
  <c r="J19" i="14"/>
  <c r="E19" i="14"/>
  <c r="M18" i="14"/>
  <c r="J18" i="14"/>
  <c r="E18" i="14"/>
  <c r="M17" i="14"/>
  <c r="J17" i="14"/>
  <c r="E17" i="14"/>
  <c r="M16" i="14"/>
  <c r="J16" i="14"/>
  <c r="E16" i="14"/>
  <c r="M15" i="14"/>
  <c r="J15" i="14"/>
  <c r="E15" i="14"/>
  <c r="M14" i="14"/>
  <c r="J14" i="14"/>
  <c r="E14" i="14"/>
  <c r="M13" i="14"/>
  <c r="J13" i="14"/>
  <c r="E13" i="14"/>
  <c r="M12" i="14"/>
  <c r="J12" i="14"/>
  <c r="E12" i="14"/>
  <c r="M11" i="14"/>
  <c r="J11" i="14"/>
  <c r="E11" i="14"/>
  <c r="M10" i="14"/>
  <c r="J10" i="14"/>
  <c r="E10" i="14"/>
  <c r="M9" i="14"/>
  <c r="J9" i="14"/>
  <c r="E9" i="14"/>
  <c r="M8" i="14"/>
  <c r="J8" i="14"/>
  <c r="E8" i="14"/>
  <c r="M7" i="14"/>
  <c r="J7" i="14"/>
  <c r="E7" i="14"/>
  <c r="M6" i="14"/>
  <c r="J6" i="14"/>
  <c r="E6" i="14"/>
  <c r="M5" i="14"/>
  <c r="J5" i="14"/>
  <c r="E5" i="14"/>
  <c r="M4" i="14"/>
  <c r="J4" i="14"/>
  <c r="E4" i="14"/>
  <c r="M3" i="14"/>
  <c r="J3" i="14"/>
  <c r="E3" i="14"/>
  <c r="M2" i="14"/>
  <c r="J2" i="14"/>
  <c r="E2" i="14"/>
  <c r="I129" i="13"/>
  <c r="E129" i="13"/>
  <c r="I128" i="13"/>
  <c r="E128" i="13"/>
  <c r="I127" i="13"/>
  <c r="E127" i="13"/>
  <c r="I126" i="13"/>
  <c r="E126" i="13"/>
  <c r="I125" i="13"/>
  <c r="E125" i="13"/>
  <c r="I124" i="13"/>
  <c r="E124" i="13"/>
  <c r="I123" i="13"/>
  <c r="E123" i="13"/>
  <c r="I122" i="13"/>
  <c r="E122" i="13"/>
  <c r="I121" i="13"/>
  <c r="E121" i="13"/>
  <c r="I120" i="13"/>
  <c r="E120" i="13"/>
  <c r="I119" i="13"/>
  <c r="E119" i="13"/>
  <c r="I118" i="13"/>
  <c r="E118" i="13"/>
  <c r="I117" i="13"/>
  <c r="E117" i="13"/>
  <c r="I116" i="13"/>
  <c r="E116" i="13"/>
  <c r="I115" i="13"/>
  <c r="E115" i="13"/>
  <c r="I114" i="13"/>
  <c r="E114" i="13"/>
  <c r="I113" i="13"/>
  <c r="E113" i="13"/>
  <c r="I112" i="13"/>
  <c r="E112" i="13"/>
  <c r="I111" i="13"/>
  <c r="E111" i="13"/>
  <c r="I110" i="13"/>
  <c r="E110" i="13"/>
  <c r="I109" i="13"/>
  <c r="E109" i="13"/>
  <c r="I108" i="13"/>
  <c r="E108" i="13"/>
  <c r="I107" i="13"/>
  <c r="E107" i="13"/>
  <c r="I106" i="13"/>
  <c r="E106" i="13"/>
  <c r="I105" i="13"/>
  <c r="E105" i="13"/>
  <c r="I104" i="13"/>
  <c r="E104" i="13"/>
  <c r="I103" i="13"/>
  <c r="E103" i="13"/>
  <c r="I102" i="13"/>
  <c r="E102" i="13"/>
  <c r="I101" i="13"/>
  <c r="E101" i="13"/>
  <c r="I100" i="13"/>
  <c r="E100" i="13"/>
  <c r="I99" i="13"/>
  <c r="E99" i="13"/>
  <c r="I98" i="13"/>
  <c r="E98" i="13"/>
  <c r="I97" i="13"/>
  <c r="E97" i="13"/>
  <c r="I96" i="13"/>
  <c r="E96" i="13"/>
  <c r="I95" i="13"/>
  <c r="E95" i="13"/>
  <c r="I94" i="13"/>
  <c r="E94" i="13"/>
  <c r="I93" i="13"/>
  <c r="E93" i="13"/>
  <c r="I92" i="13"/>
  <c r="E92" i="13"/>
  <c r="I91" i="13"/>
  <c r="E91" i="13"/>
  <c r="I90" i="13"/>
  <c r="E90" i="13"/>
  <c r="I89" i="13"/>
  <c r="E89" i="13"/>
  <c r="I88" i="13"/>
  <c r="E88" i="13"/>
  <c r="I87" i="13"/>
  <c r="E87" i="13"/>
  <c r="I86" i="13"/>
  <c r="E86" i="13"/>
  <c r="I85" i="13"/>
  <c r="E85" i="13"/>
  <c r="I84" i="13"/>
  <c r="E84" i="13"/>
  <c r="I83" i="13"/>
  <c r="E83" i="13"/>
  <c r="I82" i="13"/>
  <c r="E82" i="13"/>
  <c r="I81" i="13"/>
  <c r="E81" i="13"/>
  <c r="I80" i="13"/>
  <c r="E80" i="13"/>
  <c r="I79" i="13"/>
  <c r="E79" i="13"/>
  <c r="I78" i="13"/>
  <c r="E78" i="13"/>
  <c r="I77" i="13"/>
  <c r="E77" i="13"/>
  <c r="I76" i="13"/>
  <c r="E76" i="13"/>
  <c r="I75" i="13"/>
  <c r="E75" i="13"/>
  <c r="I74" i="13"/>
  <c r="E74" i="13"/>
  <c r="I73" i="13"/>
  <c r="E73" i="13"/>
  <c r="I72" i="13"/>
  <c r="E72" i="13"/>
  <c r="I71" i="13"/>
  <c r="E71" i="13"/>
  <c r="I70" i="13"/>
  <c r="E70" i="13"/>
  <c r="I69" i="13"/>
  <c r="E69" i="13"/>
  <c r="I68" i="13"/>
  <c r="E68" i="13"/>
  <c r="I67" i="13"/>
  <c r="E67" i="13"/>
  <c r="I66" i="13"/>
  <c r="E66" i="13"/>
  <c r="I65" i="13"/>
  <c r="E65" i="13"/>
  <c r="I64" i="13"/>
  <c r="E64" i="13"/>
  <c r="I63" i="13"/>
  <c r="E63" i="13"/>
  <c r="I62" i="13"/>
  <c r="E62" i="13"/>
  <c r="I61" i="13"/>
  <c r="E61" i="13"/>
  <c r="I60" i="13"/>
  <c r="E60" i="13"/>
  <c r="I59" i="13"/>
  <c r="E59" i="13"/>
  <c r="I58" i="13"/>
  <c r="E58" i="13"/>
  <c r="I57" i="13"/>
  <c r="E57" i="13"/>
  <c r="I56" i="13"/>
  <c r="E56" i="13"/>
  <c r="I55" i="13"/>
  <c r="E55" i="13"/>
  <c r="I54" i="13"/>
  <c r="E54" i="13"/>
  <c r="I53" i="13"/>
  <c r="E53" i="13"/>
  <c r="I52" i="13"/>
  <c r="E52" i="13"/>
  <c r="I51" i="13"/>
  <c r="E51" i="13"/>
  <c r="I50" i="13"/>
  <c r="E50" i="13"/>
  <c r="I49" i="13"/>
  <c r="E49" i="13"/>
  <c r="I48" i="13"/>
  <c r="E48" i="13"/>
  <c r="I47" i="13"/>
  <c r="E47" i="13"/>
  <c r="I46" i="13"/>
  <c r="E46" i="13"/>
  <c r="I45" i="13"/>
  <c r="E45" i="13"/>
  <c r="I44" i="13"/>
  <c r="E44" i="13"/>
  <c r="I43" i="13"/>
  <c r="E43" i="13"/>
  <c r="I42" i="13"/>
  <c r="E42" i="13"/>
  <c r="I41" i="13"/>
  <c r="E41" i="13"/>
  <c r="I40" i="13"/>
  <c r="E40" i="13"/>
  <c r="I39" i="13"/>
  <c r="E39" i="13"/>
  <c r="I38" i="13"/>
  <c r="E38" i="13"/>
  <c r="I37" i="13"/>
  <c r="E37" i="13"/>
  <c r="I36" i="13"/>
  <c r="E36" i="13"/>
  <c r="I35" i="13"/>
  <c r="E35" i="13"/>
  <c r="I34" i="13"/>
  <c r="E34" i="13"/>
  <c r="I33" i="13"/>
  <c r="E33" i="13"/>
  <c r="I32" i="13"/>
  <c r="E32" i="13"/>
  <c r="I31" i="13"/>
  <c r="E31" i="13"/>
  <c r="I30" i="13"/>
  <c r="E30" i="13"/>
  <c r="I29" i="13"/>
  <c r="E29" i="13"/>
  <c r="I28" i="13"/>
  <c r="E28" i="13"/>
  <c r="I27" i="13"/>
  <c r="E27" i="13"/>
  <c r="I26" i="13"/>
  <c r="E26" i="13"/>
  <c r="I25" i="13"/>
  <c r="E25" i="13"/>
  <c r="I24" i="13"/>
  <c r="E24" i="13"/>
  <c r="I23" i="13"/>
  <c r="E23" i="13"/>
  <c r="I22" i="13"/>
  <c r="E22" i="13"/>
  <c r="I21" i="13"/>
  <c r="E21" i="13"/>
  <c r="I20" i="13"/>
  <c r="E20" i="13"/>
  <c r="I19" i="13"/>
  <c r="E19" i="13"/>
  <c r="I18" i="13"/>
  <c r="E18" i="13"/>
  <c r="I17" i="13"/>
  <c r="E17" i="13"/>
  <c r="I16" i="13"/>
  <c r="E16" i="13"/>
  <c r="I15" i="13"/>
  <c r="E15" i="13"/>
  <c r="I14" i="13"/>
  <c r="E14" i="13"/>
  <c r="I13" i="13"/>
  <c r="E13" i="13"/>
  <c r="I12" i="13"/>
  <c r="E12" i="13"/>
  <c r="I11" i="13"/>
  <c r="E11" i="13"/>
  <c r="I10" i="13"/>
  <c r="E10" i="13"/>
  <c r="I9" i="13"/>
  <c r="E9" i="13"/>
  <c r="I8" i="13"/>
  <c r="E8" i="13"/>
  <c r="I7" i="13"/>
  <c r="E7" i="13"/>
  <c r="I6" i="13"/>
  <c r="E6" i="13"/>
  <c r="I5" i="13"/>
  <c r="E5" i="13"/>
  <c r="I4" i="13"/>
  <c r="E4" i="13"/>
  <c r="I3" i="13"/>
  <c r="E3" i="13"/>
  <c r="I2" i="13"/>
  <c r="E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31" authorId="0" shapeId="0" xr:uid="{00000000-0006-0000-00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E32" authorId="0" shapeId="0" xr:uid="{00000000-0006-0000-00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 ref="E33" authorId="0" shapeId="0" xr:uid="{00000000-0006-0000-0000-000003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E36" authorId="0" shapeId="0" xr:uid="{00000000-0006-0000-0000-000004000000}">
      <text>
        <r>
          <rPr>
            <sz val="10"/>
            <color rgb="FF000000"/>
            <rFont val="Arial"/>
            <family val="2"/>
          </rPr>
          <t>no incluir
	-ALBA DIAZ GOMEZ</t>
        </r>
      </text>
    </comment>
    <comment ref="E65" authorId="0" shapeId="0" xr:uid="{00000000-0006-0000-0000-000005000000}">
      <text>
        <r>
          <rPr>
            <sz val="10"/>
            <color rgb="FF000000"/>
            <rFont val="Arial"/>
            <family val="2"/>
          </rPr>
          <t>+maria.casin@bbva.com me parece un punto importante a dejar. Apuntando a que en el to-be realmente sólo ellos deberían poder.
	-MARCELO CARRANDI ESMENJAUD</t>
        </r>
      </text>
    </comment>
    <comment ref="E96" authorId="0" shapeId="0" xr:uid="{00000000-0006-0000-0000-000006000000}">
      <text>
        <r>
          <rPr>
            <sz val="10"/>
            <color rgb="FF000000"/>
            <rFont val="Arial"/>
            <family val="2"/>
          </rPr>
          <t>Creo que la respuesta puede ser mas amplia (Domail lead, subdomian, ....) y muy particular por Dominio. Al menos por rol no está definido como tal.
En los roles como responsabilidad del domain lead está:"Coordinar la correcta transición ante cambios de personas en el dominio (alta de nuevos Data Owners, bajas, traspasos, etc)" por si queréis incluir ésto
	-MARIA CASIN PEROSANZ
En MP México hay un capítulo de transciciones donde el DOw previo da ese hand-over. Pienso que es uno de los roles con los que debería cumplir. Porque además no es como que el Domain le va a dar el hand-over
	-MARCELO CARRANDI ESMENJAUD</t>
        </r>
      </text>
    </comment>
    <comment ref="E97" authorId="0" shapeId="0" xr:uid="{00000000-0006-0000-0000-000007000000}">
      <text>
        <r>
          <rPr>
            <sz val="10"/>
            <color rgb="FF000000"/>
            <rFont val="Arial"/>
            <family val="2"/>
          </rPr>
          <t>Igual que anterior
	-MARIA CASIN PEROSANZ</t>
        </r>
      </text>
    </comment>
    <comment ref="E171" authorId="0" shapeId="0" xr:uid="{00000000-0006-0000-0000-000008000000}">
      <text>
        <r>
          <rPr>
            <sz val="10"/>
            <color rgb="FF000000"/>
            <rFont val="Arial"/>
            <family val="2"/>
          </rPr>
          <t>Yo pondría mas subdomain y doamin lead, pero no está defnido como tal por responsabilidad
	-MARIA CASIN PEROSANZ
Hoy en día no hay un botón de validación de SubDomain. Mantendría sólo del Domain.
	-MARCELO CARRANDI ESMENJAUD</t>
        </r>
      </text>
    </comment>
    <comment ref="E180" authorId="0" shapeId="0" xr:uid="{00000000-0006-0000-0000-000009000000}">
      <text>
        <r>
          <rPr>
            <sz val="10"/>
            <color rgb="FF000000"/>
            <rFont val="Arial"/>
            <family val="2"/>
          </rPr>
          <t>mismo comentario que en línea 265, esperaría a que los roles estén actualizados
	-MARIA CASIN PEROSANZ
EL proceso está ya bastante comprado en los pasos y los R&amp;R. Prefiero mantenerlo y que se vaya interiorizando
	-MARCELO CARRANDI ESMENJAUD</t>
        </r>
      </text>
    </comment>
    <comment ref="E187" authorId="0" shapeId="0" xr:uid="{00000000-0006-0000-0000-00000A000000}">
      <text>
        <r>
          <rPr>
            <sz val="10"/>
            <color rgb="FF000000"/>
            <rFont val="Arial"/>
            <family val="2"/>
          </rPr>
          <t>Mismo comentario que en la siguiente
	-MARIA CASIN PEROSANZ</t>
        </r>
      </text>
    </comment>
    <comment ref="E188" authorId="0" shapeId="0" xr:uid="{00000000-0006-0000-0000-00000B000000}">
      <text>
        <r>
          <rPr>
            <sz val="10"/>
            <color rgb="FF000000"/>
            <rFont val="Arial"/>
            <family val="2"/>
          </rPr>
          <t>Esta esperaría a que esté incluido en la última versión de responsabilidades que está pública en el site. +alba.diaz.gomez@bbva.com , ¿te han dado fecha en la que estén actualizados los roles?
_Asignada a ALBA DIAZ GOMEZ_
	-MARIA CASIN PEROSANZ
Esta semana estarán actualizados
	-ALBA DIAZ GOMEZ</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400-000001000000}">
      <text>
        <r>
          <rPr>
            <sz val="10"/>
            <color rgb="FF000000"/>
            <rFont val="Arial"/>
            <family val="2"/>
          </rPr>
          <t>no incluir
	-ALBA DIAZ GOMEZ
Entiendo punto que no está en manuales, pero me parece un elemento importante en el modelo, en especial con lo que hemos aprendido. Quizá incluso haría challenge que sí debería mantenerse en los manuales.
	-MARCELO CARRANDI ESMENJAUD
actualmente no se pide a los data owners que documenten en la herramienta el SoR.
	-ALBA DIAZ GOMEZ</t>
        </r>
      </text>
    </comment>
    <comment ref="E55" authorId="0" shapeId="0" xr:uid="{3B8501C7-08A7-4D8A-85D4-24F9E0256A8C}">
      <text>
        <r>
          <rPr>
            <sz val="10"/>
            <color rgb="FF000000"/>
            <rFont val="Arial"/>
            <family val="2"/>
          </rPr>
          <t>no incluir
	-ALBA DIAZ GOMEZ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8" authorId="0" shapeId="0" xr:uid="{00000000-0006-0000-0500-000001000000}">
      <text>
        <r>
          <rPr>
            <sz val="10"/>
            <color rgb="FF000000"/>
            <rFont val="Arial"/>
            <family val="2"/>
          </rPr>
          <t>no incluiría esta pregunta
	-ALBA DIAZ GOMEZ
¿Porqué? Me parece funciona para que quede claro qué es el MP y qué no es MP
	-MARCELO CARRANDI ESMENJAUD
los bloques del MP pueden cambiar y evolucionar en el tiempo, además, no se encuentra detallado en ningún manual que esos tengan que ser los bloques.
	-ALBA DIAZ GOMEZ</t>
        </r>
      </text>
    </comment>
    <comment ref="E9" authorId="0" shapeId="0" xr:uid="{00000000-0006-0000-0500-000002000000}">
      <text>
        <r>
          <rPr>
            <sz val="10"/>
            <color rgb="FF000000"/>
            <rFont val="Arial"/>
            <family val="2"/>
          </rPr>
          <t>Esta no la incluiría
	-MARIA CASIN PEROSANZ
Creo que es importante, porque son los 4 tipos de iniciativas del Plan. De hecho me faltaría agregarla. ¿Qué te parece?
	-MARCELO CARRANDI ESMENJAUD
Creo que la tipología de iniativas puede evolucionar en el tiempo ya que los planes son vivos, de ahí mi comentario
	-MARIA CASIN PEROSANZ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700-000001000000}">
      <text>
        <r>
          <rPr>
            <sz val="10"/>
            <color rgb="FF000000"/>
            <rFont val="Arial"/>
            <family val="2"/>
          </rPr>
          <t>que se pide identificar. las entidades de explotacion y las dimensiones de explotación
	-luisa.prieto
una u otra en el ejercicio
	-MARCELO CARRANDI ESMENJAUD</t>
        </r>
      </text>
    </comment>
    <comment ref="D29" authorId="0" shapeId="0" xr:uid="{00000000-0006-0000-0700-000002000000}">
      <text>
        <r>
          <rPr>
            <sz val="10"/>
            <color rgb="FF000000"/>
            <rFont val="Arial"/>
            <family val="2"/>
          </rPr>
          <t>estas preguntas de "a que principio corresponde este tipo de regla" - pudieran ser de relacionar columnas Relaciona el tipo de regla a su principio
	-luisa.prieto</t>
        </r>
      </text>
    </comment>
    <comment ref="D64" authorId="0" shapeId="0" xr:uid="{00000000-0006-0000-0700-000003000000}">
      <text>
        <r>
          <rPr>
            <sz val="10"/>
            <color rgb="FF000000"/>
            <rFont val="Arial"/>
            <family val="2"/>
          </rPr>
          <t>los verbos será - ponerlos como en presente "tipo es el responsable"...
	-luisa.prieto</t>
        </r>
      </text>
    </comment>
    <comment ref="D69" authorId="0" shapeId="0" xr:uid="{00000000-0006-0000-0700-000004000000}">
      <text>
        <r>
          <rPr>
            <sz val="10"/>
            <color rgb="FF000000"/>
            <rFont val="Arial"/>
            <family val="2"/>
          </rPr>
          <t>puedes elegir 2 opciones - yo pondría - seleccionar 2 opciones.. para uqe sepan que son hasta 2 opciones la respuesta correcta..
	-luisa.prieto</t>
        </r>
      </text>
    </comment>
    <comment ref="D75" authorId="0" shapeId="0" xr:uid="{00000000-0006-0000-0700-000005000000}">
      <text>
        <r>
          <rPr>
            <sz val="10"/>
            <color rgb="FF000000"/>
            <rFont val="Arial"/>
            <family val="2"/>
          </rPr>
          <t>falta la pregunta como es responsabilidad de _____ fomentar la cultura etc.
	-luisa.prieto
o es "fomenta la cultura...
	-luisa.prieto</t>
        </r>
      </text>
    </comment>
    <comment ref="D79" authorId="0" shapeId="0" xr:uid="{00000000-0006-0000-0700-000006000000}">
      <text>
        <r>
          <rPr>
            <sz val="10"/>
            <color rgb="FF000000"/>
            <rFont val="Arial"/>
            <family val="2"/>
          </rPr>
          <t>idem la de arriba - fomenta la cultura
	-luisa.prieto</t>
        </r>
      </text>
    </comment>
    <comment ref="D80" authorId="0" shapeId="0" xr:uid="{00000000-0006-0000-0700-000007000000}">
      <text>
        <r>
          <rPr>
            <sz val="10"/>
            <color rgb="FF000000"/>
            <rFont val="Arial"/>
            <family val="2"/>
          </rPr>
          <t>pondría el "En caso de que el Data Owner cambiara"...
	-luisa.prieto</t>
        </r>
      </text>
    </comment>
    <comment ref="D81" authorId="0" shapeId="0" xr:uid="{00000000-0006-0000-0700-000008000000}">
      <text>
        <r>
          <rPr>
            <sz val="10"/>
            <color rgb="FF000000"/>
            <rFont val="Arial"/>
            <family val="2"/>
          </rPr>
          <t>cambiaría la palabra hand-over por otra palabra.. no se si entrega...
	-luisa.prieto</t>
        </r>
      </text>
    </comment>
    <comment ref="D99" authorId="0" shapeId="0" xr:uid="{00000000-0006-0000-0700-000009000000}">
      <text>
        <r>
          <rPr>
            <sz val="10"/>
            <color rgb="FF000000"/>
            <rFont val="Arial"/>
            <family val="2"/>
          </rPr>
          <t>documentación en donde?
	-luisa.prieto</t>
        </r>
      </text>
    </comment>
  </commentList>
</comments>
</file>

<file path=xl/sharedStrings.xml><?xml version="1.0" encoding="utf-8"?>
<sst xmlns="http://schemas.openxmlformats.org/spreadsheetml/2006/main" count="10904" uniqueCount="5672">
  <si>
    <t>Roles</t>
  </si>
  <si>
    <t>Dominio</t>
  </si>
  <si>
    <t>SME</t>
  </si>
  <si>
    <t>Domain Owner</t>
  </si>
  <si>
    <t>No</t>
  </si>
  <si>
    <t>DPM</t>
  </si>
  <si>
    <t>Domain Lead</t>
  </si>
  <si>
    <t>Si</t>
  </si>
  <si>
    <t>Data Owner</t>
  </si>
  <si>
    <t>Rol evaluado</t>
  </si>
  <si>
    <t>Elemento del Modelo</t>
  </si>
  <si>
    <t>Respuesta</t>
  </si>
  <si>
    <t>Parte del Test</t>
  </si>
  <si>
    <t>Tipo de pregunta</t>
  </si>
  <si>
    <t>Suceptible a cambios del Modelo</t>
  </si>
  <si>
    <t>Sección del Módulo</t>
  </si>
  <si>
    <t>Governance Model Theory</t>
  </si>
  <si>
    <t>Data Content</t>
  </si>
  <si>
    <t>¿Cuál es la diferencia entre un Data Source y un Trusted Data source?</t>
  </si>
  <si>
    <t>a) Es la marcada por el Data Owner como la Data Source válida y fiable - CORRECTA
b) Es la dictaminada por Data Hub
c) Es la validad por el SubDomain y Domain Owner
d) Es la documentada en la herramienta de Governance</t>
  </si>
  <si>
    <t>¡Muy bien! La diferencia entre un Data Source y un Trusted Data source es la marcada por el Data Owner como la Data Source válida y fiable.</t>
  </si>
  <si>
    <t>¡Oh no! Recuerda que la diferencia entre un Data Source y un Trusted Data source es la marcada por el Data Owner como la Data Source válida y fiable.</t>
  </si>
  <si>
    <t>SI</t>
  </si>
  <si>
    <t>Opción Múltiple</t>
  </si>
  <si>
    <t>CORE</t>
  </si>
  <si>
    <t>Content</t>
  </si>
  <si>
    <t>Master Plan</t>
  </si>
  <si>
    <t>¿Qué es una Iniciativa Core del Master Plan?</t>
  </si>
  <si>
    <t>a) Iniciativas prioritarias para el Dominio; impulsadas por Holding o localmente por el Domain Owner o SubDomain Owner - CORRECTO
b) Iniciativas prioritarias que requieren apoyo de más de un Dominio para su ejecución
c) Iniciativas identificadas por Data Portfolio Manager (DPM)
d) Iniciativas cuyo objetivo es migrar información a DATIO</t>
  </si>
  <si>
    <t>¡Muy bien! Una Iniciativa Core del Master Plan son iniciativas prioritarias para el Dominio; impulsadas por Holding o localmente por el Domain Owner o SubDomain Owner.</t>
  </si>
  <si>
    <t>¡Oh no! Recuerda que una Iniciativa Core del Master Plan son iniciativas prioritarias para el Dominio; impulsadas por Holding o localmente por el Domain Owner o SubDomain Owner.</t>
  </si>
  <si>
    <t>M901728</t>
  </si>
  <si>
    <t>M824602</t>
  </si>
  <si>
    <t>Componentes del Modelo</t>
  </si>
  <si>
    <t>Es la pieza angular de la organización para la correcta implantación de un gobierno de los datos adecuado</t>
  </si>
  <si>
    <t>SubDomain Owner</t>
  </si>
  <si>
    <t>a) Data Owner - CORRECTO
b) SubDomain Owner
c) Facilitador (Domain Lead)
d) Domain Owner</t>
  </si>
  <si>
    <t>M815164</t>
  </si>
  <si>
    <t>MB79583</t>
  </si>
  <si>
    <t>M901729</t>
  </si>
  <si>
    <t>M843173</t>
  </si>
  <si>
    <t>Data quality</t>
  </si>
  <si>
    <t>¿Para qué queremos mejorar la calidad de los datos?</t>
  </si>
  <si>
    <t>M907602</t>
  </si>
  <si>
    <t>M50270</t>
  </si>
  <si>
    <t>M51869</t>
  </si>
  <si>
    <t>¡Muy bien! Queremos mejorar la calidad de los datos para tomar mejores decisiones, mejorar el día a día (menor limpieza de datos) y generar confianza en la organización.</t>
  </si>
  <si>
    <t>¡Oh no! Recuerda que queremos mejorar la calidad de los datos para tomar mejores decisiones, mejorar el día a día (menor limpieza de datos) y generar confianza en la organización.</t>
  </si>
  <si>
    <t>Calidad</t>
  </si>
  <si>
    <t>MA30985</t>
  </si>
  <si>
    <t>¿Qué es una Iniciativa Transversal del Master Plan?</t>
  </si>
  <si>
    <t>a) Iniciativas prioritarias para el Dominio; impulsadas por Holding o localmente por el Domain Owner o SubDomain Owner
b) Iniciativas prioritarias que requieren apoyo de más de un Dominio para su ejecución - CORRECTO
c) Iniciativas identificadas por Data Portfolio Manager (DPM)
d) Iniciativas cuyo objetivo es migrar información a DATIO</t>
  </si>
  <si>
    <t>¡Muy bien! Una Iniciativa Transversal del Master Plan son iniciativas prioritarias que requieren apoyo de más de un Dominio para su ejecución.</t>
  </si>
  <si>
    <t>¡Oh no! Recuerda que una Iniciativa Transversal del Master Plan son iniciativas prioritarias que requieren apoyo de más de un Dominio para su ejecución.</t>
  </si>
  <si>
    <t>M842925</t>
  </si>
  <si>
    <t>Relaciona los 4 conceptos del Modelo de Data Governance con sus definiciones.</t>
  </si>
  <si>
    <t>M904194</t>
  </si>
  <si>
    <t>MB61118</t>
  </si>
  <si>
    <t>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</si>
  <si>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¡Muy bien!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</si>
  <si>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¡Oh no! Recuerda que las definiciones de los 4 conceptos del Modelo de Data Governance son:
1) Content - Asegurar que todas las entidades conceptuales, dimensiones, entidades de explotación (usos), y entidades físicas asociadas, cuentan con una adecuada definición en un diccionario de datos homogéneos
2) Quality - mejorar la calidad de los datos que se generan, gestionan y usan en el Grupo
3) Lineage - documentar la localización y trazabilidad de los datos, a través del conocimiento de sus procesos de transformación y usos de los mismos
4) Availability - promover la accesibilidad de los datos utilizados por cada Data owner, impulsando que todos ellos se encuentren disponibles para el resto de la organización en infraestructuras corporativas</t>
  </si>
  <si>
    <t>Relacionar columnas</t>
  </si>
  <si>
    <t>Sí, se han modificado ligeramente</t>
  </si>
  <si>
    <t>E018425</t>
  </si>
  <si>
    <t>DOM</t>
  </si>
  <si>
    <t>¿Quién es el responsable de supervisar y garantizar la gestión de las deudas de gobierno y su calidad? (Debes elegir más de una)</t>
  </si>
  <si>
    <t>M57986</t>
  </si>
  <si>
    <t>M46124</t>
  </si>
  <si>
    <t>¡Muy bien! Los responsables de supervisar y garantizar la gestión de las deudas de gobierno y su calidad son el Domain Owner y el Facilitador (Domain Lead).</t>
  </si>
  <si>
    <t>M825235</t>
  </si>
  <si>
    <t>¡Oh no! Recuerda que los responsables de supervisar y garantizar la gestión de las deudas de gobierno y su calidad son el Domain Owner y el Facilitador (Domain Lead).</t>
  </si>
  <si>
    <t>MB07366</t>
  </si>
  <si>
    <t>Deuda de Gobierno</t>
  </si>
  <si>
    <t>M342003</t>
  </si>
  <si>
    <t>M8776</t>
  </si>
  <si>
    <t>M48212</t>
  </si>
  <si>
    <t>El muestro de calidad es un proceso a partir del cual, el DPM valida que la información dentro de la herramienta de gobierno es coherente.</t>
  </si>
  <si>
    <t>Verdadero</t>
  </si>
  <si>
    <t>Falso</t>
  </si>
  <si>
    <t>¡Muy bien! La respuesta es falso. El muestreo de calidad es una responsabilidad del SubDomain y Domain Owner.</t>
  </si>
  <si>
    <t>¡Oh no! Recuerda que la respuesta es falso. El muestreo de calidad es una responsabilidad del SubDomain y Domain Owner.</t>
  </si>
  <si>
    <t>V/F</t>
  </si>
  <si>
    <t>Implementación</t>
  </si>
  <si>
    <t>M46888</t>
  </si>
  <si>
    <t>M824645</t>
  </si>
  <si>
    <t>MH00830</t>
  </si>
  <si>
    <t>MB78902</t>
  </si>
  <si>
    <t>Función / Estrategia</t>
  </si>
  <si>
    <t>M818235</t>
  </si>
  <si>
    <t>UO89893</t>
  </si>
  <si>
    <t>MB06562</t>
  </si>
  <si>
    <t>Un Dominio de datos es una agrupación lógica de datos relacionados que puede abarcar un área completa o un conjunto de datos específicos.</t>
  </si>
  <si>
    <t>M817030</t>
  </si>
  <si>
    <t>M818067</t>
  </si>
  <si>
    <t>M50327</t>
  </si>
  <si>
    <t>M55096</t>
  </si>
  <si>
    <t>Data Quality</t>
  </si>
  <si>
    <t>Relaciona los 6 principios de calidad con sus definiciones.</t>
  </si>
  <si>
    <t>U215329</t>
  </si>
  <si>
    <t>alberto.nieto@bbva.com</t>
  </si>
  <si>
    <t>MH03469</t>
  </si>
  <si>
    <t>M55670</t>
  </si>
  <si>
    <t>1) Disponibilidad - Valores de los datos deben estar actualizados / refrescados / presentes en el repositorio que los almacena según lo acordado
2) Completitud - Valores de los datos deben estar informados (tener un valor) para la totalidad del perímetro requerido (número de registros apropiados)
3) Validez - Valores de los datos son los adecuados para su uso: formato, longitud, valores permitidos, etc.
4) Consistencia - Valores de un mismo dato son coherentes entre sí, en un determinado momento del tiempo, tanto en el propio repositorio que lo almacena como respecto al resto de sistemas involucrados
5) Integridad - Valores de los datos relacionados entre sí cumplen las reglas de negocio relativas a los mismos en un determinado momento del tiempo (comparaciones entre datos relacionados)
6) Precisión - Valores de los datos corresponden al valor esperado con un alto nivel de certeza</t>
  </si>
  <si>
    <t>¡Muy bien!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</si>
  <si>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¡Oh no! Recuerda que las definiciones de los 6 principios son: 
1) Disponibilidad. Valores de los datos deben estar actualizados / refrescados / presentes en el repositorio que los almacena según lo acordado
2) Completitud. Valores de los datos deben estar informados (tener un valor) para la totalidad del perímetro requerido (número de registros apropiados)
3) Validez. Valores de los datos son los adecuados para su uso: formato, longitud, valores permitidos, etc.
4) Consistencia. Valores de un mismo dato son coherentes entre sí, en un determinado momento del tiempo, tanto en el propio repositorio que lo almacena como respecto al resto de sistemas involucrados
5) Integridad. Valores de los datos relacionados entre sí cumplen las reglas de negocio relativas a los mismos en un determinado momento del tiempo (comparaciones entre datos relacionados)
6) Precisión. Valores de los datos corresponden al valor esperado con un alto nivel de certeza</t>
  </si>
  <si>
    <t>La función de Data Governance define e implementa los estándares, controles y mejores prácticas relativos a la gestión de datos, garantizando su alineación con la estrategia del Grupo.</t>
  </si>
  <si>
    <t>Una regla de calidad experta es necesaria para incorporar la lógica funcional y la definición intrínseca de los datos.</t>
  </si>
  <si>
    <t>Una entidad conceptual en zona gris ya tiene identificados los posibles Dominios pero aún no hay acuerdo entre ellos sobre quién es dueño de esa entidad.</t>
  </si>
  <si>
    <t>Lo habitual es que para cada entidad conceptual existan varias entidades de explotación.</t>
  </si>
  <si>
    <t>Las reglas de calidad son definidas para entidades conceptuales.</t>
  </si>
  <si>
    <t>¿Cuál es el objetivo último del Master Plan México y de los Dominios?</t>
  </si>
  <si>
    <t>a) Tener un mapeo completo de las iniciativas de datos
b) Asignar recursos necesarios para ejecutar temas de datos
c) Mejorar progresivamente el gobierno de los datos del dominio - CORRECTO</t>
  </si>
  <si>
    <t>¡Muy bien! El objetivo último del Master Plan México y de los Dominios es mejorar progresivamente el gobierno de los datos del dominio.</t>
  </si>
  <si>
    <t>¡Oh no! Recuerda que el objetivo último del Master Plan México y de los Dominios es mejorar progresivamente el gobierno de los datos del dominio.</t>
  </si>
  <si>
    <t>Opción múltiple</t>
  </si>
  <si>
    <t>¿Cuál de las siguientes afirmaciones es la verdadera?</t>
  </si>
  <si>
    <t>¡Muy bien! La afirmación, No sólo es importante medir calidad sino implantar controles, es la verdadera.</t>
  </si>
  <si>
    <t>¡Oh no! Recuerda que la afirmación, No sólo es importante medir calidad sino implantar controles, es la verdadera.</t>
  </si>
  <si>
    <t>Relaciona los siguientes conceptos de entidades con su definición.</t>
  </si>
  <si>
    <t>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</si>
  <si>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¡Muy bien!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</si>
  <si>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¡Oh no! Recuerda que la definición de cada concepto de entidad es: 
1) Entidad Conceptual - Concepto asociado a los datos que la organización usa/genera en sus procesos de negocio y que requiere el establecimiento de un responsable
2) Dimensión de Explotación - Formas/visiones en las que la organización expresa y explica sus datos
3) Entidad Explotación - Uso relevante de los datos, que se generan utilizando una o varias dimensiones
4) Entidad Física - Representación de la entidad de explotación en los diferentes aplicativos en los que reside, es decir, en qué sistema, en qué tablas y en qué campos físicos de los mismos se encuentra</t>
  </si>
  <si>
    <t>En Sophia, ¿cuáles son los objetivos de las catas / muestreos del llenado?</t>
  </si>
  <si>
    <t>a) Validar completitud en el llenado
b) Validar la calidad de la información documentada
c) Validar la validez desde el punto de vista del negocio
d) Todos los anteriores - CORRECTO</t>
  </si>
  <si>
    <t>¡Muy bien! En Sophia, los objetivos de las catas / muestreos del llenado son:
a) Validar completitud en el llenado
b) Validar la calidad de la información documentada
c) Validar la validez desde el punto de vista del negocio</t>
  </si>
  <si>
    <t>¡Oh no! Recuerda que en Sophia, los objetivos de las catas / muestreos del llenado son:
a) Validar completitud en el llenado
b) Validar la calidad de la información documentada
c) Validar la validez desde el punto de vista del negocio</t>
  </si>
  <si>
    <t>Una regla de calidad es un control definido y operativizado que contribuye a que el dato cumpla con la calidad requerida.</t>
  </si>
  <si>
    <t>No incluir</t>
  </si>
  <si>
    <t>En el siguiente ejemplo, identifica cuáles son las entidades de explotación y cuáles las dimensiones de explotación.</t>
  </si>
  <si>
    <t>1) Dimensiones de Explotación - Contrato / País / Tipo de Riesgo / Grupo empresarial
2) Entidades de Explotación - APRs por contrato / APRs por país de procedencia / APRs por tipo de riesgo / APRs por grupo empresarial</t>
  </si>
  <si>
    <t>¡Muy bien! Las Dimensiones de Explotación son contrato, País, Tipo de Riesgo y Grupo empresarial. Las Entidades de Explotación son APRs por contrato, APRs por país de procedencia, APRs por tipo de riesgo y APRs por grupo empresarial.</t>
  </si>
  <si>
    <t>¡Oh no! Recuerda que las Dimensiones de Explotación son contrato, País, Tipo de Riesgo y Grupo empresarial. Las Entidades de Explotación son APRs por contrato, APRs por país de procedencia, APRs por tipo de riesgo y APRs por grupo empresarial.</t>
  </si>
  <si>
    <t>columnas</t>
  </si>
  <si>
    <t>¿Cada cuándo se deberá actualizar el Master Plan del Dominio?</t>
  </si>
  <si>
    <t>a) Mensualmente
b) Trimestralmente - CORRECTO
c) Semestralmente
d) Anualmente</t>
  </si>
  <si>
    <t>¡Muy bien! El Master Plan del Dominio se debe actualizar trimestralmente.</t>
  </si>
  <si>
    <t>¡Oh no! Recuerda que el Master Plan del Dominio se debe actualizar trimestralmente.</t>
  </si>
  <si>
    <t>Una regla de calidad básica requiere del expertise funcional del Data Owner.</t>
  </si>
  <si>
    <t>Una Data Source corporativa es aquella que no es mantenida por Ingeniería.</t>
  </si>
  <si>
    <t>¡Muy bien! La respuesta es falso. Una Data Source corporativa es aquella que es mantenida por Ingeniería.</t>
  </si>
  <si>
    <t>¡Oh no! Recuerda que la respuesta es falso. Una Data Source corporativa es aquella que es mantenida por Ingeniería.</t>
  </si>
  <si>
    <t>¿Cuál opción no es un tipo de iniciativa del Master Plan?</t>
  </si>
  <si>
    <t>a) Mejorar la calidad de datos
b) Automatizar cálculos y procesos
c) Disponibilizar información
d) Ingestar información en DATIO - CORRECTO
e) Implementar Modelo de Gobierno</t>
  </si>
  <si>
    <t>¡Muy bien! Ingestar información en DATIO no es un tipo de iniciativa del Master Plan.</t>
  </si>
  <si>
    <t>¡Oh no! Recuerda que ingestar información en DATIO no es un tipo de iniciativa del Master Plan.</t>
  </si>
  <si>
    <t>Relaciona los 4 conceptos del Modelo de Data Governance y qué es lo que buscan.</t>
  </si>
  <si>
    <t>1) Content - Que el dato sea Entendible
2) Quality - Que el dato sea Confiable
3) Lineage - Que el dato sea Encontrable
4) Availability - Que el dato sea Accesible</t>
  </si>
  <si>
    <t>¡Muy bien!  Lo qué son y lo qué buscan los 4 conceptos del Modelo de Data Governance es:
1) Content - Entendible
2) Quality - Confiable
3) Lineage - Encontrable
4) Availability - Accesible</t>
  </si>
  <si>
    <t>¡Oh no! Recuerda que lo qué son y lo qué buscan los 4 conceptos del Modelo de Data Governance es:
1) Content - Entendible
2) Quality - Confiable
3) Lineage - Encontrable
4) Availability - Accesible</t>
  </si>
  <si>
    <t>¿Dónde se pueden monitorear los resultados de las reglas de calidad implementadas?</t>
  </si>
  <si>
    <t>a) Portal de Calidad - CORRECTO
b) Sophia
c) Site de Data Governance
d) DATIO</t>
  </si>
  <si>
    <t>¡Muy bien! En el Portal de Calidad se pueden monitorear los resultados de las reglas de calidad implementadas.</t>
  </si>
  <si>
    <t>¡Oh no! Recuerda que en el Portal de Calidad se pueden monitorear los resultados de las reglas de calidad implementadas.</t>
  </si>
  <si>
    <t>Un Dominio de datos no es una estructura alineada a la jerarquía organizacional de un área.</t>
  </si>
  <si>
    <t>Una vez que se acuerda a qué Dominio pertenece la entidad conceptual previamente en zona gris, finaliza su proceso de Gobierno.</t>
  </si>
  <si>
    <t>¡Muy bien! La respuesta es falso.  Se debe asignar un Data Owner que la gobierne en la herramienta de Gobierno.</t>
  </si>
  <si>
    <t>¡Oh no! Recuerda que la respuesta es falso. Se debe asignar un Data Owner que la gobierne en la herramienta de Gobierno.</t>
  </si>
  <si>
    <t>¿Quiénes son los máximos conocedores de los datos que manejan, entendiendo el valor que los datos pueden aportar al negocio e identificando nuevas áreas de oportunidad?</t>
  </si>
  <si>
    <t>a) Data Hub
b) Data Owner - CORRECTO
c) SubDomain Owner
d) Subject Matter Expert (SME)</t>
  </si>
  <si>
    <t>¡Muy bien! Los máximos conocedores de los datos que manejan, entendiendo el valor que los datos pueden aportar al negocio e identificando nuevas áreas de oportunidad son los Data Owners.</t>
  </si>
  <si>
    <t>¡Oh no! Recuerda que los máximos conocedores de los datos que manejan, entendiendo el valor que los datos pueden aportar al negocio e identificando nuevas áreas de oportunidad son los Data Owners.</t>
  </si>
  <si>
    <t>Selecciona los 3 atributos que deben cumplir todas las reglas de calidad.</t>
  </si>
  <si>
    <t>a) Cuantificable, Auditable, Produtivizable
b) Certificable, Auditable, Verificable - CORRECTO
c) Verificable, Auditable, Productivizable</t>
  </si>
  <si>
    <t>¡Muy bien! Los 3 atributos que deben cumplir todas las reglas de calidad son certificable, auditable y verificable.</t>
  </si>
  <si>
    <t>¡Oh no! Recuerda que los 3 atributos que deben cumplir todas las reglas de calidad son certificable, auditable y verificable.</t>
  </si>
  <si>
    <t>Un campo físico o entidad conceptual considerado en zona gris es aquel que no se tiene claridad de a qué ________________ pertenence.</t>
  </si>
  <si>
    <t>a) SubDominio
b) Dominio - CORRECTO
c) Ownership</t>
  </si>
  <si>
    <t>¡Muy bien! Un campo físico o entidad conceptual considerado en zona gris es aquel que no se tiene claridad de a qué dominio pertenence.</t>
  </si>
  <si>
    <t>¡Oh no! Recuerda que un campo físico o entidad conceptual considerado en zona gris es aquel que no se tiene claridad de a qué dominio pertenence.</t>
  </si>
  <si>
    <t>a) Iniciativas - CORRECTO
b) Roadmap de Reglas de Calidad - CORRECTO
c) Casos de Uso
d) Modelo de Certificación</t>
  </si>
  <si>
    <t>¡Muy bien! Los bloques del Master Plan México son las Iniciativas y los Roadmap de Reglas de Calidad.</t>
  </si>
  <si>
    <t>¡Oh no! Recuerda que los bloques del Master Plan México son las Iniciativas y los Roadmap de Reglas de Calidad.</t>
  </si>
  <si>
    <t>Un Data Owner Relacionado es el responsable de las entidades de explotación de una entidad conceptual que se generan y aplican en su ámbito.</t>
  </si>
  <si>
    <t>Disponibilidad, Completitud, Validez - CORRECTOS
Consistencia, Integridad, Precisión - INCORRECTOS</t>
  </si>
  <si>
    <t>¡Muy bien! Los principios de calidad incluyen las reglas básicas son disponibilidad, completitud y validez.</t>
  </si>
  <si>
    <t>¡Oh no! Recuerda que los principios de calidad incluyen las reglas básicas son disponibilidad, completitud y validez.</t>
  </si>
  <si>
    <t>NO</t>
  </si>
  <si>
    <t>Disponibilidad, Completitud, Validez - INCORRECTOS
Consistencia, Integridad, Precisión - CORRECTOS</t>
  </si>
  <si>
    <t>¡Muy bien! Los principios de calidad incluyen las reglas expertas son consistencia, integridad y precisión.</t>
  </si>
  <si>
    <t>¡Oh no! Recuerda que los principios de calidad incluyen las reglas expertas son consistencia, integridad y precisión.</t>
  </si>
  <si>
    <t>My role´s responsibilities</t>
  </si>
  <si>
    <t>R&amp;R</t>
  </si>
  <si>
    <t>¿Quién es el responsable de dinamizar el adecuado gobierno de los datos dentro del Dominio?</t>
  </si>
  <si>
    <t>¡Muy bien! El responsable de dinamizar el adecuado gobierno de los datos dentro del Dominio es el Facilitador (Domain Lead).</t>
  </si>
  <si>
    <t>¡Oh no! Recuerda que el responsable de dinamizar el adecuado gobierno de los datos dentro del Dominio es el Facilitador (Domain Lead).</t>
  </si>
  <si>
    <t>Los Subject Matter Expert (SMEs) son figuras que representan a un Domain Owner.</t>
  </si>
  <si>
    <t>No incluido este rol en ningún manual</t>
  </si>
  <si>
    <t>MH00165</t>
  </si>
  <si>
    <t>El Data Owner debe cerrar deudas de gobierno en la herramienta de Data Governance.</t>
  </si>
  <si>
    <t>El Facilitador (Domain Lead) es el responsable de solventar las deudas de gobierno.</t>
  </si>
  <si>
    <t>¿Quién es el responsable de promover la agenda de Data en su Dominio Holding/Geografía?</t>
  </si>
  <si>
    <t>¡Muy bien! El responsable de promover la agenda de Data en su Dominio Holding/Geografía es el Data Portfolio Manager (DPM).</t>
  </si>
  <si>
    <t>¡Oh no! Recuerda que el responsable de promover la agenda de Data en su Dominio Holding/Geografía es el Data Portfolio Manager (DPM).</t>
  </si>
  <si>
    <t>Proficiency in Governance Tool</t>
  </si>
  <si>
    <t>Tópico</t>
  </si>
  <si>
    <t>Pregunta propuesta</t>
  </si>
  <si>
    <t>Catas de Calidad</t>
  </si>
  <si>
    <t>Cada cuánto se deben de hacer catas / muestreo de calidad de la documentación en la herramienta de Data Governance?</t>
  </si>
  <si>
    <t>Estructura de Sophia</t>
  </si>
  <si>
    <t>¿Dónde se puede consultar en la herramienta de Data governance el Data Content y el Data Quality de una entidad?</t>
  </si>
  <si>
    <t>CS</t>
  </si>
  <si>
    <t>Selecciona los 3 atributos que deben cumplir todas las reglas de calidad</t>
  </si>
  <si>
    <t>Foros DOM</t>
  </si>
  <si>
    <t>Un Dominio de datos es una agrupación lógica de datos relacionados que puede abarcar un área completa o un conjunto de datos específicos</t>
  </si>
  <si>
    <t>Un Dominio de datos no es una estructura alineada a la jerarquía organizacional de un área</t>
  </si>
  <si>
    <t>Es el encargado de documentar el Data Content en Sophia</t>
  </si>
  <si>
    <t>¿Quién define funcionalmente las entidades conceptuales y de explotación dentro de un ownership?</t>
  </si>
  <si>
    <t>¡Muy bien! El Data Owner es quien define funcionalmente las entidades conceptuales y de explotación dentro de un ownership.</t>
  </si>
  <si>
    <t>¡Oh no! Recuerda que el Data Owner es quien define funcionalmente las entidades conceptuales y de explotación dentro de un ownership.</t>
  </si>
  <si>
    <t>¿Quién es el responsable de definir las reglas de calidad asociadas a las entidades de explotación?</t>
  </si>
  <si>
    <t>¡Muy bien! El Data Owner es el responsable de definir las reglas de calidad asociadas a las entidades de explotación.</t>
  </si>
  <si>
    <t>¡Oh no! Recuerda que El Data Owner es el responsable de definir las reglas de calidad asociadas a las entidades de explotación.</t>
  </si>
  <si>
    <t>El Data Owner es responsable de identificar el Trusted Data Source de los datos.</t>
  </si>
  <si>
    <t xml:space="preserve">a) Cualquier soporte en el que el usuario mantiene, modifica, transforma y/o calcula datos, considerando desde una herramienta ofimática hasta aplicativos corporativos - CORRECTO
b) Fuente de datos universalmente conocida, válida y fiable para obtener un dato concreto
c) Fuente o sistema de aprovisionamiento considerado como el origen de los datos
</t>
  </si>
  <si>
    <t>SME es responsable de identificar, nombrar y coordinar a los Data Owners dentro de su SubDomain.</t>
  </si>
  <si>
    <t xml:space="preserve">a) Cualquier soporte en el que el usuario mantiene, modifica, transforma y/o calcula datos, considerando desde una herramienta ofimática hasta aplicativos corporativos
b) Fuente de datos universalmente conocida, válida y fiable para obtener un dato concreto - CORRECTO
c) Fuente o sistema de aprovisionamiento considerado como el origen de los datos
</t>
  </si>
  <si>
    <t xml:space="preserve">Se ha matizado a: Fuente de datos fiable, eliminando la palabra 'única' </t>
  </si>
  <si>
    <t>Cuál es la diferencia en un Data Source y un Trusted Data source</t>
  </si>
  <si>
    <t>¿Quién es el responsable de realizar catas/muestreo de la calidad del llenado de los campos en la herramienta de Sophia? (Debes elegir más de una)</t>
  </si>
  <si>
    <t>¡Muy bien! Los responsable de realizar catas/muestreo de la calidad del llenado de los campos en la herramienta de Sophia son el Domain Owner y el SubDomain Owner.</t>
  </si>
  <si>
    <t>¡Oh no! Recuerda que los responsable de realizar catas/muestreo de la calidad del llenado de los campos en la herramienta de Sophia son el Domain Owner y el SubDomain Owner.</t>
  </si>
  <si>
    <t>Se está terminando de definir en el modelo de marco de control</t>
  </si>
  <si>
    <t>¿Quién es el responsable de nombrar al Facilitador (Domain Lead)?</t>
  </si>
  <si>
    <t>¡Muy bien! El responsable de nombrar al Facilitador (Domain Lead) es el Domain Owner.</t>
  </si>
  <si>
    <t>Identifica las entidades de explotación / dimensiones de explotación en este ejemplo</t>
  </si>
  <si>
    <t>¡Oh no! Recuerda que el responsable de nombrar al Facilitador (Domain Lead) es el Domain Owner.</t>
  </si>
  <si>
    <t>¿Quiénes son los responsables de supervisar y validar el avance de los Data Owners en la documentación de los 4 componentes del Modelo de Data Governance? (Debes elegir más de una opción)</t>
  </si>
  <si>
    <t>¡Muy bien! Los responsables de supervisar y validar el avance de los Data Owners en la documentación de los 4 componentes del Modelo de Data Governance son el Domain Owner y el Subdomain Owner.</t>
  </si>
  <si>
    <t>¡Oh no! Recuerda que los responsables de supervisar y validar el avance de los Data Owners en la documentación de los 4 componentes del Modelo de Data Governance son el Domain Owner y el Subdomain Owner.</t>
  </si>
  <si>
    <t>¿Quién es el responsable de realizar catas/muestreo del llenado de los campos en la herramienta de Sophia? (Debes elegir más de una)</t>
  </si>
  <si>
    <t>Relaciona los 6 principios de calidad con sus definiciones</t>
  </si>
  <si>
    <t>¡Muy bien! Los responsables de realizar catas/muestreo del llenado de los campos en la herramienta de Sophia son el Domain Owner y el SubDomain Owner.</t>
  </si>
  <si>
    <t>¡Oh no! Recuerda que los responsables de realizar catas/muestreo del llenado de los campos en la herramienta de Sophia son el Domain Owner y el SubDomain Owner.</t>
  </si>
  <si>
    <t>¿Quién es el responsable de priorizar las líneas de acción identificadas en el Master Plan y asegurar la obtención de recursos para abordarlas?</t>
  </si>
  <si>
    <t>¡Muy bien! El responsable de priorizar las líneas de acción identificadas en el Master Plan y asegurar la obtención de recursos para abordarlas es el Domain Owner.</t>
  </si>
  <si>
    <t>¡Oh no! Recuerda que el responsable de priorizar las líneas de acción identificadas en el Master Plan y asegurar la obtención de recursos para abordarlas es el Domain Owner.</t>
  </si>
  <si>
    <t>¿Quién es el responsable de participar en mesas de asignación de datos con deuda de Gobierno?</t>
  </si>
  <si>
    <t>¡Muy bien! El responsable de participar en mesas de asignación de datos con deuda de Gobierno es el Facilitador (Domain Lead).</t>
  </si>
  <si>
    <t>¡Oh no! Recuerda que el responsable de participar en mesas de asignación de datos con deuda de Gobierno es el Facilitador (Domain Lead).</t>
  </si>
  <si>
    <t>Aún no está incluido en la descripción de roles</t>
  </si>
  <si>
    <t>Una regla de calidad básica requiere del expertise funcional del Data Owner</t>
  </si>
  <si>
    <t>Una regla de calidad experta es necesaria para incorporar la lógica funcional y la definición intrínseca de los datos</t>
  </si>
  <si>
    <t>El Facilitador (Domain Lead) define el contenido, calidad, linaje, disponibilidad de las entidades de datos.</t>
  </si>
  <si>
    <t>Data Lineage</t>
  </si>
  <si>
    <t>Qué elemento del Modelo de Data Governance aún no se está documentando en la herramienta Sophia</t>
  </si>
  <si>
    <t>¿Quién es responsable de validar la información completada por el Data Owner para cada "entidad de datos conceptual" y "entidad de explotación"? (Debes elegir 2 opciones)</t>
  </si>
  <si>
    <t>Una regla de calidad es un control definido y operativizado que contribuye a que el dato cumpla con la calidad requerida</t>
  </si>
  <si>
    <t>¡Muy bien! El SubDomain Owner y el Domain Owner son responsables de validar la información completada por el Data Owner para cada "entidad de datos conceptual" y "entidad de explotación".</t>
  </si>
  <si>
    <t>¡Oh no! Recuerda que el SubDomain Owner y el Domain Owner son responsables de validar la información completada por el Data Owner para cada "entidad de datos conceptual" y "entidad de explotación".</t>
  </si>
  <si>
    <t>Qué es un parámetro de la regla de calidad</t>
  </si>
  <si>
    <t xml:space="preserve">Qué son los umbrales de tolerancia </t>
  </si>
  <si>
    <t>¿Quién es el responsable de definir/adoptar e implementar la estrategia global de datos a nivel global/local, mejorando las capacidades necesarias para garantizar su implementación?</t>
  </si>
  <si>
    <t xml:space="preserve">a) Conjunto de valores que sirven para determinar si el grado de cumplimiento (resultado) de una regla de calidad es o no satisfactorio - CORRECTO
b) Conjunto de atributos que forman parte de la definición de la regla de calidad
c) Cualquier soporte en el que el usuario mantiene, modifica, transforma y/o calcula datos, considerando desde una herramienta ofimática hasta aplicativos corporativos
</t>
  </si>
  <si>
    <t>¡Muy bien! El responsable de definir/adoptar e implementar la estrategia global de datos a nivel global/local, mejorando las capacidades necesarias para garantizar su implementación es el Head of Data.</t>
  </si>
  <si>
    <t>¡Oh no! Recuerda que el responsable de definir/adoptar e implementar la estrategia global de datos a nivel global/local, mejorando las capacidades necesarias para garantizar su implementación es el Head of Data.</t>
  </si>
  <si>
    <t>Cuándo se activa un alerta de calidad</t>
  </si>
  <si>
    <t>¿Quién es el responsable de validar altas y bajas de entidades en la herramienta de Governance?</t>
  </si>
  <si>
    <t>Adopta e implementa la estrategia global de datos en su ámbito de responsabilidad, reforzando las competencias necesarias para la implementación del modelo</t>
  </si>
  <si>
    <t>¡Muy bien! El responsable de validar altas y bajas de entidades en la herramienta de Governance es el Domain Owner.</t>
  </si>
  <si>
    <t>¡Oh no! Recuerda que el responsable de validar altas y bajas de entidades en la herramienta de Governance es el Domain Owner.</t>
  </si>
  <si>
    <t>No incluido en ningún material</t>
  </si>
  <si>
    <t>¿Quién es el responsable de canalizar a Subdomain, SMEs y Data Owners los campos con deuda de gobierno que deban confirmar / rechazar?</t>
  </si>
  <si>
    <t>¡Muy bien! El responsable de canalizar a Subdomain, SMEs y Data Owners los campos con deuda de gobierno que deban confirmar / rechazar es el Facilitador (Domain Lead).</t>
  </si>
  <si>
    <t>¡Oh no! Recuerda que el responsable de canalizar a Subdomain, SMEs y Data Owners los campos con deuda de gobierno que deban confirmar / rechazar es el Facilitador (Domain Lead).</t>
  </si>
  <si>
    <t>Cuándo es necesario que haya Data Owners Primarios y Data Owners Relacionados</t>
  </si>
  <si>
    <t>Data Owner identifica y levanta pain points relacionados con procesos de datos y la operativa diaria.</t>
  </si>
  <si>
    <t>El muestro de calidad es un proceso a partir del cual el DPM valida que la información dentro de la herramienta de gobierno es coherente</t>
  </si>
  <si>
    <t>¿Quién es el responsable de realizar catas / muestreos de la calidad de la documentación en la herramienta Sophia? (Debes elegir 2 opciones)</t>
  </si>
  <si>
    <t>¡Muy bien! El Domain Owner y el  SubDomain Owner son responsables de realizar catas / muestreos de la calidad de la documentación en la herramienta Sophia.</t>
  </si>
  <si>
    <t>¡Oh no! Recuerda que el Domain Owner y el  SubDomain Owner son responsables de realizar catas / muestreos de la calidad de la documentación en la herramienta Sophia.</t>
  </si>
  <si>
    <t>¿Quién es el responsable de identificar e impulsar iniciativas transversales que puedan afectar a más de un Dominio?</t>
  </si>
  <si>
    <t>¡Muy bien! El responsable de identificar e impulsar iniciativas transversales que puedan afectar a más de un Dominio es el Domain Owner.</t>
  </si>
  <si>
    <t>¡Oh no! Recuerda que el responsable de identificar e impulsar iniciativas transversales que puedan afectar a más de un Dominio es el Domain Owner.</t>
  </si>
  <si>
    <t>¿Quién es el responsable de presentar el estatus del Dominio en Country/Management Working Group?</t>
  </si>
  <si>
    <t>¡Muy bien! El responsable de presentar el estatus del Dominio en Country/Management Working Group es el Domain Owner.</t>
  </si>
  <si>
    <t>¡Oh no! Recuerda que el responsable de presentar el estatus del Dominio en Country/Management Working Group es el Domain Owner.</t>
  </si>
  <si>
    <t>SME prioriza pain points e iniciativas de su SubDominio dentro del Master Plan.</t>
  </si>
  <si>
    <t>a) Cualquier soporte en el que el usuario mantiene, modifica, transforma y/o calcula datos, considerando desde una herramienta ofimática hasta aplicativos corporativos
b) Fuente de datos universalmente conocida, válida y fiable para obtener un dato concreto
c) Fuente o sistema de aprovisionamiento considerado como el origen de los datos - CORRECTO</t>
  </si>
  <si>
    <t>Sí, ya no hablamos de SoR en los manuales</t>
  </si>
  <si>
    <t>Qué es un Sandbox</t>
  </si>
  <si>
    <t>¿Quién es el responsable de mantener y actualizar las entidades de su Ownership?</t>
  </si>
  <si>
    <t>¡Muy bien! El responsable de mantener y actualizar las entidades de su Ownership es el Data Owner.</t>
  </si>
  <si>
    <t>¡Oh no! Recuerda que el responsable de mantener y actualizar las entidades de su Ownership es el Data Owner.</t>
  </si>
  <si>
    <t>¿Cuál es el equipo de ingeniería a cargo de la gestión y la operativización de la infraestructura informacional?</t>
  </si>
  <si>
    <t>¡Muy bien! El equipo de ingeniería a cargo de la gestión y la operativización de la infraestructura informacional es Data Hub.</t>
  </si>
  <si>
    <t>¡Oh no! Recuerda que el equipo de ingeniería a cargo de la gestión y la operativización de la infraestructura informacional es Data Hub.</t>
  </si>
  <si>
    <t>El SubDomain Owner designa al Subject Matter Expert (SME).</t>
  </si>
  <si>
    <t>Un SubDomain Owner puede ser Owner de más de un SubDomain</t>
  </si>
  <si>
    <t>Un Data Owner sólo puede ser Owner de un sólo Ownership</t>
  </si>
  <si>
    <t>¿Quién es el responsable de validar la información completada por el Data Owner para cada regla de calidad definida? (Debes elegir 2 opciones)</t>
  </si>
  <si>
    <t>¡Muy bien! El Domain Owner y el SubDomain Owner son responsables de validar la información completada por el Data Owner para cada regla de calidad definida.</t>
  </si>
  <si>
    <t>¡Oh no! Recuerda que el Domain Owner y el SubDomain Owner son responsables de validar la información completada por el Data Owner para cada regla de calidad definida.</t>
  </si>
  <si>
    <t>Relacionar niveles de gobierno de datos con su definición</t>
  </si>
  <si>
    <t>¿Quién es el responsable de elaborar el plan anual de Data Governance del Dominio garantizando el alineamiento con la estrategia global del dato definida?</t>
  </si>
  <si>
    <t>¡Muy bien! El responsable de elaborar el plan anual de Data Governance del Dominio garantizando el alineamiento con la estrategia global del dato definida es el Domain Owner.</t>
  </si>
  <si>
    <t>¡Oh no! Recuerda que el responsable de elaborar el plan anual de Data Governance del Dominio garantizando el alineamiento con la estrategia global del dato definida es el Domain Owner.</t>
  </si>
  <si>
    <t>¿Quién es el responsable de coordinar el Plan Director del dominio y gestionar que se cumpla?</t>
  </si>
  <si>
    <t>¡Muy bien! El responsable de coordinar el Plan Director del dominio y gestionar que se cumpla es el Domain Owner.</t>
  </si>
  <si>
    <t>¡Oh no! Recuerda que el responsable de coordinar el Plan Director del dominio y gestionar que se cumpla es el Domain Owner.</t>
  </si>
  <si>
    <t>¿Quién es el responsable de coordinar backlog de entidades con Deuda de Gobierno?</t>
  </si>
  <si>
    <t>¡Muy bien! El responsable de coordinar backlog de entidades con Deuda de Gobierno es el Facilitador (Domain Lead).</t>
  </si>
  <si>
    <t>¡Oh no! Recuerda que el responsable de coordinar backlog de entidades con Deuda de Gobierno es el Facilitador (Domain Lead).</t>
  </si>
  <si>
    <t>El Data Owner de la entidad conceptual, será el responsable de impulsar que las entidades físicas se identifiquen y progresivamente se gobiernen, contando para ello con la ayuda de los equipo de Engineering.</t>
  </si>
  <si>
    <t>Los Subject Matter Expert (SMEs) son figuras que representan a un Domain Owner</t>
  </si>
  <si>
    <t>Es responsable de validar la información completada por el Data Owner para cada "entidad de datos conceptual" y "entidad de explotación" (Puedes elegir 2 opciones)</t>
  </si>
  <si>
    <t>¡Muy bien! El responsable de colaborar con los stakeholders correspondientes para analizar y/o descubrir soluciones para mejorar el gobierno de sus datos es el Data Owner.</t>
  </si>
  <si>
    <t>¡Oh no! Recuerda que el responsable de colaborar con los stakeholders correspondientes para analizar y/o descubrir soluciones para mejorar el gobierno de sus datos es el Data Owner.</t>
  </si>
  <si>
    <t>Es el responsable de definir las reglas de calidad asociadas a las entidades de explotación</t>
  </si>
  <si>
    <t>El Domain Owner debe asistir al Country / Management Working Group mensual.</t>
  </si>
  <si>
    <t>Es el responsable de validar la información completada por el Data Owner para cada regla de calidad definida (Puedes elegir 2 opciones)</t>
  </si>
  <si>
    <t>¿Quién es el responsable de informar a los DPMs y HoDs acerca del progreso del dominio, iniciativas en curso, etc.?</t>
  </si>
  <si>
    <t>¡Muy bien! El responsable de informar a los DPMs y HoDs acerca del progreso del dominio, iniciativas en curso, etc. es el Domain Owner.</t>
  </si>
  <si>
    <t>¡Oh no! Recuerda que el responsable de informar a los DPMs y HoDs acerca del progreso del dominio, iniciativas en curso, etc. es el Domain Owner.</t>
  </si>
  <si>
    <t>Es el responsable de realizar catas / muestreos de la calidad de la documentación en la herramienta Sophia</t>
  </si>
  <si>
    <t>La función de Data Governance define e implementa los estándares, controles y mejores prácticas relativos a la gestión de datos, garantizando su alineación con la estrategia del Grupo</t>
  </si>
  <si>
    <t>¡Muy bien! Los encargados de fomentar la cultura basada en los datos en la organización; ser proactivo y participar en capacitaciones son el Domain Owner, el SubDomain Owner y el Data Owner.</t>
  </si>
  <si>
    <t>¡Oh no! Recuerda que los encargados de fomentar la cultura basada en los datos en la organización; ser proactivo y participar en capacitaciones son el Domain Owner, el SubDomain Owner y el Data Owner.</t>
  </si>
  <si>
    <t>Un SubDomain Owner puede ser Owner de más de un SubDomain.</t>
  </si>
  <si>
    <t>El Domain Owner es el responsable de garantizar el cumplimiento del modelo de gobierno dentro del dominio, asegurando el alineamiento con la estrategia global de datos.</t>
  </si>
  <si>
    <t>Una vez que un campo físico o entidad conceptual ha caido en zona gris, ¿quiénes deberán discutir y acordar a qué Dominio pertenence?</t>
  </si>
  <si>
    <t>¡Muy bien! Una vez que un campo físico o entidad conceptual ha caido en zona gris, los Domain Owners son quienes deben discutir y acordar a qué Dominio pertenence.</t>
  </si>
  <si>
    <t>¡Oh no! Recuerda que una vez que un campo físico o entidad conceptual ha caido en zona gris, los Domain Owners son quienes deben discutir y acordar a qué Dominio pertenence.</t>
  </si>
  <si>
    <t>Equipo de ingeniería a cargo de la gestión y la operativización de la infraestructura informacional</t>
  </si>
  <si>
    <t>¿Quién es el reponsable de documentar en herramienta de governance, las entidades conceptuales y entidades de explotación?</t>
  </si>
  <si>
    <t>¡Muy bien! El reponsable de documentar en herramienta de governance, las entidades conceptuales y entidades de explotación es el Data Owner.</t>
  </si>
  <si>
    <t>¡Oh no! Recuerda que el reponsable de documentar en herramienta de governance, las entidades conceptuales y entidades de explotación es el Data Owner.</t>
  </si>
  <si>
    <t>Fomentar la cultura basada en los datos en la organización, impulsando iniciativas para mejorar el gobierno de sus datos</t>
  </si>
  <si>
    <t>El Head of Data es el responsable de asesorar a los responsables de negocio en su ámbito de responsabilidad, sobre los desafíos y oportunidades en materia de datos relacionados con sus objetivos comerciales.</t>
  </si>
  <si>
    <t>Máximos conocedores de los datos que manejan, entendiendo el valor que los datos pueden aportar al negocio e identificando nuevas áreas de oportunidad</t>
  </si>
  <si>
    <t>Lo habitual es que para cada entidad conceptual existan varias entidades de explotación</t>
  </si>
  <si>
    <t>Una entidad puede tener alcance geográfico Holding, Global, Local?</t>
  </si>
  <si>
    <t>¿Quién es el responsable de monitorizar la ejecución y el progreso de las líneas de acción, así como priorizar en el plan anual de Data governance del Dominio?</t>
  </si>
  <si>
    <t>¡Muy bien! El responsable de monitorizar la ejecución y el progreso de las líneas de acción, así como priorizar en el plan anual de Data governance del Dominio es el Domain Owner.</t>
  </si>
  <si>
    <t>¡Oh no! Recuerda que el responsable de monitorizar la ejecución y el progreso de las líneas de acción, así como priorizar en el plan anual de Data governance del Dominio es el Domain Owner.</t>
  </si>
  <si>
    <t>¿Quién es el responsable de garantizar que los datos de su Subdomain cumplan con el modelo de Data Governance?</t>
  </si>
  <si>
    <t>¡Muy bien! El responsable de garantizar que los datos de su Subdomain cumplan con el modelo de Data Governance es el SubDomain Owner.</t>
  </si>
  <si>
    <t>¡Oh no! Recuerda que el responsable de garantizar que los datos de su Subdomain cumplan con el modelo de Data Governance es el SubDomain Owner.</t>
  </si>
  <si>
    <t>Relaciona el tipo de entidad de acuerdo a su alcance geográfico con su definición</t>
  </si>
  <si>
    <t>¿Quién es el encargado de documentar el Data Content en Sophia?</t>
  </si>
  <si>
    <t>¡Muy bien! El encargado de documentar el Data Content en Sophia es el Data Owner.</t>
  </si>
  <si>
    <t>¡Oh no! Recuerda que el encargado de documentar el Data Content en Sophia es el Data Owner.</t>
  </si>
  <si>
    <t>¿Quién es el responsable de supervisar el avance de los SubDominios en sesiones periódicas?</t>
  </si>
  <si>
    <t>¡Muy bien! El responsable de supervisar el avance de los SubDominios en sesiones periódicas es el Domain Owner.</t>
  </si>
  <si>
    <t>¡Oh no! Recuerda que el responsable de supervisar el avance de los SubDominios en sesiones periódicas es el Domain Owner.</t>
  </si>
  <si>
    <t>Un Data Owner sólo puede ser Owner de un sólo Ownership.</t>
  </si>
  <si>
    <t>Las reglas de calidad son definidas para entidades conceptuales</t>
  </si>
  <si>
    <t>DPM es responsable de establecer e implementar los Working Group del DOM en la geografía.</t>
  </si>
  <si>
    <t>Define funcionalmente las entidades conceptuales y de explotación dentro de un ownership</t>
  </si>
  <si>
    <t>La definición funcional de una entidad se documenta en Sophia en el Business Glossary</t>
  </si>
  <si>
    <t>¿Quién es el responsable de dar seguimiento a Data Owners en la documentación de los cuatro componentes de Gobierno con el soporte de los Subdomain Owners (Content, Quality, Lineage, Availability)?</t>
  </si>
  <si>
    <t>Una Data Source corporativa es aquella que no es mantenida por Ingeniería</t>
  </si>
  <si>
    <t>¡Muy bien! El responsable de supervisar y validar el avance de los Data Owners en los cuatro componentes de Gobierno con el soporte de los Subdomain Owners (Content, Quality, Lineage, Availability) es el Facilitador (Domain Lead).</t>
  </si>
  <si>
    <t>¡Oh no! Recuerda que el responsable de supervisar y validar el avance de los Data Owners en los cuatro componentes de Gobierno con el soporte de los Subdomain Owners (Content, Quality, Lineage, Availability) es el Facilitador (Domain Lead).</t>
  </si>
  <si>
    <t>La definición técnica de una entidad se documenta en Sophia en...</t>
  </si>
  <si>
    <t>¿Quién es el responsable de identificar los principales pain points en materia de datos relacionados con su actividad del día a día?</t>
  </si>
  <si>
    <t>¡Muy bien! El responsable de identificar los principales pain points en materia de datos relacionados con su actividad del día a día es el Data Owner.</t>
  </si>
  <si>
    <t>¡Oh no! Recuerda que el responsable de identificar los principales pain points en materia de datos relacionados con su actividad del día a día es el Data Owner.</t>
  </si>
  <si>
    <t>Data Owner identifica y levanta pain points relacionados con procesos de datos y la operativa diaria</t>
  </si>
  <si>
    <t>¿Quién es el responsable de participar en sesiones periódicas de seguimiento con Data Owners?</t>
  </si>
  <si>
    <t>¡Muy bien! El responsable de participar en sesiones periódicas de seguimiento con Data Owners es el SubDomain Owner.</t>
  </si>
  <si>
    <t>¡Oh no! Recuerda que el responsable de participar en sesiones periódicas de seguimiento con Data Owners es el SubDomain Owner.</t>
  </si>
  <si>
    <t>Fomentar la cultura basada en los datos en la organización; ser proactivo y participar en capacitaciones (Puedes escoger más de uno)</t>
  </si>
  <si>
    <t>¿Quién es el responsable de definir las entidades conceptuales globales?</t>
  </si>
  <si>
    <t>¡Muy bien! El responsable de definir las entidades conceptuales globales es el Data Owner Global.</t>
  </si>
  <si>
    <t>¡Oh no! Recuerda que el responsable de definir las entidades conceptuales globales es el Data Owner Global.</t>
  </si>
  <si>
    <t>Cada cuando se deberá actualizar el Master Plan del Dominio</t>
  </si>
  <si>
    <t>¿Quién es el responsable de identificar y coordinar a los distintos SubDomain/Data Owners?</t>
  </si>
  <si>
    <t>Dónde se podrá monitorear los resultados de las reglas de calidad implementadas</t>
  </si>
  <si>
    <t>¡Muy bien! El responsable de identificar y coordinar a los distintos SubDomain/Data Owners es el Domain Owner.</t>
  </si>
  <si>
    <t>¡Oh no! Recuerda que el responsable de identificar y coordinar a los distintos SubDomain/Data Owners es el Domain Owner.</t>
  </si>
  <si>
    <t>¿Las reglas de calidad básicas proporcionan el mínimo nivel de control requerido para un dato?</t>
  </si>
  <si>
    <t>¿Quién es el responsable de coordinar y dar seguimiento a las actividades relacionadas con Data Governance dentro del Dominio?</t>
  </si>
  <si>
    <t>¡Muy bien! El responsable de coordinar y dar seguimiento a las actividades relacionadas con Data governance dentro del Dominio es el acilitador (Domain Lead).</t>
  </si>
  <si>
    <t>¡Oh no! Recuerda que el responsable de coordinar y dar seguimiento a las actividades relacionadas con Data governance dentro del Dominio es el acilitador (Domain Lead).</t>
  </si>
  <si>
    <t>¿A qué principio corresponde éste tipo de regla? 
Comprobación que el fichero se ha recibido en la fecha y hora acordada</t>
  </si>
  <si>
    <t>¿Quién es el responsable de colaborar con el Domain Owner en la definición del plan de data governance del dominio garantizando el alineamiento con la estrategia global del dato definida?</t>
  </si>
  <si>
    <t>a) Disponibilidad - CORRECTO
b) Validez
c) Completitud
d) Precisión
e) Integridad
f) Consistencia</t>
  </si>
  <si>
    <t>¡Muy bien! El responsable de colaborar con el Domain Owner en la definición del plan de data governance del dominio garantizando el alineamiento con la estrategia global del dato definida es el SubDomain Owner.</t>
  </si>
  <si>
    <t>¡Oh no! Recuerda que el responsable de colaborar con el Domain Owner en la definición del plan de data governance del dominio garantizando el alineamiento con la estrategia global del dato definida es el SubDomain Owner.</t>
  </si>
  <si>
    <t>¿A qué principio corresponde éste tipo de regla? 
Verificación de la disponibilidad del valor del dato en el fichero</t>
  </si>
  <si>
    <t>a) Validez
b) Completitud
c) Precisión
d) Integridad
e) Consistencia
f) Disponibilidad - CORRECTO</t>
  </si>
  <si>
    <t>¿A qué principio corresponde éste tipo de regla? 
Actualización del valor del dato en la fecha requerida</t>
  </si>
  <si>
    <t>¿Quién es el responsable del adecuado gobierno de los datos contemplados dentro de los ownerships de su Subdomain?</t>
  </si>
  <si>
    <t>a) Validez
b) Completitud
c) Disponibilidad - CORRECTO
d) Precisión
e) Integridad
f) Consistencia</t>
  </si>
  <si>
    <t>¡Muy bien! El responsable del adecuado gobierno de los datos contemplados dentro de los ownerships de su Subdomain es el SubDomain Owner.</t>
  </si>
  <si>
    <t>¡Oh no! Recuerda que el responsable del adecuado gobierno de los datos contemplados dentro de los ownerships de su Subdomain es el SubDomain Owner.</t>
  </si>
  <si>
    <t>¿A qué principio corresponde éste tipo de regla? 
Completitud de atributos</t>
  </si>
  <si>
    <t>a) Validez
b) Completitud - CORRECTO
c) Disponibilidad
d) Precisión
e) Integridad
f) Consistencia</t>
  </si>
  <si>
    <t>¿A qué principio corresponde éste tipo de regla? 
Completitud de perímetro requerido</t>
  </si>
  <si>
    <t>Si el Data Owner cambiara, ¿quién es el responsable de dar capacitación al nuevo Data Owner con un hand-over?</t>
  </si>
  <si>
    <t>a) Validez
b) Disponibilidad
c) Precisión
d) Integridad
e) Completitud - CORRECTO
f) Consistencia</t>
  </si>
  <si>
    <t>¿A qué principio corresponde éste tipo de regla? 
Comprobación del valor de dato nulo (NULL)</t>
  </si>
  <si>
    <t>a) Validez - CORRECTO
b) Disponibilidad
c) Precisión
d) Integridad
e) Completitud
f) Consistencia</t>
  </si>
  <si>
    <t>¡Muy bien! Si el Data Owner cambiara, el responsable de dar capacitación al nuevo Data Owner con un hand-over es el Data Owner previo.</t>
  </si>
  <si>
    <t>¡Oh no! Recuerda que si el Data Owner cambiara, el responsable de dar capacitación al nuevo Data Owner con un hand-over es el Data Owner previo.</t>
  </si>
  <si>
    <t>¿A qué principio corresponde éste tipo de regla? 
Comprobación del formato del campo</t>
  </si>
  <si>
    <t>¿A qué principio corresponde éste tipo de regla? 
Comprobación de valores no permitidos</t>
  </si>
  <si>
    <t>a) Disponibilidad
b) Validez - CORRECTO
c) Precisión
d) Integridad
e) Completitud
f) Consistencia</t>
  </si>
  <si>
    <t>¿Quién adopta e implementa la estrategia global de datos en su ámbito / geografía de responsabilidad, reforzando las competencias necesarias para la implementación del modelo?</t>
  </si>
  <si>
    <t>¿A qué principio corresponde éste tipo de regla? 
Comprobación del valor del dato dentro del rango esperado</t>
  </si>
  <si>
    <t>¡Muy bien! El Head of Data es quien adopta e implementa la estrategia global de datos en su ámbito de responsabilidad, reforzando las competencias necesarias para la implementación del modelo.</t>
  </si>
  <si>
    <t>a) Disponibilidad
b) Precisión
c) Integridad
d) Validez - CORRECTO
e) Completitud
f) Consistencia</t>
  </si>
  <si>
    <t>¡Oh no! Recuerda que el Head of Data es quien adopta e implementa la estrategia global de datos en su ámbito de responsabilidad, reforzando las competencias necesarias para la implementación del modelo.</t>
  </si>
  <si>
    <t>¿A qué principio corresponde éste tipo de regla? 
Comprobación del valor del dato en catálogo</t>
  </si>
  <si>
    <t>a) Disponibilidad
b) Precisión
c) Integridad
d) Completitud
e) Validez - CORRECTO
f) Consistencia</t>
  </si>
  <si>
    <t>¿Cuándo es necesario que haya Data Owners Primarios y Data Owners Relacionados?</t>
  </si>
  <si>
    <t>¿A qué principio corresponde éste tipo de regla? 
Transferencia de datos origen - destino</t>
  </si>
  <si>
    <t>a) Disponibilidad
b) Precisión
c) Integridad
d) Completitud
e) Validez
f) Consistencia - CORRECTO</t>
  </si>
  <si>
    <t>¡Muy bien!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</si>
  <si>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¡Oh no! Recuerda que es necesario que haya Data Owners Primarios y Data Owners Relacionados cuando: 
a) Situaciones en las que se genera un alto volumen de entidades de explotación derivado de la diversidad de información requerida
b) Cuando las entidades de explotación son generadas por diferentes usuarios (estén dentro del mismo dominio o en dominios diferentes)
c) Cuando la generación de las entidades de explotación requiera de un expertise específico</t>
  </si>
  <si>
    <t>¿A qué principio corresponde éste tipo de regla? 
Duplicidad de registros para un mismo dato</t>
  </si>
  <si>
    <t>¿A qué principio corresponde éste tipo de regla? 
Comparativo de un mismo dato entre diferentes tablas/repositorios en el mismo momento de tiempo</t>
  </si>
  <si>
    <t>¿Quién es el responsable de garantizar que los datos del dominio cumplen con el modelo de Data Governance?</t>
  </si>
  <si>
    <t>¡Muy bien! El responsable de garantizar que los datos del dominio cumplen con el modelo de Data Governance es el Domain Owner.</t>
  </si>
  <si>
    <t>¡Oh no! Recuerda que el responsable de garantizar que los datos del dominio cumplen con el modelo de Data Governance es el Domain Owner.</t>
  </si>
  <si>
    <t>¿Quién es el responsable de identificar y documentar pain points para el Master Plan de su Dominio?</t>
  </si>
  <si>
    <t>¿A qué principio corresponde éste tipo de regla? 
Réplica de cálculos</t>
  </si>
  <si>
    <t>¡Muy bien! El responsable de identificar y documentar pain points para el Master Plan de su Dominio es el Data Owner.</t>
  </si>
  <si>
    <t>¡Oh no! Recuerda que el responsable de identificar y documentar pain points para el Master Plan de su Dominio es el Data Owner.</t>
  </si>
  <si>
    <t>a) Disponibilidad
b) Precisión
c) Integridad - CORRECTO
d) Completitud
e) Validez
f) Consistencia</t>
  </si>
  <si>
    <t>¿A qué principio corresponde éste tipo de regla? 
Comparativa entre diferentes valores de datos relacionados entre sí</t>
  </si>
  <si>
    <t>¿Quién es el responsable del adecuado gobierno de un dominio de datos específico?</t>
  </si>
  <si>
    <t>a) Integridad - CORRECTO
b) Disponibilidad
c) Precisión
d) Completitud
e) Validez
f) Consistencia</t>
  </si>
  <si>
    <t>¡Muy bien! El responsable del adecuado gobierno de un dominio de datos específico es el Domain Owner.</t>
  </si>
  <si>
    <t>¡Oh no! Recuerda que el responsable del adecuado gobierno de un dominio de datos específico es el Domain Owner.</t>
  </si>
  <si>
    <t>¿A qué principio corresponde éste tipo de regla? 
Concentración de valores del mismo dato en un catálogo</t>
  </si>
  <si>
    <t>a) Integridad
b) Disponibilidad
c) Precisión - CORRECTO
d) Completitud
e) Validez
f) Consistencia</t>
  </si>
  <si>
    <t>¿A qué principio corresponde éste tipo de regla? 
Comprobacion de la sensibilidad del valor de un dato a un umbral</t>
  </si>
  <si>
    <t>a) Integridad
b) Disponibilidad
c) Completitud
d) Precisión - CORRECTO
e) Validez
f) Consistencia</t>
  </si>
  <si>
    <t>El SubDomain Owner evalúa el hand-over realizado al nuevo Data Owner.</t>
  </si>
  <si>
    <t>¿A qué principio corresponde éste tipo de regla? 
Comparativa de la evolución de diferentes valores de datos relacionados entre sí en el mismo momento del tiempo</t>
  </si>
  <si>
    <t>a) Integridad
b) Disponibilidad
c) Completitud
d) Validez
e) Precisión - CORRECTO
f) Consistencia</t>
  </si>
  <si>
    <t>El Facilitador (Domain Lead) coordina la elaboración del Master Plan del Dominio.</t>
  </si>
  <si>
    <t>¿A qué principio corresponde éste tipo de regla? 
Comparativa del valor del mismo dato entre periodos</t>
  </si>
  <si>
    <t>a) Integridad
b) Disponibilidad
c) Completitud
d) Validez
e) Consistencia
f) Precisión - CORRECTO</t>
  </si>
  <si>
    <t>¿A qué principio corresponde éste tipo de regla? 
Correlación del valor de un dato en las últimas observaciones</t>
  </si>
  <si>
    <t>¿Quién es el reponsable de priorizar pain points que afecten al SubDominio?</t>
  </si>
  <si>
    <t>a) Precisión - CORRECTO
b) Integridad
c) Disponibilidad
d) Completitud
e) Validez
f) Consistencia</t>
  </si>
  <si>
    <t>¡Muy bien! El reponsable de priorizar pain points que afecten al SubDominio es el SubDomain Owner.</t>
  </si>
  <si>
    <t>¡Oh no! Recuerda que el reponsable de priorizar pain points que afecten al SubDominio es el SubDomain Owner.</t>
  </si>
  <si>
    <t>¿A qué principio corresponde éste tipo de regla? 
Comparativa entre valores de datos distintos entre periodos</t>
  </si>
  <si>
    <t>a) Integridad
b) Precisión - CORRECTO
c) Disponibilidad
d) Completitud
e) Validez
f) Consistencia</t>
  </si>
  <si>
    <t>¿A qué principio corresponde éste tipo de regla? 
Coincidencia con base de datos externa</t>
  </si>
  <si>
    <t>¿A qué principio corresponde éste tipo de regla? 
Coincidencia con soporte físico</t>
  </si>
  <si>
    <t>Qué es una Iniciativa Core del Master Plan</t>
  </si>
  <si>
    <t>Qué es una Iniciativa Transversal del Master Plan</t>
  </si>
  <si>
    <t>¡Muy bien! En la herramienta Data Governance, se deben hacer catas / muestreo de calidad de la documentación trimestralmente.</t>
  </si>
  <si>
    <t>¡Oh no! Recuerda que en la herramienta Data Governance, se deben hacer catas / muestreo de calidad de la documentación trimestralmente.</t>
  </si>
  <si>
    <t>Cuáles son los objetivos de las catas/muestreos del llenado en Sophia</t>
  </si>
  <si>
    <t>¿Quién es el responsable del adecuado gobierno de los datos contemplados dentro de los data ownerships asociadas a su subdominio de datos?</t>
  </si>
  <si>
    <t>¡Muy bien! El responsable del adecuado gobierno de los datos contemplados dentro de los data ownerships asociadas a su subdominio de datos es el SubDomain Owner.</t>
  </si>
  <si>
    <t>¡Oh no! Recuerda que el responsable del adecuado gobierno de los datos contemplados dentro de los data ownerships asociadas a su subdominio de datos es el SubDomain Owner.</t>
  </si>
  <si>
    <t>Cuando el Data Owner cambiará, quién es el responsable de sar capacitación al nuevo Data Owner con un hand-over</t>
  </si>
  <si>
    <t>El Data Owner debe identificar y documentar nuevas entidades conceptuales y de explotación post-W1 y W2.</t>
  </si>
  <si>
    <t>El SubDomain Owner evalua el hand-over realizado al nuevo Data Owner</t>
  </si>
  <si>
    <t>¿Quién define las reglas de calidad asociadas a sus entidades de explotación para la medición de sus resultados?</t>
  </si>
  <si>
    <t>DATA</t>
  </si>
  <si>
    <t>¡Muy bien! El Data Owner es quien define las reglas de calidad asociadas a sus entidades de explotación para la medición de sus resultados.</t>
  </si>
  <si>
    <t>¿En qué apartado de la Herramienta de Gobierno puedo consultar las descripciones de los Dominios/subdominios/ownerships?</t>
  </si>
  <si>
    <t>¡Oh no! Recuerda que el Data Owner es quien define las reglas de calidad asociadas a sus entidades de explotación para la medición de sus resultados.</t>
  </si>
  <si>
    <t>¿En la Herramienta, tengo disponible algún manual de uso de la misma?</t>
  </si>
  <si>
    <t>¡Muy bien! En la herramienta Data Governance, en Data Dictionary se puede consultar el Data Content y el Data Quality de una entidad.</t>
  </si>
  <si>
    <t>¡Oh no! Recuerda que  en la herramienta Data Governance, en Data Dictionary se puede consultar el Data Content y el Data Quality de una entidad.</t>
  </si>
  <si>
    <t>En la Herramienta de Gobierno no se puede exportar la información que se documenta en Data Content y Data Dictionary</t>
  </si>
  <si>
    <t>La definición funcional de una entidad se documenta en Sophia en el Business Glossary.</t>
  </si>
  <si>
    <t>La herramienta de Gobierno es un apoyo para el Data Owner exclusivamente.</t>
  </si>
  <si>
    <t>Desde el apartado Data Quality se puede consultar los tipos de reglas asociados a los principios de calidad</t>
  </si>
  <si>
    <t>¿Quién es el responsable de validar cada Entidad documentada por el Data Owner en la herramienta de Governance?</t>
  </si>
  <si>
    <t>¡Muy bien! El responsable de validar cada Entidad documentada por el Data Owner en la herramienta de Governance es el Domain Owner.</t>
  </si>
  <si>
    <t>¡Oh no! Recuerda que el responsable de validar cada Entidad documentada por el Data Owner en la herramienta de Governance es el Domain Owner.</t>
  </si>
  <si>
    <t>En la Herramienta de Gobierno, los filtros de búsqueda se encuentran exclusivamente a nivel EC.</t>
  </si>
  <si>
    <t>En Sophia, ¿dónde se documenta la definición técnica de una entidad?</t>
  </si>
  <si>
    <t>¿En qué apartado de la Herramienta de Gobierno puedo consultar las Data Sources existentes en mi geografía?</t>
  </si>
  <si>
    <t>¡Muy bien! En Sophia, en el Data Dictionary se documenta la definición técnica de una entidad.</t>
  </si>
  <si>
    <t>¡Oh no! Recuerda que en Sophia, en el Data Dictionary se documenta la definición técnica de una entidad.</t>
  </si>
  <si>
    <t>No es necesario que nadie valide la información que he documentado en la herramienta.</t>
  </si>
  <si>
    <t>Al completar el campo 'CONCEPTUAL ENTITY DESCRIPTION' es necesario describir una definición clara que contega el detalle suficiente para que sea entendible para el resto.</t>
  </si>
  <si>
    <t>En la Herramienta de Gobierno los filtros de búsqueda se encuentran exclusivamente a nivel EC</t>
  </si>
  <si>
    <t>Desde el apartado Data Quality se pueden consultar los tipos de reglas asociadas a los principios de calidad.</t>
  </si>
  <si>
    <t>La herramienta de Gobierno es un apoyo para el Data Owner exclusivamente</t>
  </si>
  <si>
    <t>¿Es posible que el Domain Owner valide una EC no validada por el Data Owner?</t>
  </si>
  <si>
    <t>¿Puedo crear 2 entidades conceptuales con el mismo nombre, dentro del mismo país, en dominios diferentes?</t>
  </si>
  <si>
    <t>No es necesario que nadie valide la información que he documentado en la herramienta</t>
  </si>
  <si>
    <t>En la Herramienta de Gobierno no se puede exportar la información que se documenta en Data Content y Data Dictionary.</t>
  </si>
  <si>
    <t>A la hora de completar el campo 'CONCEPTUAL ENTITY DESCRIPTION' es necesario describir una definición clara que contega el detalle suficiente para que sea entendible para el resto</t>
  </si>
  <si>
    <t>¿Se pueden copiar reglas de calidad?</t>
  </si>
  <si>
    <t>¿En la Herramienta, tengo disponibles todos los templates necesarios para realizar cargas masivas?</t>
  </si>
  <si>
    <t>¿Quién es el responsable de coordinar a los data owners para que trabajen en garantizar el cumplimiento del modelo?</t>
  </si>
  <si>
    <t>¿Es posible asociar una DS de holding a mi entidad local?</t>
  </si>
  <si>
    <t>¿Quién es el responsable de supervisar las TDS declaradas en el Business Glossary?</t>
  </si>
  <si>
    <t>¿Qué son los umbrales de tolerancia?</t>
  </si>
  <si>
    <t>¡Muy bien! Los umbrales de tolerancia son un conjunto de valores que sirven para determinar si el grado de cumplimiento (resultado) de una regla de calidad es o no satisfactorio.</t>
  </si>
  <si>
    <t>¡Oh no! Recuerda que los umbrales de tolerancia son un conjunto de valores que sirven para determinar si el grado de cumplimiento (resultado) de una regla de calidad es o no satisfactorio.</t>
  </si>
  <si>
    <t>¿Qué es un parámetro de la regla de calidad?</t>
  </si>
  <si>
    <t>El Facilitador (Domain Lead) es el responsable de solventar las deudas de gobierno</t>
  </si>
  <si>
    <t>¡Muy bien! Un parámetro de la regla de calidad es un conjunto de atributos que forman parte de la definición de la regla de calidad.</t>
  </si>
  <si>
    <t>¡Oh no! Recuerda que un parámetro de la regla de calidad es un conjunto de atributos que forman parte de la definición de la regla de calidad.</t>
  </si>
  <si>
    <t>¿Quien es el responsable de definir las entidades conceptuales globales?</t>
  </si>
  <si>
    <t>¿Para qué sirve el umbral mínimo y el umbral objetivo?</t>
  </si>
  <si>
    <t>¡Muy bien!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</si>
  <si>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¡Oh no! Recuerda que el umbral mínimo y el umbral objetivo: 
Son valores definidos por el data owner a comparar con el % de cumplimiento de la regla. Si % cumplimiento es inferior al umbral mínimo, el resultado es insatisfactorio
Son valores definidos por el data owner a comparar con el % de cumplimiento de la regla. Si % cumplimiento es superior al umbral mínimo e inferior al objetivo, el resultado es mejorable
Son valores definidos por el data owner a comparar con el % de cumplimiento de la regla. Si % cumplimiento es superior al umbral objetivo, el resultado es satisfactorio</t>
  </si>
  <si>
    <t xml:space="preserve">¿Quién es el responsable de la coordinación general de la estrategia de datos en su dominio holding o geografía? </t>
  </si>
  <si>
    <t xml:space="preserve">¿Quién es el responsable de colaborar con los stakeholders correspondientes para analizar y/o descubrir soluciones para mejorar el gobiernos de sus datos? </t>
  </si>
  <si>
    <t>¡Muy bien! Comprobación que el fichero se ha recibido en la fecha y hora acordada, corresponde al principio de Disponibilidad.</t>
  </si>
  <si>
    <t>¡Oh no! Recuerda que comprobación que el fichero se ha recibido en la fecha y hora acordada, corresponde al principio de Disponibilidad.</t>
  </si>
  <si>
    <t>Responsable de definir / adoptar e implementar la estrategia global de datos a nivel global/local, mejorando las capacidades necesarias para garantizar su implementación</t>
  </si>
  <si>
    <t>¡Muy bien! Duplicidad de registros para un mismo dato, corresponde al principio de Consistencia.</t>
  </si>
  <si>
    <t>¡Oh no! Recuerda que duplicidad de registros para un mismo dato, corresponde al principio de Consistencia.</t>
  </si>
  <si>
    <t>El Head of Data es el responsable de asesorar a los responsables de negocio en su ámbito de responsabilidad, sobre los desafíos y oportunidades en materia de datos relacionados con sus objetivos comerciales</t>
  </si>
  <si>
    <t>¿Qué es el System of Record (SoR)?</t>
  </si>
  <si>
    <t>¡Muy bien! El System of Record (SoR) es una fuente o sistema de aprovisionamiento considerado como el origen de los datos.</t>
  </si>
  <si>
    <t>¡Oh no! Recuerda que el System of Record (SoR) es una fuente o sistema de aprovisionamiento considerado como el origen de los datos.</t>
  </si>
  <si>
    <t>¡Muy bien! Réplica de cálculos, corresponde al principio de Integridad.</t>
  </si>
  <si>
    <t>¡Oh no! Recuerda que Réplica de cálculos, corresponde al principio de Integridad.</t>
  </si>
  <si>
    <t>Una entidad puede tener alcance geográfico Holding, global, local.</t>
  </si>
  <si>
    <t>Responsable de promover la agenda de Data en su Dominio Holding / Geografía</t>
  </si>
  <si>
    <t>¡Muy bien! Comparativa de la evolución de diferentes valores de datos relacionados entre sí en el mismo momento del tiempo, corresponde al principio de Precisión.</t>
  </si>
  <si>
    <t>¡Oh no! Recuerda que comparativa de la evolución de diferentes valores de datos relacionados entre sí en el mismo momento del tiempo, corresponde al principio de Precisión.</t>
  </si>
  <si>
    <t>Responsable del adecuado gobierno de un dominio de datos específico</t>
  </si>
  <si>
    <t>¿Cuáles opciones no son un foro implementado definido en el Data Operating Model (DOM)?</t>
  </si>
  <si>
    <t>¡Muy bien! Las opciones Tactical WG no son un foro implementado definido en el Data Operating Model (DOM).</t>
  </si>
  <si>
    <t>¡Oh no! Recuerda que las opciones Tactical WG no son un foro implementado definido en el Data Operating Model (DOM).</t>
  </si>
  <si>
    <t>Foros</t>
  </si>
  <si>
    <t>Responsable de identificar y coordinar los distintos SubDomain / Data Owners</t>
  </si>
  <si>
    <t>El Domain Owner es el responsable de garantizar el cumplimiento del modelo de gobierno dentro del dominio, asegurando el alineamiento con la estrategia global de datos</t>
  </si>
  <si>
    <t xml:space="preserve">El DPM es el responsable de participar en el nombramiento de los SubDomain Owners y Data Owners </t>
  </si>
  <si>
    <t>¡Muy bien! Comparativa del valor del mismo dato entre periodos, corresponde al principio de Precisión.</t>
  </si>
  <si>
    <t>¡Oh no! Recuerda que comparativa del valor del mismo dato entre periodos, corresponde al principio de Precisión.</t>
  </si>
  <si>
    <t xml:space="preserve">Responsable de dinamizar el adecuado gobierno de los datos dentro del Dominio </t>
  </si>
  <si>
    <t>¡Muy bien! Comparativa entre valores de datos distintos entre periodos, corresponde al principio de Precisión.</t>
  </si>
  <si>
    <t>¡Oh no! Recuerda que comparativa entre valores de datos distintos entre periodos, corresponde al principio de Precisión.</t>
  </si>
  <si>
    <t>Responsable de garantizar que los datos del dominio cumplen con el modelo de Data Governance</t>
  </si>
  <si>
    <t>¿Qué es un Trusted Data source?</t>
  </si>
  <si>
    <t>¡Muy bien! Un Trusted Data source es una fuente de datos universalmente conocida, válida y fiable para obtener un dato concreto.</t>
  </si>
  <si>
    <t>¡Oh no! Recuerda que un Trusted Data source es una fuente de datos universalmente conocida, válida y fiable para obtener un dato concreto.</t>
  </si>
  <si>
    <t>Responsables de supervisar y validar el avance de los Data Owners en la documentación de los 4 componentes del Modelo de Data Governance (Puedes elegir más de una opción)</t>
  </si>
  <si>
    <t>Responsable de elaborar el plan anual de Data Governance del Dominio garantizando el alineamiento con la estrategia global del dato definida</t>
  </si>
  <si>
    <t>Un dato es cualquier concepto del cual, la organización requiere almacenar información para su negocio.</t>
  </si>
  <si>
    <t>Responsable de identificar los principales pain points en materia de datos relacionados con su actividad del día a día</t>
  </si>
  <si>
    <t>¡Muy bien! Comparativo de un mismo dato entre diferentes tablas/repositorios en el mismo momento de tiempo, corresponde al principio de Consistencia.</t>
  </si>
  <si>
    <t>Responsable de monitorizar la ejecución y el progreso de las líneas de acción priorizar en el plan anual de Data governance del Dominio</t>
  </si>
  <si>
    <t>DPM es responsable de establecer e implementar los Working Group del DOM en la geografía</t>
  </si>
  <si>
    <t>Data</t>
  </si>
  <si>
    <t>¡Oh no! Recuerda que Comparativo de un mismo dato entre diferentes tablas/repositorios en el mismo momento de tiempo, corresponde al principio de Consistencia.</t>
  </si>
  <si>
    <t>¡Muy bien! Comprobación de la sensibilidad del valor de un dato a un umbral, corresponde al principio de Precisión.</t>
  </si>
  <si>
    <t>¡Oh no! Recuerda que comprobación de la sensibilidad del valor de un dato a un umbral, corresponde al principio de Precisión.</t>
  </si>
  <si>
    <t>¿Las reglas de calidad expertas son necesarias para incorporar la lógica funcional y la definición intrínseca de los datos?</t>
  </si>
  <si>
    <t>¿En las búsquedas en la Herramienta de Gobierno te permite seleccionar el idioma de búsqueda?</t>
  </si>
  <si>
    <t>¡Muy bien! Transferencia de datos origen - destino, corresponde al principio de Consistencia.</t>
  </si>
  <si>
    <t>¿Desde un objeto del Data Dictionary se pueden visualizar los campos físicos asociados?</t>
  </si>
  <si>
    <t>¡Oh no! Recuerda que Transferencia de datos origen - destino, corresponde al principio de Consistencia.</t>
  </si>
  <si>
    <t>¿Cuándo se activa una alerta de calidad?</t>
  </si>
  <si>
    <t>¡Muy bien! Una alerta de calidad se activa cuando se incumple los umbrales definidos para una regla y sus parámetros.</t>
  </si>
  <si>
    <t>¡Oh no! Recuerda que una alerta de calidad se activa cuando se incumple los umbrales definidos para una regla y sus parámetros.</t>
  </si>
  <si>
    <t>Puedo crear 2 entidades conceptuales con el mismo nombre, dentro del mismo país, en dominios diferentes?</t>
  </si>
  <si>
    <t>¡Muy bien! Comparativa entre diferentes valores de datos relacionados entre sí, corresponde al principio de Integridad.</t>
  </si>
  <si>
    <t>¡Oh no! Recuerda que comparativa entre diferentes valores de datos relacionados entre sí, corresponde al principio de Integridad.</t>
  </si>
  <si>
    <t>Cada TDS puede tener más de un SoR.</t>
  </si>
  <si>
    <t>¡Muy bien! La respuesta es verdadero. Cada TDS puede tener más de un SoR.</t>
  </si>
  <si>
    <t>¡Oh no! Recuerda que la respuesta es verdadero. Cada TDS puede tener más de un SoR.</t>
  </si>
  <si>
    <t>Si realizo filtros en la pantalla de búsqueda y accedo al detalle de la entidad, si quiero volver atrás ¿se mantienen los filtros aplicados?</t>
  </si>
  <si>
    <t>¡Muy bien! Completitud de atributos, corresponde al principio de Completitud.</t>
  </si>
  <si>
    <t>¡Oh no! Recuerda que completitud de atributos, corresponde al principio de Completitud.</t>
  </si>
  <si>
    <t>Tengo disponible en la Herramienta todas las templates necesarias para realizar cargas masivas?</t>
  </si>
  <si>
    <t>¡Muy bien! Comprobación del valor del dato en catálogo, corresponde al principio de Validez.</t>
  </si>
  <si>
    <t>¡Oh no! Recuerda que comprobación del valor del dato en catálogo, corresponde al principio de Validez.</t>
  </si>
  <si>
    <t>Tengo disponible en la Herramienta algún manual de uso de la misma?</t>
  </si>
  <si>
    <t>¡Muy bien! Verificación de la disponibilidad del valor del dato en el fichero, corresponde al principio de Disponibilidad.</t>
  </si>
  <si>
    <t>¡Oh no! Recuerda que verificación de la disponibilidad del valor del dato en el fichero, corresponde al principio de Disponibilidad.</t>
  </si>
  <si>
    <t>Relaciona el tipo de entidad de acuerdo con su alcance geográfico y con su definición.</t>
  </si>
  <si>
    <t>¡Muy bien! El alcance geográfico y la definición de cada entidad es:
1) Global - Dato definido desde Holding y solicitado para su generación en el ámbito local
2) Holding - Dato generado únicamente en ámbito Holding
3) Local - Dato generado únicamente en el ámbito local</t>
  </si>
  <si>
    <t>¡Oh no! Recuerda que el alcance geográfico y la definición de cada entidad es:
1) Global - Dato definido desde Holding y solicitado para su generación en el ámbito local
2) Holding - Dato generado únicamente en ámbito Holding
3) Local - Dato generado únicamente en el ámbito local</t>
  </si>
  <si>
    <t>Una misma entidad de explotación puede tener una representación física en varias tablas/aplicativos.</t>
  </si>
  <si>
    <t>es posible asociar una DS de holding a mi entidad local?</t>
  </si>
  <si>
    <t>Todas las dimensiones de explotación originan entidades de explotación.</t>
  </si>
  <si>
    <t>Si el TDS de una entidad conceptual / entidad explotación es un excel, es un DS productiva.</t>
  </si>
  <si>
    <t>¡Muy bien! La respuesta es falso. Un excel no es un DS productivo.</t>
  </si>
  <si>
    <t>¡Oh no! Recuerda que la respuesta es falso. Un excel no es un DS productivo ya que no está mantenido por Engineering.</t>
  </si>
  <si>
    <t>¿Qué es un Data source?</t>
  </si>
  <si>
    <t>¡Muy bien! Un Data source es cualquier soporte en el que el usuario mantiene, modifica, transforma y/o calcula datos, considerando desde una herramienta ofimática hasta aplicativos corporativos.</t>
  </si>
  <si>
    <t>¡Oh no! Recuerda que un Data source es cualquier soporte en el que el usuario mantiene, modifica, transforma y/o calcula datos, considerando desde una herramienta ofimática hasta aplicativos corporativos.</t>
  </si>
  <si>
    <t>¡Muy bien! Coincidencia con base de datos externa, corresponde al principio de Precisión.</t>
  </si>
  <si>
    <t>¡Oh no! Recuerda que coincidencia con base de datos externa, corresponde al principio de Precisión.</t>
  </si>
  <si>
    <t>¡Muy bien! Comprobación de valores no permitidos, corresponde al principio de Validez.</t>
  </si>
  <si>
    <t>¡Oh no! Recuerda que comprobación de valores no permitidos, corresponde al principio de Validez.</t>
  </si>
  <si>
    <t>¡Muy bien! Concentración de valores del mismo dato en un catálogo, corresponde al principio de Precisión.</t>
  </si>
  <si>
    <t>¡Oh no! Recuerda que Concentración de valores del mismo dato en un catálogo, corresponde al principio de Precisión.</t>
  </si>
  <si>
    <t>Una entidad de explotación puede estar disponible en varias Data Sources y entidades físicas.</t>
  </si>
  <si>
    <t>Hay que medir la calidad de los datos...</t>
  </si>
  <si>
    <t>¡Muy bien! Hay que medir la calidad de los datos para determinar cúal es el punto más óptimo.</t>
  </si>
  <si>
    <t>¡Oh no! Recuerda que hay que medir la calidad de los datos para determinar cúal es el punto más óptimo.</t>
  </si>
  <si>
    <t>¡Muy bien! Comprobación del formato del campo,  corresponde al principio de Validez.</t>
  </si>
  <si>
    <t>¡Oh no! Recuerda que comprobación del formato del campo,  corresponde al principio de Validez.</t>
  </si>
  <si>
    <t>¡Muy bien! Coincidencia con soporte físico, corresponde al principio de Precisión.</t>
  </si>
  <si>
    <t>¡Oh no! Recuerda que coincidencia con soporte físico, corresponde al principio de Precisión.</t>
  </si>
  <si>
    <t>¡Muy bien! Correlación del valor de un dato en las últimas observaciones, corresponde al principio de Precisión.</t>
  </si>
  <si>
    <t>¡Oh no! Recuerda que correlación del valor de un dato en las últimas observaciones, corresponde al principio de Precisión.</t>
  </si>
  <si>
    <t>Identificar e impulsar iniciativas transversales que puedan afectar a más de un Dominio</t>
  </si>
  <si>
    <t>¡Muy bien! Comprobación del valor del dato dentro del rango esperado, corresponde al principio de Validez.</t>
  </si>
  <si>
    <t>Responsable del adecuado gobierno de los datos contemplados dentro de los ownerships de su Subdomain</t>
  </si>
  <si>
    <t>SME es responsable de identificar, nombrar y coordinar a los Data Owners dentro de su SubDomain</t>
  </si>
  <si>
    <t>¡Oh no! Recuerda que comprobación del valor del dato dentro del rango esperado, corresponde al principio de Validez.</t>
  </si>
  <si>
    <t>Responsable de garantizar que los datos de su Subdomain cumplen con el modelo de Data Governance</t>
  </si>
  <si>
    <t>¡Muy bien! Comprobación del valor de dato nulo (NULL), corresponde al principio de Validez.</t>
  </si>
  <si>
    <t>¡Oh no! Recuerda que comprobación del valor de dato nulo (NULL), corresponde al principio de Validez.</t>
  </si>
  <si>
    <t>¡Muy bien! Actualización del valor del dato en la fecha requerida, corresponde al principio de Disponibilidad.</t>
  </si>
  <si>
    <t>¡Oh no! Recuerda que actualización del valor del dato en la fecha requerida, corresponde al principio de Disponibilidad.</t>
  </si>
  <si>
    <t>Establecer circuitos de coordinación y alineamiento entre los ámbitos de SubDominios Holding y locales</t>
  </si>
  <si>
    <t>responsable de colaborar con el Domain Owner en la definición del plan anual de Data Governance en el Dominio</t>
  </si>
  <si>
    <t>¡Muy bien! Completitud de perímetro requerido, corresponde al principio de Completitud.</t>
  </si>
  <si>
    <t>¡Oh no! Recuerda que completitud de perímetro requerido, corresponde al principio de Completitud.</t>
  </si>
  <si>
    <t>Relaciona cada uno de los siguientes roles con sus responsabilidades.</t>
  </si>
  <si>
    <t>Facilitador (Domain Lead) define el contenido, calidad, linaje, disponibilidad de las entidades de datos</t>
  </si>
  <si>
    <t>¡Muy bien!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</si>
  <si>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¡Oh no! Recuerda que las responsabilidades de cada rol son:
a) Engineering Lead - Es la figura de referencia que actúa como coordinador de los distintos roles de Engineering
b) Data Architect - Es la figura que provee la arquitectura e infraestructura de datos requerida para soportar las necesidades del negocio, coordinando los equipos de Engineering
c) System Owner - Responsable de completar el content con los metadatos físicos definidos por el data owner, de las DS que están bajo su responsabilidad
d) Solutions Architect - Proporcionará la solución de arquitectura a las necesidades tecnológicas
e) Data Developer - Se encargará del aprovisionamiento de datos, desarrollar soluciones e implantarlas en producción</t>
  </si>
  <si>
    <t>¿Quién es el responsable de completar la información del Data Dictionary correspondiente a la entidad de explotación?</t>
  </si>
  <si>
    <t>¡Muy bien! El Engineering es el responsable de completar la información del Data Dictionary correspondiente a la entidad de explotación.</t>
  </si>
  <si>
    <t>¡Oh no! Recuerda que el Engineering es el responsable de completar la información del Data Dictionary correspondiente a la entidad de explotación.</t>
  </si>
  <si>
    <t>¿Cuál de los siguientes roles no pertenence a un Dominio?</t>
  </si>
  <si>
    <t>¡Muy bien! El rol System Owner no pertenence a un Dominio.</t>
  </si>
  <si>
    <t>¡Oh no! Recuerda que el rol System Owner no pertenence a un Dominio.</t>
  </si>
  <si>
    <t>¿Quién es el responsable de identificar y coordinar los distintos Data Owners, para trabajar en garantizar el cumplimiento del modelo de gobierno, asegurando su alineamiento con la estrategia de global de datos?</t>
  </si>
  <si>
    <t>¡Muy bien! El responsable de identificar y coordinar los distintos Data Owners, para trabajar en garantizar el cumplimiento del modelo de gobierno, asegurando su alineamiento con la estrategia de global de datos es el SubDomain Owner.</t>
  </si>
  <si>
    <t>¡Oh no! Recuerda que el responsable de identificar y coordinar los distintos Data Owners, para trabajar en garantizar el cumplimiento del modelo de gobierno, asegurando su alineamiento con la estrategia de global de datos es el SubDomain Owner.</t>
  </si>
  <si>
    <t>¿Quién es el responsable de establecer circuitos de coordinación y alineamiento entre los ámbitos de SubDominios Holding y locales?</t>
  </si>
  <si>
    <t>¡Muy bien! El responsable de establecer circuitos de coordinación y alineamiento entre los ámbitos de SubDominios Holding y locales es el SubDomain Owner.</t>
  </si>
  <si>
    <t>¡Oh no! Recuerda que el responsable de establecer circuitos de coordinación y alineamiento entre los ámbitos de SubDominios Holding y locales es el SubDomain Owner.</t>
  </si>
  <si>
    <t>Documentar en herramienta de governance las entidades conceptuales y entidades de explotación</t>
  </si>
  <si>
    <t>¿Quién es el responsable de apoyar a los Data Owners para completar la visión del Dominio desde un punto de vista técnico?</t>
  </si>
  <si>
    <t>¡Muy bien! El responsable de apoyar a los Data Owners para completar la visión del Dominio desde un punto de vista técnico es el System Owner.</t>
  </si>
  <si>
    <t>¡Oh no! Recuerda que el responsable de apoyar a los Data Owners para completar la visión del Dominio desde un punto de vista técnico es el System Owner.</t>
  </si>
  <si>
    <t>El Data Owner es responsable de identificar el Trusted Data Source de los datos</t>
  </si>
  <si>
    <t>Presentar estatus del Dominio en Country / Management Working Group</t>
  </si>
  <si>
    <t>Validar altas y bajas de entidades en la herramienta de Governance</t>
  </si>
  <si>
    <t>El Domain Owner debe asistir al Country / Management Working Group mensual</t>
  </si>
  <si>
    <t>El SubDomain Owner designa al Subject Matter Expert (SME)</t>
  </si>
  <si>
    <t>En la organización, ¿quién es el responsable de fomentar la cultura basada en los datos, impulsando iniciativas para mejorar el gobierno de sus datos?</t>
  </si>
  <si>
    <t>¡Muy bien! En la organización, el responsable de fomentar la cultura basada en los datos,  impulsando iniciativas para mejorar el gobierno de sus datos es el Data Owner.</t>
  </si>
  <si>
    <t>¡Oh no! Recuerda que en la organización, el responsable de fomentar la cultura basada en los datos,  impulsando iniciativas para mejorar el gobierno de sus datos es el Data Owner.</t>
  </si>
  <si>
    <t>El Data Hub no puede operativizar reglas expertas de Data Quality en Datio sin que el Data Owner (u otro responsable de Negocio) las haya definido/solicitado.</t>
  </si>
  <si>
    <t>El Data Owner debe identificar y documentar nuevas entidades conceptuales y de explotación post-W1 y W2</t>
  </si>
  <si>
    <t>Coordinar y dar seguimiento a las actividades relacionadas con Data governance dentro del Dominio</t>
  </si>
  <si>
    <t>El Facilitador (Domain Lead) coordina la elaboración del Master Plan del Dominio</t>
  </si>
  <si>
    <t>Participar en mesas de asignación de datos con deuda de Gobierno</t>
  </si>
  <si>
    <t>¿Quién es el responsable de completar los campos del Data Content asociados a las entidades conceptuales y entidades de explotación?</t>
  </si>
  <si>
    <t>¡Muy bien! El Data Owner es responsable de completar los campos del Data Content asociados a las entidades conceptuales y entidades de explotación.</t>
  </si>
  <si>
    <t>¡Oh no! Recuerda que el Data Owner es responsable de completar los campos del Data Content asociados a las entidades conceptuales y entidades de explotación.</t>
  </si>
  <si>
    <t>Mantener y actualizar las entidades de su Ownership</t>
  </si>
  <si>
    <t>El Data Owner debe cerrar deudas de gobierno en herramienta de Data governance</t>
  </si>
  <si>
    <t>Identificar y documentar pain points para el Master Plan de su Dominio</t>
  </si>
  <si>
    <t>SME prioriza pain points e iniciativas de su SubDominio dentro del Master Plan</t>
  </si>
  <si>
    <t>¿Quién debe identificar posibles controles en origen que mejoren la calidad de los datos?</t>
  </si>
  <si>
    <t>¡Muy bien! El Data Owner debe identificar posibles controles en origen que mejoren la calidad de los datos.</t>
  </si>
  <si>
    <t>¡Oh no! Recuerda que el Data Owner debe identificar posibles controles en origen que mejoren la calidad de los datos.</t>
  </si>
  <si>
    <t>Coordinar backlog de entidades con Deuda de Gobierno</t>
  </si>
  <si>
    <t>¿Quién es el responsable de colaborar con el Domain Owner en la definición del plan anual de Data Governance en el Dominio?</t>
  </si>
  <si>
    <t>¡Muy bien! El responsable de colaborar con el Domain Owner en la definición del plan anual de Data Governance en el Dominio es el SubDomain Owner.</t>
  </si>
  <si>
    <t>¡Oh no! Recuerda que el responsable de colaborar con el Domain Owner en la definición del plan anual de Data Governance en el Dominio es el SubDomain Owner.</t>
  </si>
  <si>
    <t>Canalizar a Subdomain, SMEs y Data Owners los campos con deuda de gobierno que deban confirmar / rechazar</t>
  </si>
  <si>
    <t>¿Quién es el responsable de definir funcionalmente el dato conceptual?</t>
  </si>
  <si>
    <t>¡Muy bien! El responsable de definir funcionalmente el dato conceptual es el Data Owner Primario.</t>
  </si>
  <si>
    <t>¡Oh no! Recuerda que el responsable de definir funcionalmente el dato conceptual es el Data Owner Primario.</t>
  </si>
  <si>
    <t>¿Quién es el responsable de colaborar con Engineering en la valoración de la productivización de reglas de calidad?</t>
  </si>
  <si>
    <t>¡Muy bien! El responsable de colaborar con Engineering en la valoración de la productivización de reglas de calidad es el Data Owner.</t>
  </si>
  <si>
    <t>¡Oh no! Recuerda que el responsable de colaborar con Engineering en la valoración de la productivización de reglas de calidad es el Data Owner.</t>
  </si>
  <si>
    <t>¿Quién es el responsable de compartir mejores prácticas entre SubDominios y con otros Dominios?</t>
  </si>
  <si>
    <t>¡Muy bien! El responsable de compartir mejores prácticas entre SubDominios y con otros Dominios es el SubDomain Owner.</t>
  </si>
  <si>
    <t>¡Oh no! Recuerda que el responsable de compartir mejores prácticas entre SubDominios y con otros Dominios es el SubDomain Owner.</t>
  </si>
  <si>
    <t>El Data Owner Primario es responsable de garantizar que los Data Owners Relacionados cuenten con planes de actuación robustos para cubrir progresivamente los gaps identificados.</t>
  </si>
  <si>
    <t>¡Muy bien! El responsable de supervisar las TDS declaradas en el Business Glossary es el Subdomain Owner.</t>
  </si>
  <si>
    <t>¡Oh no! Recuerda que el responsable de supervisar las TDS declaradas en el Business Glossary es el Subdomain Owner.</t>
  </si>
  <si>
    <t>¿Quién es el responsable de coordinar a los Data Owners para que trabajen en garantizar el cumplimiento del modelo?</t>
  </si>
  <si>
    <t>¡Muy bien! El responsable de coordinar a los Data Owners para que trabajen en garantizar el cumplimiento del modelo es el Subdomain Owner.</t>
  </si>
  <si>
    <t>¡Oh no! Recuerda que el responsable de coordinar a los Data Owners para que trabajen en garantizar el cumplimiento del modelo es el Subdomain Owner.</t>
  </si>
  <si>
    <t>En Sophia, ¿quién tiene autorización para dar de alta un nuevo TDS en el TDS MAP?</t>
  </si>
  <si>
    <t>¡Muy bien! En Sophia, Engineering Lead (Data Hub) es quien tiene autorización para dar de alta un nuevo TDS en el TDS MAP.</t>
  </si>
  <si>
    <t>¡Oh no! Recuerda que en Sophia, Engineering Lead (Data Hub) es quien tiene autorización para dar de alta un nuevo TDS en el TDS MAP.</t>
  </si>
  <si>
    <t>¡Muy bien! Las principales responsabilidades del Data Hub son: 
1) Gestión y ejecución de Ingestas
2) Operativización y evolución estratégica de la nueva plataforma</t>
  </si>
  <si>
    <t>¡Oh no! Recuerda que las principales responsabilidades del Data Hub son: 
1) Gestión y ejecución de Ingestas
2) Operativización y evolución estratégica de la nueva plataforma</t>
  </si>
  <si>
    <t>El Data Owner Primario deberá alinearse con el Data Owner Relacionado de sus entidades de explotación para garantizar la homogeneidad y alineamiento tanto de la definición conceptual como de las reglas de calidad.</t>
  </si>
  <si>
    <t>Relaciona los 4 conceptos del Modelo de Data Governance con sus definiciones</t>
  </si>
  <si>
    <t>En la Herramienta de Gobierno no existe la posibilidad de duplicar la información de una regla de calidad para crear otra nueva.</t>
  </si>
  <si>
    <t>Relaciona los 4 conceptos del Modelo de Data Governance y qué es lo que buscan</t>
  </si>
  <si>
    <t>¡Muy bien! En el apartado Data Sources de la Herramienta de Gobierno puedes consultar las Data Sources existentes en tu geografía.</t>
  </si>
  <si>
    <t>¡Oh no! Recuerda que en el apartado Data Sources de la Herramienta de Gobierno puedes consultar las Data Sources existentes en tu geografía.</t>
  </si>
  <si>
    <t>Cuál de los siguientes roles no pertenence a un Dominio?</t>
  </si>
  <si>
    <t>¡Muy bien! En el apartado Data Domains de la Herramienta de Gobierno puedes consultar las descripciones de los Dominios/subdominios/ownerships.</t>
  </si>
  <si>
    <t>¡Oh no! Recuerda que en el apartado Data Domains de la Herramienta de Gobierno puedes consultar las descripciones de los Dominios/subdominios/ownerships.</t>
  </si>
  <si>
    <t>Relaciona los siguientes conceptos de entidades a su definición</t>
  </si>
  <si>
    <t>¿En Sophia, puedo consultar entidades de otros dominios?</t>
  </si>
  <si>
    <t>¿En la Herramienta, puedo ordenar alfabéticamente las búsquedas?</t>
  </si>
  <si>
    <t>Qué es una deuda técnica?</t>
  </si>
  <si>
    <t>En las entidades globales no es posible modificar la descripción existente para adaptarla a particularidades locales.</t>
  </si>
  <si>
    <t>Al dar de alta una EC en un ownership concreto, ¿se autocompletan los campos 'data owner' y 'data owner contact'?</t>
  </si>
  <si>
    <t>En el apartado Data Dictionary de la Herramienta de Gobierno, se puede consultar la información a nivel campo y a nivel objeto.</t>
  </si>
  <si>
    <t>Reponsable de validar cada Entidad documentada por el Data Owner en la herramienta de Governance</t>
  </si>
  <si>
    <t>En la herramienta de gobierno debo indicar el TDS para mis datos sin validarlo con nadie.</t>
  </si>
  <si>
    <t>Las definiciones y nombres de las entidades conceptuales tienen que declararse también en inglés.</t>
  </si>
  <si>
    <t>¿Es posible seleccionar más de una dimensión a una misma EC?</t>
  </si>
  <si>
    <t>El 'Global related term' del Business Glossary, no se informará si la Entidad Conceptual es 'Global' y se informará si la Entidad Conceptual es 'Local'.</t>
  </si>
  <si>
    <t>En la Herramienta de Gobierno, a la hora de crear una regla de calidad siempre se completa, entre otros, el principio y tipo de regla.</t>
  </si>
  <si>
    <t>Si una de mis entidades se ha modificado y no he sido yo, ¿tengo manera de comprobar quién ha sido la persona, así como la fecha en que se modificó?</t>
  </si>
  <si>
    <t>Desde el apartado Data Content de la Herramienta de Gobierno se puede crear una regla de calidad asociada.</t>
  </si>
  <si>
    <t>¡Oh no! Recuerda que la respuesta es verdadero. Desde el apartado Data Content de la Herramienta de Gobierno se puede crear una regla de calidad asociada.</t>
  </si>
  <si>
    <t>¿En qué apartado de la Herramienta de Gobierno se puede construir un nuevo objeto de Data Dictionary?</t>
  </si>
  <si>
    <t>¡Muy bien! En el apartado Data Content de la Herramienta de Gobierno se puede construir un nuevo objeto de Data Dictionary.</t>
  </si>
  <si>
    <t>¡Oh no! Recuerda que en el apartado Data Content de la Herramienta de Gobierno se puede construir un nuevo objeto de Data Dictionary.</t>
  </si>
  <si>
    <t>¿Desde el detalle de una EC podría lanzar la búsqueda de sus reglas de calidad o entidades físicas relacionadas?</t>
  </si>
  <si>
    <t>Script de test</t>
  </si>
  <si>
    <t>Relacionar</t>
  </si>
  <si>
    <t>Cuáles de los principios de calidad incluyen las reglas básicas?</t>
  </si>
  <si>
    <t>Cuáles de los principios de calidad incluyen las reglas expertas?</t>
  </si>
  <si>
    <t>Cuáles de las siguientes opciones son bloques del Master Plan México</t>
  </si>
  <si>
    <t>El data Owner de la entidad conceptual será responsable que las entidades físicas se gobiernen</t>
  </si>
  <si>
    <t>Es el responsable de completar la información del Data Dictionary correspondiente a la entidad de explotación (Puedes elegir 2 opciones)</t>
  </si>
  <si>
    <t>Cuáles son las principales responsabilidades del Data Hub</t>
  </si>
  <si>
    <t>Define reglas de calidad asociadas a sus entidades conceptuales / explotación para la medición de sus resultados</t>
  </si>
  <si>
    <t>En la herramienta Data Governance, ¿Cada cuánto se deben hacer catas / muestreo de calidad de la documentación?</t>
  </si>
  <si>
    <t>En la herramienta Data Governance, ¿Dónde se puede consultar el Data Content y el Data Quality de una entidad?</t>
  </si>
  <si>
    <t>¿Cuáles principios de calidad incluyen las reglas básicas? (Debes elegir más de uno)</t>
  </si>
  <si>
    <t>¿Cuáles principios de calidad incluyen las reglas expertas? (Debes elegir más de uno)</t>
  </si>
  <si>
    <t>¿Cuáles opciones son bloques del Master Plan México? (Debes elegir más de una opción)</t>
  </si>
  <si>
    <t>¿Cuáles son las principales responsabilidades del Data Hub? (Debes elegir más de una opción)</t>
  </si>
  <si>
    <t>¿Quién es el encargado de fomentar la cultura basada en los datos en la organización; ser proactivo y participar en capacitaciones? (Puedes escoger más de uno)</t>
  </si>
  <si>
    <t>¿A qué principio de calidad corresponde la siguiente regla?... Comprobación que el fichero se ha recibido en la fecha y hora acordada</t>
  </si>
  <si>
    <t>¿A qué principio de calidad corresponde la siguiente regla?... Verificación de la disponibilidad del valor del dato en el fichero</t>
  </si>
  <si>
    <t>¿A qué principio de calidad corresponde la siguiente regla?... Actualización del valor del dato en la fecha requerida</t>
  </si>
  <si>
    <t xml:space="preserve">¿A qué principio de calidad corresponde la siguiente regla?...
</t>
  </si>
  <si>
    <t xml:space="preserve">¿A qué principio de calidad corresponde la siguiente regla?... Completitud de perímetro requerido
</t>
  </si>
  <si>
    <t xml:space="preserve">¿A qué principio de calidad corresponde la siguiente regla?... Comprobación del valor de dato nulo (NULL)
</t>
  </si>
  <si>
    <t xml:space="preserve">¿A qué principio de calidad corresponde la siguiente regla?... Comprobación del formato del campo
</t>
  </si>
  <si>
    <t xml:space="preserve">¿A qué principio de calidad corresponde la siguiente regla?... Comprobación de valores no permitidos
</t>
  </si>
  <si>
    <t xml:space="preserve">¿A qué principio de calidad corresponde la siguiente regla?... Comprobación del valor del dato dentro del rango esperado
</t>
  </si>
  <si>
    <t xml:space="preserve">¿A qué principio de calidad corresponde la siguiente regla?... Comprobación del valor del dato en catálogo
</t>
  </si>
  <si>
    <t xml:space="preserve">¿A qué principio de calidad corresponde la siguiente regla?... Transferencia de datos origen - destino
</t>
  </si>
  <si>
    <t xml:space="preserve">¿A qué principio de calidad corresponde la siguiente regla?... Duplicidad de registros para un mismo dato
</t>
  </si>
  <si>
    <t>¿A qué principio de calidad corresponde la siguiente regla?... Comparativo de un mismo dato entre diferentes tablas/repositorios en el mismo momento de tiempo</t>
  </si>
  <si>
    <t xml:space="preserve">¿A qué principio de calidad corresponde la siguiente regla?... Réplica de cálculos
</t>
  </si>
  <si>
    <t xml:space="preserve">¿Quién es el responsable de colaborar con los stakeholders correspondientes para analizar y/o descubrir soluciones para mejorar el gobierno de sus datos? </t>
  </si>
  <si>
    <t xml:space="preserve">¿A qué principio de calidad corresponde la siguiente regla?... Comparativa entre diferentes valores de datos relacionados entre sí 
</t>
  </si>
  <si>
    <t xml:space="preserve">¿A qué principio de calidad corresponde la siguiente regla?... Concentración de valores del mismo dato en un catálogo
</t>
  </si>
  <si>
    <t xml:space="preserve">¿A qué principio de calidad corresponde la siguiente regla?... Comprobación de la sensibilidad del valor de un dato a un umbral
</t>
  </si>
  <si>
    <t xml:space="preserve">¿A qué principio de calidad corresponde la siguiente regla?... Comparativa de la evolución de diferentes valores de datos relacionados entre sí en el mismo momento del tiempo
</t>
  </si>
  <si>
    <t xml:space="preserve">¿A qué principio de calidad corresponde la siguiente regla?... Comparativa del valor del mismo dato entre periodos
</t>
  </si>
  <si>
    <t xml:space="preserve">¿A qué principio de calidad corresponde la siguiente regla?... Correlación del valor de un dato en las últimas observaciones 
</t>
  </si>
  <si>
    <t xml:space="preserve">¿A qué principio de calidad corresponde la siguiente regla?... Comparativa entre valores de datos distintos entre periodos
</t>
  </si>
  <si>
    <t xml:space="preserve">El DPM es el responsable de participar en el nombramiento de los SubDomain Owners y Data Owners. </t>
  </si>
  <si>
    <t xml:space="preserve">¿A qué principio de calidad corresponde la siguiente regla?... Coincidencia con base de datos externa
</t>
  </si>
  <si>
    <t>¿A qué principio de calidad corresponde la siguiente regla?... Coincidencia con soporte físico</t>
  </si>
  <si>
    <t>Responsable de nombrar al Domain Lead</t>
  </si>
  <si>
    <t>Responsable de priorizar las líneas de acción identificadas y asegurar la obtención de recursos para abordarlas</t>
  </si>
  <si>
    <t>es posible que el domain owner valide una EC no validada por el data owner?</t>
  </si>
  <si>
    <t>¿Quién es el responsable de supervisar y garantizar la gestión de las deudas de gobierno y su calidad?</t>
  </si>
  <si>
    <t>Responsable de realizar catas/muestreo del llenado de los campos en la herramienta de Sophia</t>
  </si>
  <si>
    <t>Responsable de realizar catas/muestreo de la calidad del llenado de los campos en la herramienta de Sophia</t>
  </si>
  <si>
    <t>Identificar y priorizar pain points que afecten al SubDominio</t>
  </si>
  <si>
    <t>Qué es Data Governance</t>
  </si>
  <si>
    <t>Garantiza la calidad de la captura de datos de los Data Owners</t>
  </si>
  <si>
    <t>Participar en sesiones quincenales de seguimiento con Data Owners</t>
  </si>
  <si>
    <t>Supervizar el avance de los SubDominios en sesiones quincenales</t>
  </si>
  <si>
    <t>Comunicar al Data Owner cambios y criterios en la ejecución del Modelo de Data Governance</t>
  </si>
  <si>
    <t>Homologar la ejecución de la función de los Data Owners</t>
  </si>
  <si>
    <t>Llevar a portafolio iniciativas y pain points para el Master Plan</t>
  </si>
  <si>
    <t>Dar seguimiento a captura y dashboards de Content y Quality de entidades de conceptuales</t>
  </si>
  <si>
    <t>RElacionar</t>
  </si>
  <si>
    <t>si</t>
  </si>
  <si>
    <t>Tipos de iniciativas según lo que resolverán</t>
  </si>
  <si>
    <t>Cuál de las siguientes opciones no es un foro implementado del DOM?</t>
  </si>
  <si>
    <t>Nombre Empleado</t>
  </si>
  <si>
    <t>Usuario SIP 2000</t>
  </si>
  <si>
    <t>Correos</t>
  </si>
  <si>
    <t>MUNOZ MARTINEZ BLANCA CECILIA</t>
  </si>
  <si>
    <t>M6956</t>
  </si>
  <si>
    <t>BLANCA.MUNOZ@BBVA.COM</t>
  </si>
  <si>
    <t>HERRERA PANTOJA SOFIA</t>
  </si>
  <si>
    <t>MB50463</t>
  </si>
  <si>
    <t>SOFIA.HERRERA@BBVA.COM</t>
  </si>
  <si>
    <t>LUCERO FUENTES ANGELICA</t>
  </si>
  <si>
    <t>ANGELICA.LUCERO@BBVA.COM</t>
  </si>
  <si>
    <t>VALENCIA BALTAZAR GABRIEL VLADIMIR</t>
  </si>
  <si>
    <t>VLADIMIR.VALENCIA@BBVA.COM</t>
  </si>
  <si>
    <t>PEREZ HERRERA ARQUIMEDES</t>
  </si>
  <si>
    <t>M843743</t>
  </si>
  <si>
    <t>ARQUIMEDES.PEREZ@BBVA.COM</t>
  </si>
  <si>
    <t>DOMINGUEZ VEGA OMAR PEDRO</t>
  </si>
  <si>
    <t>M76825</t>
  </si>
  <si>
    <t>OP.DOMINGUEZ@BBVA.COM</t>
  </si>
  <si>
    <t>TRINIDAD NAVARRO LUIS ROBERTO</t>
  </si>
  <si>
    <t>MB59026</t>
  </si>
  <si>
    <t>LUISROBERTO.TRINIDAD@BBVA.COM</t>
  </si>
  <si>
    <t>CANCHOLA HERRERA ARACELI</t>
  </si>
  <si>
    <t>A.CANCHOLA@BBVA.COM</t>
  </si>
  <si>
    <t>CORREA SERAPIO YAZMIN</t>
  </si>
  <si>
    <t>M58727</t>
  </si>
  <si>
    <t>YAZMIN.CORREA.1@BBVA.COM</t>
  </si>
  <si>
    <t>VILLEGAS CASTELLANOS LIVIA MARIANA</t>
  </si>
  <si>
    <t>MB39682</t>
  </si>
  <si>
    <t>LIVIAMARIANA.VILLEGAS@BBVA.COM</t>
  </si>
  <si>
    <t>JIMENEZ LOPEZ JORGE ARMANDO</t>
  </si>
  <si>
    <t>M844498</t>
  </si>
  <si>
    <t>J.JIMENEZL@BBVA.COM</t>
  </si>
  <si>
    <t>JUAREZ ORDONEZ JOSE ANGEL</t>
  </si>
  <si>
    <t>JA.JUAREZ@BBVA.COM</t>
  </si>
  <si>
    <t>TOVAR NUNEZ HUGO</t>
  </si>
  <si>
    <t>M911693</t>
  </si>
  <si>
    <t>HUGO.TOVAR@BBVA.COM</t>
  </si>
  <si>
    <t>GARCIA FUENTES RODOLFO</t>
  </si>
  <si>
    <t>M820867</t>
  </si>
  <si>
    <t>RODOLFO.GARCIA.1@BBVA.COM</t>
  </si>
  <si>
    <t>CADENA CHENGE LOURDES XIMENA</t>
  </si>
  <si>
    <t>MB39456</t>
  </si>
  <si>
    <t>LOURDESXIMENA.CADENA@BBVA.COM</t>
  </si>
  <si>
    <t>ESPINOSA URRUTIA MARIANA</t>
  </si>
  <si>
    <t>MB32498</t>
  </si>
  <si>
    <t>MARIANA.ESPINOSA@BBVA.COM</t>
  </si>
  <si>
    <t>VACANTE</t>
  </si>
  <si>
    <t>DOMINGUEZ ALMARAZ JOSE CARLOS</t>
  </si>
  <si>
    <t>MB83194</t>
  </si>
  <si>
    <t>JOSECARLOS.DOMINGUEZ@BBVA.COM</t>
  </si>
  <si>
    <t>SANTISTEVAN TELLEZ JUAN CARLOS</t>
  </si>
  <si>
    <t>M32211</t>
  </si>
  <si>
    <t>JUAN.SANTISTEVAN.1@BBVA.COM</t>
  </si>
  <si>
    <t>HERNANDEZ PEREZ MIGUEL ANGEL</t>
  </si>
  <si>
    <t>MB56827</t>
  </si>
  <si>
    <t>MIGUELANGEL.HERNANDEZ.PEREZ@BBVA.COM</t>
  </si>
  <si>
    <t>ARELLANO JACOBO SAID</t>
  </si>
  <si>
    <t>MH01942</t>
  </si>
  <si>
    <t>S.ARELLANO@BBVA.COM</t>
  </si>
  <si>
    <t>OCHOA BAUTISTA ROSA</t>
  </si>
  <si>
    <t>ROSA.OCHOA.1@BBVA.COM</t>
  </si>
  <si>
    <t>HERNANDEZ VILLA JULIAN CUAUHTEMOC</t>
  </si>
  <si>
    <t>M42794</t>
  </si>
  <si>
    <t>JULIAN.HERNANDEZ@BBVA.COM</t>
  </si>
  <si>
    <t>PINEDA GUTIERREZ MARICARMEN</t>
  </si>
  <si>
    <t>MB60871</t>
  </si>
  <si>
    <t>MARICARMEN.PINEDA@BBVA.COM</t>
  </si>
  <si>
    <t>LOPEZ BENITEZ CLAUDIA IVETTE</t>
  </si>
  <si>
    <t>M905524</t>
  </si>
  <si>
    <t>CLAUDIA.LOPEZ.3@BBVA.COM</t>
  </si>
  <si>
    <t>JIMENEZ SALAS MARIA EUGENIA</t>
  </si>
  <si>
    <t>M820971</t>
  </si>
  <si>
    <t>ME.JIMENEZ@BBVA.COM</t>
  </si>
  <si>
    <t>AGUILAR HERRERA MARIA MARCELA</t>
  </si>
  <si>
    <t>M48043</t>
  </si>
  <si>
    <t>MARCELA.AGUILAR@BBVA.COM</t>
  </si>
  <si>
    <t>REMOLINA MENENDEZ EMILIA LAURA</t>
  </si>
  <si>
    <t>M55683</t>
  </si>
  <si>
    <t>E.REMOLINA@BBVA.COM</t>
  </si>
  <si>
    <t>AZCORRA TORRES MARIA ANGELICA GUADALUPE</t>
  </si>
  <si>
    <t>MA29508</t>
  </si>
  <si>
    <t>ALVARADO CORTES KAREN GISELL</t>
  </si>
  <si>
    <t>MB46133</t>
  </si>
  <si>
    <t>CRUZ ROJAS DANIEL</t>
  </si>
  <si>
    <t>MB10318</t>
  </si>
  <si>
    <t>DANIEL.CRUZR@BBVA.COM</t>
  </si>
  <si>
    <t>MENDOZA GONZALEZ MARIA GUADALUPE</t>
  </si>
  <si>
    <t>M6080</t>
  </si>
  <si>
    <t>MARIAGUADALUPE.MENDOZA.1@BBVA.COM</t>
  </si>
  <si>
    <t>LOZANO PANIAGUA DIEGO ENRIQUE</t>
  </si>
  <si>
    <t>M901152</t>
  </si>
  <si>
    <t>DIEGOENRIQUE.LOZANO@BBVA.COM</t>
  </si>
  <si>
    <t>SOLIS CRUZ MARLENE ESTEFANIA</t>
  </si>
  <si>
    <t>MB75144</t>
  </si>
  <si>
    <t>MARLENEESTEFANIA.SOLIS@BBVA.COM</t>
  </si>
  <si>
    <t>OLIVARES SALAS MAYRA IRAZU</t>
  </si>
  <si>
    <t>MB08030</t>
  </si>
  <si>
    <t>MAYRA.OLIVARES@BBVA.COM</t>
  </si>
  <si>
    <t>RENTERIA RAMIREZ FELIPE DE JESUS</t>
  </si>
  <si>
    <t>M911231</t>
  </si>
  <si>
    <t>FELIPE.RENTERIA@BBVA.COM</t>
  </si>
  <si>
    <t>QUINONEZ GONZALEZ IRMA ISABEL</t>
  </si>
  <si>
    <t>M404196</t>
  </si>
  <si>
    <t>IRMA.QUINONES@BBVA.COM</t>
  </si>
  <si>
    <t>MAR ULLOA ANGEL ALBERTO</t>
  </si>
  <si>
    <t>M905736</t>
  </si>
  <si>
    <t>ANGEL.MAR@BBVA.COM</t>
  </si>
  <si>
    <t>ACOSTA DIAZ GIULIANA PAOLA</t>
  </si>
  <si>
    <t>M843902</t>
  </si>
  <si>
    <t>M843902@BBVA.COM</t>
  </si>
  <si>
    <t>CERDA VAZQUEZ EDER MAURICIO</t>
  </si>
  <si>
    <t>MB29368</t>
  </si>
  <si>
    <t>EDERMAURICIO.CERDA@BBVA.COM</t>
  </si>
  <si>
    <t>TORRES LUEVANO KAREN ALEJANDRA</t>
  </si>
  <si>
    <t>MB77728</t>
  </si>
  <si>
    <t>KARENALEJANDRA.TORRES@BBVA.COM</t>
  </si>
  <si>
    <t>GONZALEZ ANDRADE JUAN MANUEL</t>
  </si>
  <si>
    <t>MB60573</t>
  </si>
  <si>
    <t>JUANMANUEL.GONZALEZ2@BBVA.COM</t>
  </si>
  <si>
    <t>DELGADO FLORES EDUARDO SEVERIANO</t>
  </si>
  <si>
    <t>M114029</t>
  </si>
  <si>
    <t>EDUARDO.DELGADO@BBVA.COM</t>
  </si>
  <si>
    <t>COLIN LEAL JANETH GRACIELA</t>
  </si>
  <si>
    <t>MB07005</t>
  </si>
  <si>
    <t>JANETH.COLIN@BBVA.COM</t>
  </si>
  <si>
    <t>CONTRERAS GARCIA LORENA STEPHANY</t>
  </si>
  <si>
    <t>MB50164</t>
  </si>
  <si>
    <t>LORENA.CONTRERAS@BBVA.COM</t>
  </si>
  <si>
    <t>LERENA PINTO ADRIANA</t>
  </si>
  <si>
    <t>MB56210</t>
  </si>
  <si>
    <t>ADRIANA.LERENA@BBVA.COM</t>
  </si>
  <si>
    <t>OLIVOS ROLDAN ADELA</t>
  </si>
  <si>
    <t>M15440</t>
  </si>
  <si>
    <t>ADELA.OLIVOS@BBVA.COM</t>
  </si>
  <si>
    <t>PATINO MIRANDA JANETH</t>
  </si>
  <si>
    <t>M814430</t>
  </si>
  <si>
    <t>JANETH.PATINO@BBVA.COM</t>
  </si>
  <si>
    <t>DELGADO MONTIEL ADRIANA</t>
  </si>
  <si>
    <t>MB10789</t>
  </si>
  <si>
    <t>PATRON PEREIRA NANCY BEATRIZ</t>
  </si>
  <si>
    <t>M820220</t>
  </si>
  <si>
    <t>NANCY.PATRON@BBVA.COM</t>
  </si>
  <si>
    <t>ROSADO GONZALEZ NINFA RAQUEL</t>
  </si>
  <si>
    <t>M819141</t>
  </si>
  <si>
    <t>NINFA.ROSADO@BBVA.COM</t>
  </si>
  <si>
    <t>PEREZ CAMARILLO YESSICA EUGENIA</t>
  </si>
  <si>
    <t>YESSICA.PEREZ@BBVA.COM</t>
  </si>
  <si>
    <t>GUALITO DOMINGUEZ MARLENE HELENNY</t>
  </si>
  <si>
    <t>MB00838</t>
  </si>
  <si>
    <t>MARLENE.GUALITO@BBVA.COM</t>
  </si>
  <si>
    <t>MONTANO REYES LAURA EVELIA</t>
  </si>
  <si>
    <t>MB15609</t>
  </si>
  <si>
    <t>LAURAEVELIA.MONTANO@BBVA.COM</t>
  </si>
  <si>
    <t>HERNANDEZ SANCHEZ HECTOR IVAN</t>
  </si>
  <si>
    <t>M823972</t>
  </si>
  <si>
    <t>HECTOR.IVAN@BBVA.COM</t>
  </si>
  <si>
    <t>BECERRA SANCHEZ FLOR ITZEL</t>
  </si>
  <si>
    <t>MB22603</t>
  </si>
  <si>
    <t>FLORITZEL.BECERRA@BBVA.COM</t>
  </si>
  <si>
    <t>MAYA HERNANDEZ ELIZABETH</t>
  </si>
  <si>
    <t>MB71966</t>
  </si>
  <si>
    <t>ELIZABETH.MAYA@BBVA.COM</t>
  </si>
  <si>
    <t>PIMENTEL ROSAS MARIO EDGAR</t>
  </si>
  <si>
    <t>MB14252</t>
  </si>
  <si>
    <t>MARIOEDGAR.PIMENTEL@BBVA.COM</t>
  </si>
  <si>
    <t>MENDOZA HERNANDEZ ADOLFO</t>
  </si>
  <si>
    <t>MB61437</t>
  </si>
  <si>
    <t>ADOLFO.MENDOZA@BBVA.COM</t>
  </si>
  <si>
    <t>GARCIA CARAVEO JOSE LUIS</t>
  </si>
  <si>
    <t>M907997</t>
  </si>
  <si>
    <t>JOSELUIS.GARCIA2@BBVA.COM</t>
  </si>
  <si>
    <t>VALERIANO ALAMILLA GIL EDUARDO</t>
  </si>
  <si>
    <t>MB79581</t>
  </si>
  <si>
    <t>gileduardo.valeriano@bbva.com</t>
  </si>
  <si>
    <t>MARTINEZ DE JESUS REYNA JESSICA</t>
  </si>
  <si>
    <t>M823425</t>
  </si>
  <si>
    <t>JESSICA.MARTINEZJ@BBVA.COM</t>
  </si>
  <si>
    <t>CONTRERAS MARTINEZ LUIS ENRIQUE</t>
  </si>
  <si>
    <t>MB00707</t>
  </si>
  <si>
    <t>LUISENRIQUE.CONTRERAS@BBVA.COM</t>
  </si>
  <si>
    <t>GARCIA MORALES NANTYELI GABRIELA</t>
  </si>
  <si>
    <t>M58073</t>
  </si>
  <si>
    <t>NG.GARCIA@BBVA.COM</t>
  </si>
  <si>
    <t>REYES TREJO MARIA DE LOURDES</t>
  </si>
  <si>
    <t>MH00458</t>
  </si>
  <si>
    <t>L.REYES@BBVA.COM</t>
  </si>
  <si>
    <t>ZACARIAS PEREZ MAGALY</t>
  </si>
  <si>
    <t>MB26096</t>
  </si>
  <si>
    <t>MAGALY.ZACARIAS@BBVA.COM</t>
  </si>
  <si>
    <t>ANGELES ORTIZ SUSANA STEPHANY</t>
  </si>
  <si>
    <t>MB00803</t>
  </si>
  <si>
    <t>SUSANASTEPHANY.ANGELES.ORTIZ@BBVA.COM</t>
  </si>
  <si>
    <t>LEYVA HERNANDEZ ANA LILIA</t>
  </si>
  <si>
    <t>M913273</t>
  </si>
  <si>
    <t>ANA.LEYVA@BBVA.COM</t>
  </si>
  <si>
    <t>TINOCO REYES SAMUEL ALEJANDRO</t>
  </si>
  <si>
    <t>MB58319</t>
  </si>
  <si>
    <t>SAMUELALEJANDRO.TINOCO@BBVA.COM</t>
  </si>
  <si>
    <t>OSUNA VIZCARRA JORGE ALBERTO</t>
  </si>
  <si>
    <t>M76505</t>
  </si>
  <si>
    <t>JORGE.OSUNA@BBVA.COM</t>
  </si>
  <si>
    <t>ABARCA PROCOPIO LETICIA</t>
  </si>
  <si>
    <t>MB28521</t>
  </si>
  <si>
    <t>LETICIA.ABARCA@BBVA.COM</t>
  </si>
  <si>
    <t>GONZALEZ BASTIDA DANIEL</t>
  </si>
  <si>
    <t>MB13101</t>
  </si>
  <si>
    <t>DANIEL.GONZALEZB@BBVA.COM</t>
  </si>
  <si>
    <t>SCLAVO MELO EDUARDO</t>
  </si>
  <si>
    <t>MB68598</t>
  </si>
  <si>
    <t>EDUARDO.SCLAVO@BBVA.COM</t>
  </si>
  <si>
    <t>GARDUNO ORTIZ ANA GEORGINA</t>
  </si>
  <si>
    <t>MB60374</t>
  </si>
  <si>
    <t>ANAGEORGINA.GARDUNO@BBVA.COM</t>
  </si>
  <si>
    <t>LOPEZ FERNANDEZ ARTURO</t>
  </si>
  <si>
    <t>M54135</t>
  </si>
  <si>
    <t>ARTURO.LOPEZ@BBVA.COM</t>
  </si>
  <si>
    <t>SIMON MARTINEZ ROCIO</t>
  </si>
  <si>
    <t>MB61952</t>
  </si>
  <si>
    <t>ROCIO.SIMON.MARTINEZ@BBVA.COM</t>
  </si>
  <si>
    <t>CELIS CALDERON GABRIELA</t>
  </si>
  <si>
    <t>M826821</t>
  </si>
  <si>
    <t>G.CELIS@BBVA.COM</t>
  </si>
  <si>
    <t>RUEDA ARAMBURU IVAN FRANCISCO</t>
  </si>
  <si>
    <t>MH01614</t>
  </si>
  <si>
    <t>I.RUEDA@BBVA.COM</t>
  </si>
  <si>
    <t>SALDANA MARTINEZ ROBERTO</t>
  </si>
  <si>
    <t>M825929</t>
  </si>
  <si>
    <t>R.SALDANA2@BBVA.COM</t>
  </si>
  <si>
    <t>BENITEZ RODRIGUEZ SALVADOR</t>
  </si>
  <si>
    <t>MB57279</t>
  </si>
  <si>
    <t>SALVADOR.BENITEZ.RODRIGUEZ@BBVA.COM</t>
  </si>
  <si>
    <t>CRUZ GONZALEZ ANGELICA</t>
  </si>
  <si>
    <t>MB45274</t>
  </si>
  <si>
    <t>ANGELICA.CRUZ.GONZALEZ@BBVA.COM</t>
  </si>
  <si>
    <t>GARDUNO SANCHEZ LAURA</t>
  </si>
  <si>
    <t>MB56779</t>
  </si>
  <si>
    <t>LAURA.GARDUNO@BBVA.COM</t>
  </si>
  <si>
    <t>GUTIERREZ BARRIOS CATALINA</t>
  </si>
  <si>
    <t>M33407</t>
  </si>
  <si>
    <t>CATALINA.GUTIERREZ@BBVA.COM</t>
  </si>
  <si>
    <t>MORALES GONZALEZ SALVADOR</t>
  </si>
  <si>
    <t>M33304</t>
  </si>
  <si>
    <t>SALVADOR.MORALES@BBVA.COM</t>
  </si>
  <si>
    <t>GONZALEZ FLORES ANDREA NAYELI</t>
  </si>
  <si>
    <t>MA30681</t>
  </si>
  <si>
    <t>ANDREA.GONZALEZF@BBVA.COM</t>
  </si>
  <si>
    <t>ACEVEDO FERNANDEZ LUIS FELIPE</t>
  </si>
  <si>
    <t>M840397</t>
  </si>
  <si>
    <t>LUIS.ACEVEDO@BBVA.COM</t>
  </si>
  <si>
    <t>MORA CORONA JUAN GILBERTO</t>
  </si>
  <si>
    <t>MB54589</t>
  </si>
  <si>
    <t>JUANGILBERTO.MORA@BBVA.COM</t>
  </si>
  <si>
    <t>BELTRAN PORRAS ELIZABETH</t>
  </si>
  <si>
    <t>MH01017</t>
  </si>
  <si>
    <t>E.BELTRAN@BBVA.COM</t>
  </si>
  <si>
    <t>BUSTAMANTE DIAZ DANIEL</t>
  </si>
  <si>
    <t>MB84364</t>
  </si>
  <si>
    <t>DANIEL.BUSTAMANTE.DIAZ@BBVA.COM</t>
  </si>
  <si>
    <t>BECERRIL FIGUEROA MARIA ERANDI</t>
  </si>
  <si>
    <t>MB25766</t>
  </si>
  <si>
    <t>MARIAERANDI.BECERRIL@BBVA.COM</t>
  </si>
  <si>
    <t>CORONA CRUZ MARIA LUISA</t>
  </si>
  <si>
    <t>MH00733</t>
  </si>
  <si>
    <t>LUISA.CORONA@BBVA.COM</t>
  </si>
  <si>
    <t>AGUILERA GONZALEZ CARLOS</t>
  </si>
  <si>
    <t>MH03615</t>
  </si>
  <si>
    <t>CARLOS.AGUILERAG@BBVA.COM</t>
  </si>
  <si>
    <t>PINEDA RODRIGUEZ JONNATAN</t>
  </si>
  <si>
    <t>MB80852</t>
  </si>
  <si>
    <t>JONNATAN.PINEDA@BBVA.COM</t>
  </si>
  <si>
    <t>VELASCO GALVAN LUIS ALBERTO</t>
  </si>
  <si>
    <t>MB24295</t>
  </si>
  <si>
    <t>LUISALBERTO.VELASCO@BBVA.COM</t>
  </si>
  <si>
    <t>LOPEZ MUNOZ CARLOS ALBERTO</t>
  </si>
  <si>
    <t>MB73908</t>
  </si>
  <si>
    <t>CARLOSALBERTO.LOPEZ.MUNOZ@BBVA.COM</t>
  </si>
  <si>
    <t>CARRILLO SALGADO ELIZABETH HAYDEE</t>
  </si>
  <si>
    <t>MH03436</t>
  </si>
  <si>
    <t>ELIZABETH.CARRILLO@BBVA.COM</t>
  </si>
  <si>
    <t>QUINTERO RIVERA IMANOL</t>
  </si>
  <si>
    <t>MB74485</t>
  </si>
  <si>
    <t>IMANOL.QUINTERO@BBVA.COM</t>
  </si>
  <si>
    <t>JIMENEZ PATINO DIANA BEATRIZ</t>
  </si>
  <si>
    <t>MB79563</t>
  </si>
  <si>
    <t>DIANABEATRIZ.JIMENEZ@BBVA.COM</t>
  </si>
  <si>
    <t>FLORES ARGOMEDO MARIA GUADALUPE</t>
  </si>
  <si>
    <t>M75214</t>
  </si>
  <si>
    <t>MG.FLORES@BBVA.COM</t>
  </si>
  <si>
    <t>ZAVALA PUCHETA TERESITA NAYELI</t>
  </si>
  <si>
    <t>MB23096</t>
  </si>
  <si>
    <t>TERESITA.ZAVALA@BBVA.COM</t>
  </si>
  <si>
    <t>GARCIA PUENTE FELIPE MOISES</t>
  </si>
  <si>
    <t>MB70250</t>
  </si>
  <si>
    <t>FELIPEMOISES.GARCIA@BBVA.COM</t>
  </si>
  <si>
    <t>PELLEGRINI DELGADO VICTOR MANUEL</t>
  </si>
  <si>
    <t>MB83626</t>
  </si>
  <si>
    <t>VICTORMANUEL.PELLEGRINI@BBVA.COM</t>
  </si>
  <si>
    <t>GONZALEZ MENDEZ XANAT LORENA</t>
  </si>
  <si>
    <t>M827744</t>
  </si>
  <si>
    <t>XANAT.GONZALEZ@BBVA.COM</t>
  </si>
  <si>
    <t>PALACIOS BARRERA ANA KAREN</t>
  </si>
  <si>
    <t>MB15205</t>
  </si>
  <si>
    <t>ANAKAREN.PALACIOS@BBVA.COM</t>
  </si>
  <si>
    <t>LICONA MATEOS JUAN CARLOS</t>
  </si>
  <si>
    <t>MB63372</t>
  </si>
  <si>
    <t>JUANCARLOS.LICONA@BBVA.COM</t>
  </si>
  <si>
    <t>GARCIA SANTIAGO VIRIDIANA</t>
  </si>
  <si>
    <t>MB36945</t>
  </si>
  <si>
    <t>VIRIDIANA.GARCIA@BBVA.COM</t>
  </si>
  <si>
    <t>MARTINEZ VALENCIA FABIOLA</t>
  </si>
  <si>
    <t>MB47455</t>
  </si>
  <si>
    <t>FABIOLA.MARTINEZ.VALENCIA@BBVA.COM</t>
  </si>
  <si>
    <t>RAMIREZ LAZARO VERONICA</t>
  </si>
  <si>
    <t>MB72505</t>
  </si>
  <si>
    <t>VERONICA.RAMIREZ.LAZARO@BBVA.COM</t>
  </si>
  <si>
    <t>VEGA BARCENAS ANGELES ADRIANA</t>
  </si>
  <si>
    <t>MB60801</t>
  </si>
  <si>
    <t>ANGELESADRIANA.VEGA@BBVA.COM</t>
  </si>
  <si>
    <t>HERNANDEZ MARAVILLA ANGELLY MICHELLE</t>
  </si>
  <si>
    <t>MH03727</t>
  </si>
  <si>
    <t>ANGELLY.HERNANDEZ@BBVA.COM</t>
  </si>
  <si>
    <t>OVIN AVILA JOSE ADRIAN</t>
  </si>
  <si>
    <t>MB84386</t>
  </si>
  <si>
    <t>JOSEADRIAN.OVIN.AVILA@BBVA.COM</t>
  </si>
  <si>
    <t>MUNOZ AVILA OMAR ANIBAL</t>
  </si>
  <si>
    <t>MB83908</t>
  </si>
  <si>
    <t>OMARANIBAL.MUNOZ.AVILA@BBVA.COM</t>
  </si>
  <si>
    <t>ROMERO MONTERRUBIO DIEGO DANIEL</t>
  </si>
  <si>
    <t>MB60373</t>
  </si>
  <si>
    <t>DIEGODANIEL.ROMERO@BBVA.COM</t>
  </si>
  <si>
    <t>LOPEZ JUAREZ JOSE EDUARDO</t>
  </si>
  <si>
    <t>MB44003</t>
  </si>
  <si>
    <t>JOSEEDUARDO.LOPEZ@BBVA.COM</t>
  </si>
  <si>
    <t>GARCIA LUGO CARLOS ABNER</t>
  </si>
  <si>
    <t>MB55957</t>
  </si>
  <si>
    <t>CARLOSABNER.GARCIA@BBVA.COM</t>
  </si>
  <si>
    <t>ZUNIGA ROMERO CLAUDIA</t>
  </si>
  <si>
    <t>MH03082</t>
  </si>
  <si>
    <t>CLAUDIA.ZUNIGA@BBVA.COM</t>
  </si>
  <si>
    <t>DEHONOR OCON VICTOR MANUEL</t>
  </si>
  <si>
    <t>MB48455</t>
  </si>
  <si>
    <t>VICTORMANUEL.DEHONOR.OCON@BBVA.COM</t>
  </si>
  <si>
    <t>VASQUEZ ALAVEZ ESTHER</t>
  </si>
  <si>
    <t>MB73125</t>
  </si>
  <si>
    <t>ESTHER.VASQUEZ@BBVA.COM</t>
  </si>
  <si>
    <t>BERNAL RANGEL SONIA LETICIA</t>
  </si>
  <si>
    <t>M45525</t>
  </si>
  <si>
    <t>SONIA.BERNAL@BBVA.COM</t>
  </si>
  <si>
    <t>SAUCEDO HERNANDEZ RICARDO ENRIQUE</t>
  </si>
  <si>
    <t>MB00781</t>
  </si>
  <si>
    <t>RICARDO.SAUCEDO@BBVA.COM</t>
  </si>
  <si>
    <t>PEREZ GALLARDO JUAN CARLOS</t>
  </si>
  <si>
    <t>MB43695</t>
  </si>
  <si>
    <t>JUANCARLOS.PEREZ.GALLARDO@BBVA.COM</t>
  </si>
  <si>
    <t>GONZALEZ RODRIGUEZ LEON AXEL</t>
  </si>
  <si>
    <t>MB03156</t>
  </si>
  <si>
    <t>LEON.GONZALEZ@BBVA.COM</t>
  </si>
  <si>
    <t>CONSTANTINO ESPINOSA EZEQUIEL</t>
  </si>
  <si>
    <t>MB10922</t>
  </si>
  <si>
    <t>EZEQUIEL.CONSTANTINO@BBVA.COM</t>
  </si>
  <si>
    <t>CIBRIAN ZAVALA JOSE MANUEL</t>
  </si>
  <si>
    <t>MB54140</t>
  </si>
  <si>
    <t>JOSEMANUEL.CIBRIAN.ZAVALA@BBVA.COM</t>
  </si>
  <si>
    <t>RUIZ GARCIA CARLOS MAURICIO</t>
  </si>
  <si>
    <t>MB78619</t>
  </si>
  <si>
    <t>CARLOSMAURICIO.RUIZ.GARCIA@BBVA.COM</t>
  </si>
  <si>
    <t>MARTINEZ VAZQUEZ OMAR</t>
  </si>
  <si>
    <t>MB80126</t>
  </si>
  <si>
    <t>OMAR.MARTINEZ.VAZQUEZ@BBVA.COM</t>
  </si>
  <si>
    <t>ROMERO CORTES OBDULIO MANUEL</t>
  </si>
  <si>
    <t>MH01004</t>
  </si>
  <si>
    <t>O.ROMERO@BBVA.COM</t>
  </si>
  <si>
    <t>ROBLES ESCOBAR ANA LAURA</t>
  </si>
  <si>
    <t>MB10707</t>
  </si>
  <si>
    <t>ANALAURA.ROBLES@BBVA.COM</t>
  </si>
  <si>
    <t>HERNANDEZ ABREO MARIBEL</t>
  </si>
  <si>
    <t>MB04199</t>
  </si>
  <si>
    <t>MARIBEL.HERNANDEZ.4@BBVA.COM</t>
  </si>
  <si>
    <t>HERNANDEZ ROSAS YASMIN</t>
  </si>
  <si>
    <t>MB25758</t>
  </si>
  <si>
    <t>YASMIN.HERNANDEZR@BBVA.COM</t>
  </si>
  <si>
    <t>GALINDO TORRES MARIA ADRIANA</t>
  </si>
  <si>
    <t>M44814</t>
  </si>
  <si>
    <t>MARIAADRIANA.GALINDO@BBVA.COM</t>
  </si>
  <si>
    <t>GONZALEZ VILLANUEVA SARAI</t>
  </si>
  <si>
    <t>M913071</t>
  </si>
  <si>
    <t>S.GONZALEZV@BBVA.COM</t>
  </si>
  <si>
    <t>CORDOVA PALOMINO EDUARDO ANTONIO</t>
  </si>
  <si>
    <t>MB00422</t>
  </si>
  <si>
    <t>EDUARDO.CORDOVA@BBVA.COM</t>
  </si>
  <si>
    <t>RADILLA ORTIZ ERIKA</t>
  </si>
  <si>
    <t>M490083</t>
  </si>
  <si>
    <t>ERIKA.RADILLA@BBVA.COM</t>
  </si>
  <si>
    <t>RODRIGUEZ PADILLA LAURA</t>
  </si>
  <si>
    <t>M53831</t>
  </si>
  <si>
    <t>LAURA.RODRIGUEZ@BBVA.COM</t>
  </si>
  <si>
    <t>GARCIA GARCIA VERONICA</t>
  </si>
  <si>
    <t>MB62902</t>
  </si>
  <si>
    <t>VERONICA.GARCIA2@BBVA.COM</t>
  </si>
  <si>
    <t>ULLOA MUNOZ GIULIANA</t>
  </si>
  <si>
    <t>MB06533</t>
  </si>
  <si>
    <t>GIULIANA.ULLOA@BBVA.COM</t>
  </si>
  <si>
    <t>GARCIA ROMANO JUAN DE DIOS</t>
  </si>
  <si>
    <t>MB45334</t>
  </si>
  <si>
    <t>JUANDEDIOS.GARCIA@BBVA.COM</t>
  </si>
  <si>
    <t>GONZALEZ CASASOLA RODRIGO ANTONIO</t>
  </si>
  <si>
    <t>MB63934</t>
  </si>
  <si>
    <t>RODRIGOANTONIO.GONZALEZ@BBVA.COM</t>
  </si>
  <si>
    <t>VILLANUEVA VARGAS AURORA SAMANTHA</t>
  </si>
  <si>
    <t>MB55166</t>
  </si>
  <si>
    <t>AURORASAMANTHA.VILLANUEVA@BBVA.COM</t>
  </si>
  <si>
    <t>VILLANUEVA TORRES ANDREA BRIGITTE</t>
  </si>
  <si>
    <t>MB80547</t>
  </si>
  <si>
    <t>ANDREABRIGITTE.VILLANUEVA@BBVA.COM</t>
  </si>
  <si>
    <t>MORA LOPEZ TANIA</t>
  </si>
  <si>
    <t>M910238</t>
  </si>
  <si>
    <t>FLORES CABRERA GLENDA LYA</t>
  </si>
  <si>
    <t>MB52058</t>
  </si>
  <si>
    <t>GLENDALYA.FLORES.CABRERA@BBVA.COM</t>
  </si>
  <si>
    <t>PINEDA MARTINEZ HUGO ENRIQUE</t>
  </si>
  <si>
    <t>M913611</t>
  </si>
  <si>
    <t>HUGOENRIQUE.PINEDA@BBVA.COM</t>
  </si>
  <si>
    <t>PATINO ZARAGOZA LUZ DE LOURDES</t>
  </si>
  <si>
    <t>M55212</t>
  </si>
  <si>
    <t>LUZ.PATINO@BBVA.COM</t>
  </si>
  <si>
    <t>NAVA TALLAVAS IRMA TERESA</t>
  </si>
  <si>
    <t>M44457</t>
  </si>
  <si>
    <t>IRMA.NAVA@BBVA.COM</t>
  </si>
  <si>
    <t>GONZALEZ RANGEL SULMA PATRICIA</t>
  </si>
  <si>
    <t>MB84284</t>
  </si>
  <si>
    <t>SULMAPATRICIA.GONZALEZ.RANGEL@BBVA.COM</t>
  </si>
  <si>
    <t>BRUNO CONTRERAS NORMA ELIZABETH</t>
  </si>
  <si>
    <t>MB71278</t>
  </si>
  <si>
    <t>normaelizabeth.bruno@bbva.com</t>
  </si>
  <si>
    <t>RIVERA BENITEZ DIEGO ALEJANDRO</t>
  </si>
  <si>
    <t>MB77424</t>
  </si>
  <si>
    <t>DIEGOALEJANDRO.RIVERA@BBVA.COM</t>
  </si>
  <si>
    <t>ESPANA DEL RIO SANDRA MARIA JOSE</t>
  </si>
  <si>
    <t>MB63613</t>
  </si>
  <si>
    <t>SANDRAMARIAJOSE.ESPANA.DELRIO@BBVA.COM</t>
  </si>
  <si>
    <t>PALACIOS ROBLES POLET GUADALUPE</t>
  </si>
  <si>
    <t>MB62903</t>
  </si>
  <si>
    <t>POLETGUADALUPE.PALACIOS@BBVA.COM</t>
  </si>
  <si>
    <t>OSORIO MARTINEZ SANDRA BELINDA</t>
  </si>
  <si>
    <t>MB62906</t>
  </si>
  <si>
    <t>SANDRABELINDA.OSORIO.MARTINEZ@BBVA.COM</t>
  </si>
  <si>
    <t>TORRES HERNANDEZ FERNANDA</t>
  </si>
  <si>
    <t>MB63612</t>
  </si>
  <si>
    <t>FERNANDA.TORRES@BBVA.COM</t>
  </si>
  <si>
    <t>COLIN CARRETO MARTHA TERESA</t>
  </si>
  <si>
    <t>MB55055</t>
  </si>
  <si>
    <t>MARTHATERESA.COLIN.CARRETO@BBVA.COM</t>
  </si>
  <si>
    <t>ELIZALDE MELO MARISELA</t>
  </si>
  <si>
    <t>MB61171</t>
  </si>
  <si>
    <t>MARISELA.ELIZALDE@BBVA.COM</t>
  </si>
  <si>
    <t>AZPE FIMBRES HUGO ATAULFO</t>
  </si>
  <si>
    <t>HUGO.AZPE@BBVA.COM</t>
  </si>
  <si>
    <t>DE LA GUARDIA ARGUELLES CARLOS</t>
  </si>
  <si>
    <t>M51796</t>
  </si>
  <si>
    <t>C.DELAGUARDIA@BBVA.COM</t>
  </si>
  <si>
    <t>MORENO CASTILLEJA ALAN</t>
  </si>
  <si>
    <t>MB09238</t>
  </si>
  <si>
    <t>ALAN.MORENOC@BBVA.COM</t>
  </si>
  <si>
    <t>ESPINOSA HIDALGO JUAN CARLOS</t>
  </si>
  <si>
    <t>MB00031</t>
  </si>
  <si>
    <t>JUANCARLOS.ESPINOZA@BBVA.COM</t>
  </si>
  <si>
    <t>MIGUEL CARRASCO ROCIO</t>
  </si>
  <si>
    <t>MB61224</t>
  </si>
  <si>
    <t>ROCIO.MIGUEL.CARRASCO@BBVA.COM</t>
  </si>
  <si>
    <t>TORRENTERA ABREGO HUGO</t>
  </si>
  <si>
    <t>MB00009</t>
  </si>
  <si>
    <t>HUGO.TORRENTERA@BBVA.COM</t>
  </si>
  <si>
    <t>SALINAS JIMENEZ GERARDO JAVIER</t>
  </si>
  <si>
    <t>M825681</t>
  </si>
  <si>
    <t>GERARDO.SALINAS@BBVA.COM</t>
  </si>
  <si>
    <t>ZAMORA CERRITOS OSCAR</t>
  </si>
  <si>
    <t>MA29377</t>
  </si>
  <si>
    <t>OSCAR.ZAMORA@BBVA.COM</t>
  </si>
  <si>
    <t>DIAZ JAIMES ROBERTO</t>
  </si>
  <si>
    <t>M55332</t>
  </si>
  <si>
    <t>ROBERTO.DIAZJ@BBVA.COM</t>
  </si>
  <si>
    <t>VELAZQUEZ CORONA ROBERTO DANIEL</t>
  </si>
  <si>
    <t>MB20779</t>
  </si>
  <si>
    <t>R.VELAZQUEZ@BBVA.COM</t>
  </si>
  <si>
    <t>FERNANDEZ FUENTES YESSICA KATHIA</t>
  </si>
  <si>
    <t>M7781</t>
  </si>
  <si>
    <t>YESSICA.FERNANDEZ@BBVA.COM</t>
  </si>
  <si>
    <t>MUNGUIA ALPIZAR MIGUEL ANGEL</t>
  </si>
  <si>
    <t>MB48136</t>
  </si>
  <si>
    <t>MIGUELANGEL.MUNGUIA@BBVA.COM</t>
  </si>
  <si>
    <t>MANCILLA GOMEZ MIGUEL ANGEL</t>
  </si>
  <si>
    <t>MH03015</t>
  </si>
  <si>
    <t>MIGUEL.MANCILLA@BBVA.COM</t>
  </si>
  <si>
    <t>MENDIOLA ADAME EDITH</t>
  </si>
  <si>
    <t>M40492</t>
  </si>
  <si>
    <t>EDITH.MENDIOLA@BBVA.COM</t>
  </si>
  <si>
    <t>SANCHEZ JIMENEZ JUAN FABRIZIO</t>
  </si>
  <si>
    <t>MB15338</t>
  </si>
  <si>
    <t>JUANFABRIZIO.SANCHEZ@BBVA.COM</t>
  </si>
  <si>
    <t>BELTRAN MEJIA MARITZA</t>
  </si>
  <si>
    <t>M36172</t>
  </si>
  <si>
    <t>MARITZA.BELTRAN@BBVA.COM</t>
  </si>
  <si>
    <t>MARTINEZ AGUILAR ANA ERIKA</t>
  </si>
  <si>
    <t>M906345</t>
  </si>
  <si>
    <t>ANA.MARTINEZ.1@BBVA.COM</t>
  </si>
  <si>
    <t>SALGADO ALONSO JORGE FRANCISCO</t>
  </si>
  <si>
    <t>M910661</t>
  </si>
  <si>
    <t>JORGE.SALGADO2@BBVA.COM</t>
  </si>
  <si>
    <t>BIAIS PEREZ LUZ ELENA</t>
  </si>
  <si>
    <t>MB82107</t>
  </si>
  <si>
    <t>LUZELENA.BIAIS@BBVA.COM</t>
  </si>
  <si>
    <t>MEJIA PEREZ MARIA ANTONIETA</t>
  </si>
  <si>
    <t>M823186</t>
  </si>
  <si>
    <t>MARIAANTONIETA.MEJIA@BBVA.COM</t>
  </si>
  <si>
    <t>GARCIA SANTIAGO NOEMI</t>
  </si>
  <si>
    <t>MB82511</t>
  </si>
  <si>
    <t>NOEMI.GARCIA2@BBVA.COM</t>
  </si>
  <si>
    <t>CABALLERO CONTRERAS HECTOR</t>
  </si>
  <si>
    <t>MB16271</t>
  </si>
  <si>
    <t>HECTOR.CABALLERO@BBVA.COM</t>
  </si>
  <si>
    <t>MIRANDA OLIVOS EMMA LAURA</t>
  </si>
  <si>
    <t>MB13098</t>
  </si>
  <si>
    <t>EMMA.MIRANDA@BBVA.COM</t>
  </si>
  <si>
    <t>GONZALEZ TELLEZ JORGE ALBERTO</t>
  </si>
  <si>
    <t>MB22815</t>
  </si>
  <si>
    <t>JORGEALBERTO.GONZALEZ@BBVA.COM</t>
  </si>
  <si>
    <t>CABAL ANDRADE DANIEL OMAR</t>
  </si>
  <si>
    <t>MB41528</t>
  </si>
  <si>
    <t>DANIELOMAR.CABAL@BBVA.COM</t>
  </si>
  <si>
    <t>APONTE HERNANDEZ CARMEN GRACIELA</t>
  </si>
  <si>
    <t>MB44689</t>
  </si>
  <si>
    <t>CARMENGRACIELA.APONTE@BBVA.COM</t>
  </si>
  <si>
    <t>MARTINEZ GUERRERO IGNACIO DANIEL</t>
  </si>
  <si>
    <t>M30088</t>
  </si>
  <si>
    <t>D.MARTINEZG@BBVA.COM</t>
  </si>
  <si>
    <t>PALMAS FERNANDEZ ISRAEL</t>
  </si>
  <si>
    <t>M822220</t>
  </si>
  <si>
    <t>ISRAEL.PALMAS@BBVA.COM</t>
  </si>
  <si>
    <t>QUIROZ MENESES ALFONSO</t>
  </si>
  <si>
    <t>M203060</t>
  </si>
  <si>
    <t>A.QUIROZ@BBVA.COM</t>
  </si>
  <si>
    <t>DOMINGUEZ RUIZ SANDRA ROSALBA</t>
  </si>
  <si>
    <t>MA03253</t>
  </si>
  <si>
    <t>SANDRAROSALB.DOMINGUEZ@BBVA.COM</t>
  </si>
  <si>
    <t>ARANDA HERNANDEZ IVAN DE JESUS</t>
  </si>
  <si>
    <t>MB19775</t>
  </si>
  <si>
    <t>IVANDEJESUS.ARANDA@BBVA.COM</t>
  </si>
  <si>
    <t>BENITEZ FLORES JOSE GREGORIO</t>
  </si>
  <si>
    <t>MA02887</t>
  </si>
  <si>
    <t>JOSEGREGORIO.BENITEZ@BBVA.COM</t>
  </si>
  <si>
    <t>LOPEZ DUENAS MOISES</t>
  </si>
  <si>
    <t>MB74442</t>
  </si>
  <si>
    <t>MOISES.LOPEZ.DUENAS@BBVA.COM</t>
  </si>
  <si>
    <t>MORALES ZAVALA IGNACIO</t>
  </si>
  <si>
    <t>MB68081</t>
  </si>
  <si>
    <t>IGNACIO.MORALES2@BBVA.COM</t>
  </si>
  <si>
    <t>ORDONEZ ACEVEDO PAMELA</t>
  </si>
  <si>
    <t>MB56461</t>
  </si>
  <si>
    <t>PAMELA.ORDONEZ.ACEVEDO@BBVA.COM</t>
  </si>
  <si>
    <t>OZUNA ADAME MILTON FEDERICO</t>
  </si>
  <si>
    <t>MB05108</t>
  </si>
  <si>
    <t>MILTON.OZUNA.1@BBVA.COM</t>
  </si>
  <si>
    <t>CASTILLEJOS FIGUEROA MARIA DE LOURDES</t>
  </si>
  <si>
    <t>MB57938</t>
  </si>
  <si>
    <t>MARIADELOURDES.CASTILLEJOS.FI@BBVA.COM</t>
  </si>
  <si>
    <t>REYES TORRIJOS CESAR</t>
  </si>
  <si>
    <t>MB61350</t>
  </si>
  <si>
    <t>CESAR.REYES.TORRIJOS@BBVA.COM</t>
  </si>
  <si>
    <t>FLORES CHAVEZ ENRIQUE</t>
  </si>
  <si>
    <t>MB79594</t>
  </si>
  <si>
    <t>ENRIQUE.FLORES4@BBVA.COM</t>
  </si>
  <si>
    <t>ESCALANTE REYES PAULINA</t>
  </si>
  <si>
    <t>MB42060</t>
  </si>
  <si>
    <t>PAULINA.ESCALANTE@BBVA.COM</t>
  </si>
  <si>
    <t>MANCILLA SALGADO ALFREDO</t>
  </si>
  <si>
    <t>MB62673</t>
  </si>
  <si>
    <t>ALFREDO.MANCILLA@BBVA.COM</t>
  </si>
  <si>
    <t>GARCIA MEJIA CRISTINA</t>
  </si>
  <si>
    <t>MB61460</t>
  </si>
  <si>
    <t>CRISTINA.GARCIA.MEJIA@BBVA.COM</t>
  </si>
  <si>
    <t>MIRANDA BARRERA JANET LETICIA</t>
  </si>
  <si>
    <t>MB57862</t>
  </si>
  <si>
    <t>JANETLETICIA.MIRANDA@BBVA.COM</t>
  </si>
  <si>
    <t>LEZAMA ESQUIVEL OMAR DARIO</t>
  </si>
  <si>
    <t>MH01028</t>
  </si>
  <si>
    <t>O.LEZAMA@BBVA.COM</t>
  </si>
  <si>
    <t>GUERRERO SOSA ENRIQUE</t>
  </si>
  <si>
    <t>MB00386</t>
  </si>
  <si>
    <t>ENRIQUE.GUERRERO.1@BBVA.COM</t>
  </si>
  <si>
    <t>IBARRA RAMIREZ JOSE GUADALUPE</t>
  </si>
  <si>
    <t>MB10041</t>
  </si>
  <si>
    <t>JOSEGUADALUPE.IBARRA@BBVA.COM</t>
  </si>
  <si>
    <t>REYES GUERRERO PEDRO EDGARDO</t>
  </si>
  <si>
    <t>MB67093</t>
  </si>
  <si>
    <t>PEDROEDGARDO.REYES@BBVA.COM</t>
  </si>
  <si>
    <t>TORRES ESPINOZA SHEILY</t>
  </si>
  <si>
    <t>MB54030</t>
  </si>
  <si>
    <t>SHEILY.TORRES@BBVA.COM</t>
  </si>
  <si>
    <t>ANCONA MONTES ALEJANDRA IBETH</t>
  </si>
  <si>
    <t>MH00942</t>
  </si>
  <si>
    <t>ALEJANDRA.ANCONA@BBVA.COM</t>
  </si>
  <si>
    <t>RAMIREZ VAZQUEZ DIANA</t>
  </si>
  <si>
    <t>MB44140</t>
  </si>
  <si>
    <t>DIANA.RAMIREZ.VAZQUEZ@BBVA.COM</t>
  </si>
  <si>
    <t>MONROY SANDOVAL RICARDO</t>
  </si>
  <si>
    <t>MB37792</t>
  </si>
  <si>
    <t>RICARDO.MONROY.SANDOVAL@BBVA.COM</t>
  </si>
  <si>
    <t>RIVERA CASTILLO MAYRA</t>
  </si>
  <si>
    <t>MB34631</t>
  </si>
  <si>
    <t>MAYRA.RIVERA.CASTILLO@BBVA.COM</t>
  </si>
  <si>
    <t>AGUILAR CAMACHO JOSEFINA</t>
  </si>
  <si>
    <t>MA03054</t>
  </si>
  <si>
    <t>JOSEFINA.AGUILAR@BBVA.COM</t>
  </si>
  <si>
    <t>MORALES MARTINEZ YOLANDA GABRIELA</t>
  </si>
  <si>
    <t>MA31671</t>
  </si>
  <si>
    <t>YOLANDA.MORALES@BBVA.COM</t>
  </si>
  <si>
    <t>GONZALEZ ZERTUCHE BRENDA</t>
  </si>
  <si>
    <t>MB76446</t>
  </si>
  <si>
    <t>BRENDA.GONZALEZ.ZERTUCHE@BBVA.COM</t>
  </si>
  <si>
    <t>BRAVO MOCTEZUMA FRANCISCO</t>
  </si>
  <si>
    <t>M48705</t>
  </si>
  <si>
    <t>FRANCISCO.BRAVOM@BBVA.COM</t>
  </si>
  <si>
    <t>LUGO SANCHEZ VICTOR HUGO</t>
  </si>
  <si>
    <t>MH03147</t>
  </si>
  <si>
    <t>VICTOR.LUGO@BBVA.COM</t>
  </si>
  <si>
    <t>MARTINEZ CARMONA HAZAEL</t>
  </si>
  <si>
    <t>MB83572</t>
  </si>
  <si>
    <t>HAZAEL.MARTINEZ.CARMONA@BBVA.COM</t>
  </si>
  <si>
    <t>FUENTES MUNOZ FRANCISCO</t>
  </si>
  <si>
    <t>MB80799</t>
  </si>
  <si>
    <t>FRANCISCO.FUENTES.MUNOZ@BBVA.COM</t>
  </si>
  <si>
    <t>NAVA GUTIERREZ ROBERTO</t>
  </si>
  <si>
    <t>MA10095</t>
  </si>
  <si>
    <t>ROBERTO.NAVA@BBVA.COM</t>
  </si>
  <si>
    <t>ROJAS GONZALEZ OMAR SAHID</t>
  </si>
  <si>
    <t>MB61989</t>
  </si>
  <si>
    <t>OMARSAHID.ROJAS@BBVA.COM</t>
  </si>
  <si>
    <t>MONTERO MORALES CYNTHIA</t>
  </si>
  <si>
    <t>mb76198</t>
  </si>
  <si>
    <t>CYNTHIA.MONTERO.MORALES@BBVA.COM</t>
  </si>
  <si>
    <t>ACUNA PRECIADO NORALBA</t>
  </si>
  <si>
    <t>MB63188</t>
  </si>
  <si>
    <t>NORALBA.ACUNA.PRECIADO@BBVA.COM</t>
  </si>
  <si>
    <t>CACIQUE BARRIOS ROBERTO DAVID</t>
  </si>
  <si>
    <t>MB69614</t>
  </si>
  <si>
    <t>ROBERTODAVID.CACIQUE.BARRIOS@BBVA.COM</t>
  </si>
  <si>
    <t>GODINEZ FRANCO FRANCISCO JAVIER</t>
  </si>
  <si>
    <t>MB24411</t>
  </si>
  <si>
    <t>FRANCISCOJAV.GODINEZ@BBVA.COM</t>
  </si>
  <si>
    <t>CISNEROS GATICA CARMEN</t>
  </si>
  <si>
    <t>MB44453</t>
  </si>
  <si>
    <t>CARMEN.CISNEROS@BBVA.COM</t>
  </si>
  <si>
    <t>RICO PALOMINO DOLORES</t>
  </si>
  <si>
    <t>MA29908</t>
  </si>
  <si>
    <t>MARIADOLORES.RICO@BBVA.COM</t>
  </si>
  <si>
    <t>GARCIA ROSARIO LAURA GRISELDA</t>
  </si>
  <si>
    <t>MB63854</t>
  </si>
  <si>
    <t>LAURAGRISELDA.GARCIA@BBVA.COM</t>
  </si>
  <si>
    <t>RODRIGUEZ FIGUEROA ROCIO</t>
  </si>
  <si>
    <t>MA09169</t>
  </si>
  <si>
    <t>R.RODRIGUEZF@BBVA.COM</t>
  </si>
  <si>
    <t>RIVERA SANCHEZ JESUS LEOBARDO</t>
  </si>
  <si>
    <t>MB81120</t>
  </si>
  <si>
    <t>JESUSLEOBARDO.RIVERA@BBVA.COM</t>
  </si>
  <si>
    <t>OCANA VALENCIA FABIOLA NATIVIDAD</t>
  </si>
  <si>
    <t>MB76051</t>
  </si>
  <si>
    <t>FABIOLANATIVIDAD.OCANA@BBVA.COM</t>
  </si>
  <si>
    <t>ARELLANO RODRIGUEZ LOURDES</t>
  </si>
  <si>
    <t>MB82007</t>
  </si>
  <si>
    <t>LOURDES.ARELLANO.RODRIGUEZ@BBVA.COM</t>
  </si>
  <si>
    <t>RAMIREZ LAVANA ORCAR JAIME</t>
  </si>
  <si>
    <t>MA30411</t>
  </si>
  <si>
    <t>OSCAR.RAMIREZ.1@BBVA.COM</t>
  </si>
  <si>
    <t>LEAL GONZALEZ JULIAN</t>
  </si>
  <si>
    <t>M823038</t>
  </si>
  <si>
    <t>J.LEAL@BBVA.COM</t>
  </si>
  <si>
    <t>GARCIA DUARTE MARCO ANTONIO</t>
  </si>
  <si>
    <t>MA26610</t>
  </si>
  <si>
    <t>MARCOANTONIO.GARCIA.DUARTE@BBVA.COM</t>
  </si>
  <si>
    <t>OSORNO OSCOS ROBERTO IVAN</t>
  </si>
  <si>
    <t>MA27246</t>
  </si>
  <si>
    <t>ROBERTO.OSORNO@BBVA.COM</t>
  </si>
  <si>
    <t>ESTRADA GARCIA SERVANDO</t>
  </si>
  <si>
    <t>MB75411</t>
  </si>
  <si>
    <t>SERVANDO.ESTRADA@BBVA.COM</t>
  </si>
  <si>
    <t>BEIZA ROMERO ANASTACIA</t>
  </si>
  <si>
    <t>MB68405</t>
  </si>
  <si>
    <t>ANASTACIA.BEIZA@BBVA.COM</t>
  </si>
  <si>
    <t>ROMERO JARDON YAREL</t>
  </si>
  <si>
    <t>MB58996</t>
  </si>
  <si>
    <t>YAREL.ROMERO@BBVA.COM</t>
  </si>
  <si>
    <t>ISSA CARRASCO MARISOL</t>
  </si>
  <si>
    <t>MB68401</t>
  </si>
  <si>
    <t>MARISOL.ISSA.CARRASCO@BBVA.COM</t>
  </si>
  <si>
    <t>TRANQUILINO CARDENAS BRENDA</t>
  </si>
  <si>
    <t>MB69009</t>
  </si>
  <si>
    <t>BRENDA.TRANQUILINO@BBVA.COM</t>
  </si>
  <si>
    <t>GONZALEZ CONTRERAS LUIS ALBERTO</t>
  </si>
  <si>
    <t>M523950</t>
  </si>
  <si>
    <t>LUISALBERTO.GONZALEZ@BBVA.COM</t>
  </si>
  <si>
    <t>GODINEZ GAMEZ GUSTAVO</t>
  </si>
  <si>
    <t>MB46991</t>
  </si>
  <si>
    <t>GUSTAVO.GODINEZ@BBVA.COM</t>
  </si>
  <si>
    <t>GARCIA GOMEZ RUBEN</t>
  </si>
  <si>
    <t>MB37043</t>
  </si>
  <si>
    <t>RUBEN.GARCIA.GOMEZ@BBVA.COM</t>
  </si>
  <si>
    <t>BUSTOS ROMAN VIANEY YADIRA</t>
  </si>
  <si>
    <t>MB00899</t>
  </si>
  <si>
    <t>MB00899@BBVA.COM</t>
  </si>
  <si>
    <t>RODRIGUEZ TELLO PABLO</t>
  </si>
  <si>
    <t>M203077</t>
  </si>
  <si>
    <t>PABLO.RODRIGUEZ@BBVA.COM</t>
  </si>
  <si>
    <t>ENCARNACION ROJO JOSE JUAN</t>
  </si>
  <si>
    <t>MB77021</t>
  </si>
  <si>
    <t>JOSEJUAN.ENCARNACION.ROJO@BBVA.COM</t>
  </si>
  <si>
    <t>FLORES MARTINEZ ISAIAS HILARIO</t>
  </si>
  <si>
    <t>MA02850</t>
  </si>
  <si>
    <t>ISAIAS.FLORES@BBVA.COM</t>
  </si>
  <si>
    <t>MARRON MUNOZ JUANA BELEM</t>
  </si>
  <si>
    <t>MA31576</t>
  </si>
  <si>
    <t>JUANA.MARRON@BBVA.COM</t>
  </si>
  <si>
    <t>ORTIZ RENDON CESAR</t>
  </si>
  <si>
    <t>MH03830</t>
  </si>
  <si>
    <t>CESAR.ORTIZ@BBVA.COM</t>
  </si>
  <si>
    <t>HERNANDEZ CAMIRUAGA ROGELIO</t>
  </si>
  <si>
    <t>MB54129</t>
  </si>
  <si>
    <t>ROGELIO.HERNANDEZ.CAMIRUAGA@BBVA.COM</t>
  </si>
  <si>
    <t>GRIMALDO CARDENAS ISRAEL OMAR</t>
  </si>
  <si>
    <t>MB76349</t>
  </si>
  <si>
    <t>ISRAELOMAR.GRIMALDO.CARDENAS@BBVA.COM</t>
  </si>
  <si>
    <t>MORENO MARTINEZ JUAN FRANCISCO</t>
  </si>
  <si>
    <t>MB71002</t>
  </si>
  <si>
    <t>juanfrancisco.moreno.martinez@bbva.com</t>
  </si>
  <si>
    <t>NAJERA MORALES JULIO</t>
  </si>
  <si>
    <t>MB70570</t>
  </si>
  <si>
    <t>JULIO.NAJERA@BBVA.COM</t>
  </si>
  <si>
    <t>GARCIA DIAZ LIZBETH</t>
  </si>
  <si>
    <t>MA29781</t>
  </si>
  <si>
    <t>LIZBETH.GARCIA2@BBVA.COM</t>
  </si>
  <si>
    <t>FUENTES CASTILLO SILVIA</t>
  </si>
  <si>
    <t>MB55346</t>
  </si>
  <si>
    <t>SILVIA.FUENTES.CASTILLO@BBVA.COM</t>
  </si>
  <si>
    <t>MIRELES VIVEROS SOFIA</t>
  </si>
  <si>
    <t>MB26756</t>
  </si>
  <si>
    <t>SOFIA.MIRELES@BBVA.COM</t>
  </si>
  <si>
    <t>SANCHEZ CHAVEZ RODRIGO</t>
  </si>
  <si>
    <t>MB07900</t>
  </si>
  <si>
    <t>RODRIGO.SANCHEZ2@BBVA.COM</t>
  </si>
  <si>
    <t>HERNANDEZ RIVERA HUGO</t>
  </si>
  <si>
    <t>MA31313</t>
  </si>
  <si>
    <t>HUGO.HERNANDEZ2@BBVA.COM</t>
  </si>
  <si>
    <t>BARRAGAN REBOLLEDO JOSE ANGEL</t>
  </si>
  <si>
    <t>M51242</t>
  </si>
  <si>
    <t>JOSEANGEL.BARRAGAN@BBVA.COM</t>
  </si>
  <si>
    <t>CAZARES RIVERA MARIA PATRICIA</t>
  </si>
  <si>
    <t>M50528</t>
  </si>
  <si>
    <t>P.CAZARES@BBVA.COM</t>
  </si>
  <si>
    <t>LAGARDE MARTINEZ MARCO ANTONIO</t>
  </si>
  <si>
    <t>M914086</t>
  </si>
  <si>
    <t>MARCO.LAGARDE@BBVA.COM</t>
  </si>
  <si>
    <t>ALAVEZ CATANO RODRIGO</t>
  </si>
  <si>
    <t>MH00798</t>
  </si>
  <si>
    <t>RODRIGO.ALAVEZ@BBVA.COM</t>
  </si>
  <si>
    <t>GARCIA TORRES HUGO</t>
  </si>
  <si>
    <t>MH01622</t>
  </si>
  <si>
    <t>HUGO.GARCIA@BBVA.COM</t>
  </si>
  <si>
    <t>NUNEZ LOPEZ SARAHI</t>
  </si>
  <si>
    <t>MB21328</t>
  </si>
  <si>
    <t>SARAHI.NUNEZ@BBVA.COM</t>
  </si>
  <si>
    <t>PARRA ROJAS ELIZABETH</t>
  </si>
  <si>
    <t>M48540</t>
  </si>
  <si>
    <t>E.PARRA@BBVA.COM</t>
  </si>
  <si>
    <t>ABASCAL CONTRERAS ENRIQUE ALEXIS</t>
  </si>
  <si>
    <t>MB82851</t>
  </si>
  <si>
    <t>ENRIQUEALEXIS.ABASCAL@BBVA.COM</t>
  </si>
  <si>
    <t>SANCHEZ CORONA LUIS FERNANDO</t>
  </si>
  <si>
    <t>MB37653</t>
  </si>
  <si>
    <t>LUISFERNANDO.SANCHEZ.CORONA@BBVA.COM</t>
  </si>
  <si>
    <t>DIAZ GONZALEZ LEONARDO ISRAEL</t>
  </si>
  <si>
    <t>MB60037</t>
  </si>
  <si>
    <t>LEONARDOISRAEL.DIAZ@BBVA.COM</t>
  </si>
  <si>
    <t>ROSALES SANTANA ROCIO</t>
  </si>
  <si>
    <t>MB48365</t>
  </si>
  <si>
    <t>ROCIO.ROSALES@BBVA.COM</t>
  </si>
  <si>
    <t>ORTIZ VAZQUEZ CARLOS ADRIAN</t>
  </si>
  <si>
    <t>MB85538</t>
  </si>
  <si>
    <t>SUAREZ ROJAS JORGE SILVIO</t>
  </si>
  <si>
    <t>MB68087</t>
  </si>
  <si>
    <t>JORGESILVIO.SUAREZ@BBVA.COM</t>
  </si>
  <si>
    <t>AGUILAR SABANERO CESAR DIEGO EMILIO</t>
  </si>
  <si>
    <t>MB82877</t>
  </si>
  <si>
    <t>CESARDIEGOEMILIO.AGUILAR@BBVA.COM</t>
  </si>
  <si>
    <t>GARCIA ESTRADA LUIS RICARDO</t>
  </si>
  <si>
    <t>MB75688</t>
  </si>
  <si>
    <t>LUISRICARDO.GARCIA@BBVA.COM</t>
  </si>
  <si>
    <t>ARAUJO REYES RICARDO</t>
  </si>
  <si>
    <t>MA23452</t>
  </si>
  <si>
    <t>RICARDO.ARAUJO@BBVA.COM</t>
  </si>
  <si>
    <t>GONZALEZ MENDOZA MARISOL</t>
  </si>
  <si>
    <t>MB24953</t>
  </si>
  <si>
    <t>MARISOL.GONZALEZ.MENDOZA@BBVA.COM</t>
  </si>
  <si>
    <t>PEREZ SERRANO MANUEL ALEJANDRO</t>
  </si>
  <si>
    <t>MB63962</t>
  </si>
  <si>
    <t>MANUELALEJANDRO.PEREZ.SERRANO@BBVA.COM</t>
  </si>
  <si>
    <t>AGUILERA ESTRADA GERARDO</t>
  </si>
  <si>
    <t>MB52908</t>
  </si>
  <si>
    <t>GERARDO.AGUILERA2@BBVA.COM</t>
  </si>
  <si>
    <t>HERNANDEZ FONSECA RAMIRO</t>
  </si>
  <si>
    <t>MB76049</t>
  </si>
  <si>
    <t>RAMIRO.HERNANDEZ@BBVA.COM</t>
  </si>
  <si>
    <t>GONZALEZ GUERRERO GERARDO</t>
  </si>
  <si>
    <t>M54121</t>
  </si>
  <si>
    <t>GERARDO.GONZALEZ@BBVA.COM</t>
  </si>
  <si>
    <t>GALINDO GONZALEZ ISRAEL</t>
  </si>
  <si>
    <t>M840024</t>
  </si>
  <si>
    <t>ISRAEL.GALINDO.1@BBVA.COM</t>
  </si>
  <si>
    <t>CONTRERAS MARIN PAMELA</t>
  </si>
  <si>
    <t>MB65802</t>
  </si>
  <si>
    <t>PAMELA.CONTRERAS.MARIN@BBVA.COM</t>
  </si>
  <si>
    <t>BOCANEGRA LLAMAS RICARDO</t>
  </si>
  <si>
    <t>MB78461</t>
  </si>
  <si>
    <t>RICARDO.BOCANEGRA.LLAMAS@BBVA.COM</t>
  </si>
  <si>
    <t>SUAREZ RODRIGUEZ HECTOR</t>
  </si>
  <si>
    <t>MB06089</t>
  </si>
  <si>
    <t>HECTOR.SUAREZ@BBVA.COM</t>
  </si>
  <si>
    <t>SALINAS ARIAS LADISLAO GERARDO</t>
  </si>
  <si>
    <t>MB39946</t>
  </si>
  <si>
    <t>LADISLAOGERARDO.SALINAS@BBVA.COM</t>
  </si>
  <si>
    <t>GARDUNO OLIVA IGNACIO</t>
  </si>
  <si>
    <t>MB46199</t>
  </si>
  <si>
    <t>IGNACIO.GARDUNO@BBVA.COM</t>
  </si>
  <si>
    <t>SOLIS ARENAZAS LAURA YADIRA</t>
  </si>
  <si>
    <t>MA10887</t>
  </si>
  <si>
    <t>LAURA.SOLIS@BBVA.COM</t>
  </si>
  <si>
    <t>DE LUCIO PEREZ MARCOS</t>
  </si>
  <si>
    <t>MH03586</t>
  </si>
  <si>
    <t>MARCOS.DELUCIO@BBVA.COM</t>
  </si>
  <si>
    <t>HERNANDEZ VALENZUELA CLAUDIA</t>
  </si>
  <si>
    <t>MB57860</t>
  </si>
  <si>
    <t>CLAUDIA.HERNANDEZ.VALENZUELA@BBVA.COM</t>
  </si>
  <si>
    <t>VELAZQUEZ HERNANDEZ GUILLERMO</t>
  </si>
  <si>
    <t>MA00560</t>
  </si>
  <si>
    <t>GUILLERMO.VELAZQUEZ@BBVA.COM</t>
  </si>
  <si>
    <t>PADILLA ARISTA EDGAR ULISES</t>
  </si>
  <si>
    <t>MB81915</t>
  </si>
  <si>
    <t>EDGARULISES.PADILLA@BBVA.COM</t>
  </si>
  <si>
    <t>CASTILLO RAMIREZ FELIPE</t>
  </si>
  <si>
    <t>MA08012</t>
  </si>
  <si>
    <t>FELIPE.CASTILLO@BBVA.COM</t>
  </si>
  <si>
    <t>CAZARES MOLINERO JOSE JUAN</t>
  </si>
  <si>
    <t>MB64282</t>
  </si>
  <si>
    <t>JOSEJUAN.CAZARES@BBVA.COM</t>
  </si>
  <si>
    <t>CADENA OROZCO ROBERTO DANIEL</t>
  </si>
  <si>
    <t>MB85461</t>
  </si>
  <si>
    <t>TECUALT ALVAREZ MIGUEL ANGEL</t>
  </si>
  <si>
    <t>MA27365</t>
  </si>
  <si>
    <t>MIGUEL.TECUALT@BBVA.COM</t>
  </si>
  <si>
    <t>TORRES CRUZ DOLORES</t>
  </si>
  <si>
    <t>MB74429</t>
  </si>
  <si>
    <t>DOLORES.TORRES.CRUZ@BBVA.COM</t>
  </si>
  <si>
    <t>JIMENEZ MARTINEZ ISRAEL</t>
  </si>
  <si>
    <t>MB73764</t>
  </si>
  <si>
    <t>ISRAEL.JIMENEZ@BBVA.COM</t>
  </si>
  <si>
    <t>VARGAS ALVAREZ MARIA ESTHER</t>
  </si>
  <si>
    <t>MA30293</t>
  </si>
  <si>
    <t>MARIAESTHER.VARGAS@BBVA.COM</t>
  </si>
  <si>
    <t>SANCHEZ HERRERA LETICIA</t>
  </si>
  <si>
    <t>MB68408</t>
  </si>
  <si>
    <t>LETICIA.SANCHEZ.HERRERA@BBVA.COM</t>
  </si>
  <si>
    <t>HERNANDEZ JUAREZ MYRIAM CRISTINA</t>
  </si>
  <si>
    <t>M47712</t>
  </si>
  <si>
    <t>MC.HERNANDEZ@BBVA.COM</t>
  </si>
  <si>
    <t>CERVANTES PANTOJA RAMON</t>
  </si>
  <si>
    <t>MA03117</t>
  </si>
  <si>
    <t>RAMON.CERVANTES@BBVA.COM</t>
  </si>
  <si>
    <t>PACHECO ALVAREZ CARLOS JESUS</t>
  </si>
  <si>
    <t>MA28603</t>
  </si>
  <si>
    <t>CARLOSJESUS.PACHECO@BBVA.COM</t>
  </si>
  <si>
    <t>PEREZ SERRATO SUJEY</t>
  </si>
  <si>
    <t>MB21598</t>
  </si>
  <si>
    <t>SUJEY.PEREZ@BBVA.COM</t>
  </si>
  <si>
    <t>MORALES GARCIA MARIA TERESA</t>
  </si>
  <si>
    <t>MB20780</t>
  </si>
  <si>
    <t>MARIATERESA.MORALES@BBVA.COM</t>
  </si>
  <si>
    <t>FERNANDEZ VALDEZ JOSE LUIS</t>
  </si>
  <si>
    <t>M342087</t>
  </si>
  <si>
    <t>JOSELUIS.FERNANDEZ@BBVA.COM</t>
  </si>
  <si>
    <t>RODRIGUEZ CONDE ELSA YANIRA</t>
  </si>
  <si>
    <t>M524227</t>
  </si>
  <si>
    <t>ELSA.RODRIGUEZ@BBVA.COM</t>
  </si>
  <si>
    <t>LOPEZ MARTINEZ MARGARITA</t>
  </si>
  <si>
    <t>MB63073</t>
  </si>
  <si>
    <t>MARGARITA.LOPEZ.MARTINEZ@BBVA.COM</t>
  </si>
  <si>
    <t>URBINA FLORES GLORIA GRISELDA</t>
  </si>
  <si>
    <t>M31527</t>
  </si>
  <si>
    <t>G.URBINA@BBVA.COM</t>
  </si>
  <si>
    <t>MEJIA BARBOZA MARIA LYDIA</t>
  </si>
  <si>
    <t>MB76729</t>
  </si>
  <si>
    <t>MARIALYDIA.MEJIA.BARBOZA@BBVA.COM</t>
  </si>
  <si>
    <t>LOPEZ FLORES MIRIAM</t>
  </si>
  <si>
    <t>MB46501</t>
  </si>
  <si>
    <t>MIRIAM.LOPEZ2@BBVA.COM</t>
  </si>
  <si>
    <t>MARTINEZ DE HOYOS HECTOR ULISES</t>
  </si>
  <si>
    <t>MB51791</t>
  </si>
  <si>
    <t>HECTORULISES.MARTINEZ@BBVA.COM</t>
  </si>
  <si>
    <t>SALAZAR GONZALEZ MARIO AURELIO</t>
  </si>
  <si>
    <t>MB61410</t>
  </si>
  <si>
    <t>MARIOAURELIO.SALAZAR.GONZALEZ@BBVA.COM</t>
  </si>
  <si>
    <t>PALACIOS BELTRAN SUSANA MARCELA</t>
  </si>
  <si>
    <t>MB06492</t>
  </si>
  <si>
    <t>SUSANA.PALACIOS@BBVA.COM</t>
  </si>
  <si>
    <t>ANTUNA ESQUIVEL YOLANDA GUADALUPE</t>
  </si>
  <si>
    <t>MH03765</t>
  </si>
  <si>
    <t>YOLANDA.ANTUNA@BBVA.COM</t>
  </si>
  <si>
    <t>HERNANDEZ REYES JOSE LUIS</t>
  </si>
  <si>
    <t>MB50226</t>
  </si>
  <si>
    <t>JOSELUIS.HERNANDEZ2@BBVA.COM</t>
  </si>
  <si>
    <t>ORGAZA CASTILLO CLAUDIA EDITH</t>
  </si>
  <si>
    <t>M31071</t>
  </si>
  <si>
    <t>E.ORGAZA@BBVA.COM</t>
  </si>
  <si>
    <t>AVILA ROCHA MARCELINO</t>
  </si>
  <si>
    <t>MB27003</t>
  </si>
  <si>
    <t>MARCELINO.AVILA@BBVA.COM</t>
  </si>
  <si>
    <t>DAVILA TOLENTINO ARIEL</t>
  </si>
  <si>
    <t>MB38632</t>
  </si>
  <si>
    <t>ARIEL.DAVILA@BBVA.COM</t>
  </si>
  <si>
    <t>SANCHEZ TORRES FLOR IDALIA</t>
  </si>
  <si>
    <t>MB32656</t>
  </si>
  <si>
    <t>FLORIDALIA.SANCHEZ@BBVA.COM</t>
  </si>
  <si>
    <t>BUENDIA TREVINO NEFERTITI</t>
  </si>
  <si>
    <t>MB79135</t>
  </si>
  <si>
    <t>NEFERTITI.BUENDIA.TREVINO@BBVA.COM</t>
  </si>
  <si>
    <t>CARRANZA LOPEZ SILVIA</t>
  </si>
  <si>
    <t>MB54884</t>
  </si>
  <si>
    <t>SILVIA.CARRANZA@BBVA.COM</t>
  </si>
  <si>
    <t>CEPEDA ORTA GABRIELA</t>
  </si>
  <si>
    <t>mb74779</t>
  </si>
  <si>
    <t>gabriela.cepeda.orta@bbva.com</t>
  </si>
  <si>
    <t>JIMENEZ GUTIERREZ GABRIELA</t>
  </si>
  <si>
    <t>M523932</t>
  </si>
  <si>
    <t>GABRIELA.JIMENEZG@BBVA.COM</t>
  </si>
  <si>
    <t>ALVARADO SORIA HERIBERTO</t>
  </si>
  <si>
    <t>MB09534</t>
  </si>
  <si>
    <t>HERIBERTO.ALVARADO@BBVA.COM</t>
  </si>
  <si>
    <t>DE LA ROSA DELGADO BLANCA LETICIA</t>
  </si>
  <si>
    <t>MA03760</t>
  </si>
  <si>
    <t>BLANCA.DELAROSA@BBVA.COM</t>
  </si>
  <si>
    <t>VAZQUEZ CAVAZOS HECTOR SAUL</t>
  </si>
  <si>
    <t>MB70232</t>
  </si>
  <si>
    <t>HECTORSAUL.VAZQUEZ.CAVAZOS@BBVA.COM</t>
  </si>
  <si>
    <t>BERMUDEZ LARA LIDIA BERENICE</t>
  </si>
  <si>
    <t>MA31173</t>
  </si>
  <si>
    <t>LIDIA.BERMUDEZ@BBVA.COM</t>
  </si>
  <si>
    <t>TIJERINA RUBIO NORA MARIBEL</t>
  </si>
  <si>
    <t>MA01089</t>
  </si>
  <si>
    <t>NORA.TIJERINA@BBVA.COM</t>
  </si>
  <si>
    <t>RAMOS ELIZALDE JUAN</t>
  </si>
  <si>
    <t>MB22684</t>
  </si>
  <si>
    <t>JUAN.RAMOSE@BBVA.COM</t>
  </si>
  <si>
    <t>ONTIVEROS GUZMAN ARMANDO JAVIER</t>
  </si>
  <si>
    <t>MB20791</t>
  </si>
  <si>
    <t>ARMANDOJAVIE.ONTIVEROS@BBVA.COM</t>
  </si>
  <si>
    <t>RUIZ TORRES CESAR ADRIAN</t>
  </si>
  <si>
    <t>MB22693</t>
  </si>
  <si>
    <t>CESARADRIAN.RUIZ@BBVA.COM</t>
  </si>
  <si>
    <t>CASTELLANOS BARBIER HECTOR</t>
  </si>
  <si>
    <t>M431206</t>
  </si>
  <si>
    <t>H.CASTELLANOS@BBVA.COM</t>
  </si>
  <si>
    <t>CHAVEZ GRAJEDA FEDERICO</t>
  </si>
  <si>
    <t>MB55636</t>
  </si>
  <si>
    <t>FEDERICO.CHAVEZ.GRAJEDA@BBVA.COM</t>
  </si>
  <si>
    <t>ORTEGA RODRIGUEZ GERARDO</t>
  </si>
  <si>
    <t>MB24900</t>
  </si>
  <si>
    <t>GERARDO.ORTEGA@BBVA.COM</t>
  </si>
  <si>
    <t>TORRES TARIN MANUEL</t>
  </si>
  <si>
    <t>MB31720</t>
  </si>
  <si>
    <t>MANUEL.TORRES.TARIN@BBVA.COM</t>
  </si>
  <si>
    <t>ORTEGA RODRIGUEZ LUZ MARIA</t>
  </si>
  <si>
    <t>MB03081</t>
  </si>
  <si>
    <t>LUZ.ORTEGA.1@BBVA.COM</t>
  </si>
  <si>
    <t>BALDERRAMA GONZALEZ GILDA SOCORRO</t>
  </si>
  <si>
    <t>MA10524</t>
  </si>
  <si>
    <t>GILDA.BALDERRAMA@BBVA.COM</t>
  </si>
  <si>
    <t>MARTINEZ SANCHEZ ALAN YAMIR</t>
  </si>
  <si>
    <t>MB55337</t>
  </si>
  <si>
    <t>ALANYAMIR.MARTINEZ@BBVA.COM</t>
  </si>
  <si>
    <t>HERNANDEZ ALBA ERIKA JANET</t>
  </si>
  <si>
    <t>MB77046</t>
  </si>
  <si>
    <t>erikajanet.hernandez.alba@bbva.com</t>
  </si>
  <si>
    <t>. GUZMAN ROCIO</t>
  </si>
  <si>
    <t>MA31734</t>
  </si>
  <si>
    <t>ROCIO.GUZMAN@BBVA.COM</t>
  </si>
  <si>
    <t>PINON CORONA GLORIA MAGDALENA</t>
  </si>
  <si>
    <t>MA29521</t>
  </si>
  <si>
    <t>GLORIA.PINON@BBVA.COM</t>
  </si>
  <si>
    <t>CAZARES GARCIA MARIA AIDEE</t>
  </si>
  <si>
    <t>MB76988</t>
  </si>
  <si>
    <t>MARIAAIDEE.CAZARES.GARCIA@BBVA.COM</t>
  </si>
  <si>
    <t>DE ANDA MURUATO LETICIA</t>
  </si>
  <si>
    <t>MH03819</t>
  </si>
  <si>
    <t>LETICIA.DEANDA@BBVA.COM</t>
  </si>
  <si>
    <t>RIOS CHAVEZ OSVALDO</t>
  </si>
  <si>
    <t>MB12488</t>
  </si>
  <si>
    <t>OSVALDO.RIOS@BBVA.COM</t>
  </si>
  <si>
    <t>MURILLO RODRIGUEZ FELIPE DE JESUS</t>
  </si>
  <si>
    <t>MB78086</t>
  </si>
  <si>
    <t>FELIPEDEJESUS.MURILLO@BBVA.COM</t>
  </si>
  <si>
    <t>JUAREZ MARTINEZ ABRAHAM ANTONIO</t>
  </si>
  <si>
    <t>MB79478</t>
  </si>
  <si>
    <t>ABRAHAMANTONIO.JUAREZ@BBVA.COM</t>
  </si>
  <si>
    <t>DE LA TORRE BANUELOS GUILLERMINA</t>
  </si>
  <si>
    <t>MB02559</t>
  </si>
  <si>
    <t>GUILLERMINA.DELATORRE@BBVA.COM</t>
  </si>
  <si>
    <t>BRUNO PEREZ PEDRO FERNANDO</t>
  </si>
  <si>
    <t>MB67987</t>
  </si>
  <si>
    <t>PEDROFERNANDO.BRUNO.PEREZ@BBVA.COM</t>
  </si>
  <si>
    <t>RODRIGUEZ VALADEZ SOFIA LORENA</t>
  </si>
  <si>
    <t>MB60691</t>
  </si>
  <si>
    <t>SOFIALORENA.RODRIGUEZ@BBVA.COM</t>
  </si>
  <si>
    <t>ROYO GONZALEZ BRENDA SELENE</t>
  </si>
  <si>
    <t>MH03644</t>
  </si>
  <si>
    <t>BRENDA.ROYO@BBVA.COM</t>
  </si>
  <si>
    <t>LEOS MALDONADO MIGUEL ALBERTO</t>
  </si>
  <si>
    <t>MB82128</t>
  </si>
  <si>
    <t>MIGUELALBERTO.LEOS.MALDONADO@BBVA.COM</t>
  </si>
  <si>
    <t>PASILLAS MARTINEZ JOSE DANIEL</t>
  </si>
  <si>
    <t>MA11920</t>
  </si>
  <si>
    <t>JOSEDANIEL.PASILLLAS@BBVA.COM</t>
  </si>
  <si>
    <t>PEREZ MONROY SAUL</t>
  </si>
  <si>
    <t>MB62723</t>
  </si>
  <si>
    <t>SAUL.PEREZ.MONROY@BBVA.COM</t>
  </si>
  <si>
    <t>LUGO PACHECO MAURICIO ALBERTO</t>
  </si>
  <si>
    <t>MB24886</t>
  </si>
  <si>
    <t>MAURICIOALBE.LUGO@BBVA.COM</t>
  </si>
  <si>
    <t>URIBE MARTINEZ ADRIAN GABRIEL</t>
  </si>
  <si>
    <t>MB52396</t>
  </si>
  <si>
    <t>ADRIANGABRIEL.URIBE@BBVA.COM</t>
  </si>
  <si>
    <t>MARTINEZ CONTRERAS REYNA GUADALUPE</t>
  </si>
  <si>
    <t>MA18172</t>
  </si>
  <si>
    <t>REYNA.MARTINEZ.2@BBVA.COM</t>
  </si>
  <si>
    <t>VILLARREAL LOPEZ JAIME ISRAEL</t>
  </si>
  <si>
    <t>MA14289</t>
  </si>
  <si>
    <t>JAIME.VILLAREAL@BBVA.COM</t>
  </si>
  <si>
    <t>MORALES BALDERRAMA OMAR ALEJANDRO</t>
  </si>
  <si>
    <t>MA11155</t>
  </si>
  <si>
    <t>OMAR.MORALES@BBVA.COM</t>
  </si>
  <si>
    <t>FLORES ESPANA PEDRO</t>
  </si>
  <si>
    <t>MA11091</t>
  </si>
  <si>
    <t>PEDRO.FLORES@BBVA.COM</t>
  </si>
  <si>
    <t>SILVA HERNANDEZ CLAUDIA</t>
  </si>
  <si>
    <t>MA29528</t>
  </si>
  <si>
    <t>CLAUDIA.SILVA@BBVA.COM</t>
  </si>
  <si>
    <t>CORRAL RIVERA ELEAZAR</t>
  </si>
  <si>
    <t>MA13122</t>
  </si>
  <si>
    <t>ELEAZAR.CORRAL@BBVA.COM</t>
  </si>
  <si>
    <t>VILLALPANDO FRANCO JULIO</t>
  </si>
  <si>
    <t>MB27616</t>
  </si>
  <si>
    <t>JULIO.VILLALPANDO.1@BBVA.COM</t>
  </si>
  <si>
    <t>BARRAGAN FERNANDEZ DIANA IVONNE</t>
  </si>
  <si>
    <t>MB76709</t>
  </si>
  <si>
    <t>DIANAIVONNE.BARRAGAN@BBVA.COM</t>
  </si>
  <si>
    <t>CARDONA MATA EDGAR ADRIAN</t>
  </si>
  <si>
    <t>MA11716</t>
  </si>
  <si>
    <t>EDGAR.CARDONA@BBVA.COM</t>
  </si>
  <si>
    <t>MARTINEZ SOSA MARIA DEL SOCORRO</t>
  </si>
  <si>
    <t>MA29763</t>
  </si>
  <si>
    <t>MARIADELSOCORRO.MARTINEZ@BBVA.COM</t>
  </si>
  <si>
    <t>DELGADO VEGA KARLA VIVIANA</t>
  </si>
  <si>
    <t>MB75969</t>
  </si>
  <si>
    <t>KARLAVIVIANA.DELGADO.VEGA@BBVA.COM</t>
  </si>
  <si>
    <t>GONZALEZ LARA ANGEL EDUARDO</t>
  </si>
  <si>
    <t>MB47862</t>
  </si>
  <si>
    <t>ANGELEDUARDO.GONZALEZ@BBVA.COM</t>
  </si>
  <si>
    <t>GUTIERREZ GONZALEZ MARIA ELENA</t>
  </si>
  <si>
    <t>MB65986</t>
  </si>
  <si>
    <t>MARIAELENA.GUTIERREZ2@BBVA.COM</t>
  </si>
  <si>
    <t>CASTRO RUIZ GABRIEL ALONSO</t>
  </si>
  <si>
    <t>MH00686</t>
  </si>
  <si>
    <t>GABRIEL.CASTRO@BBVA.COM</t>
  </si>
  <si>
    <t>MEJIA TORRES ARACELY</t>
  </si>
  <si>
    <t>MB47273</t>
  </si>
  <si>
    <t>ARACELY.MEJIA@BBVA.COM</t>
  </si>
  <si>
    <t>ABREGO MORALES LUIS MANUEL</t>
  </si>
  <si>
    <t>MB69963</t>
  </si>
  <si>
    <t>LUISMANUEL.ABREGO.MORALES@BBVA.COM</t>
  </si>
  <si>
    <t>FLORES MENDEZ LETICIA</t>
  </si>
  <si>
    <t>MB81218</t>
  </si>
  <si>
    <t>LETICIA.FLORES2@BBVA.COM</t>
  </si>
  <si>
    <t>PEREZ GOMEZ OBED</t>
  </si>
  <si>
    <t>MB70239</t>
  </si>
  <si>
    <t>OBED.PEREZ.GOMEZ@BBVA.COM</t>
  </si>
  <si>
    <t>RAMIREZ MURRIETA MIGUEL</t>
  </si>
  <si>
    <t>MB60505</t>
  </si>
  <si>
    <t>MIGUEL.RAMIREZ3@BBVA.COM</t>
  </si>
  <si>
    <t>HERNANDEZ LEON KARLA ITZEL</t>
  </si>
  <si>
    <t>MB70669</t>
  </si>
  <si>
    <t>KARLAITZEL.HERNANDEZ@BBVA.COM</t>
  </si>
  <si>
    <t>GARAY GARCIA ERIKA MARLENE</t>
  </si>
  <si>
    <t>MB69961</t>
  </si>
  <si>
    <t>ERIKAMARLENE.GARAY.GARCIA@BBVA.COM</t>
  </si>
  <si>
    <t>GARCIA JUAREZ NEIDE YEDID ISABEL</t>
  </si>
  <si>
    <t>MB00525</t>
  </si>
  <si>
    <t>NEIDE.GARCIA@BBVA.COM</t>
  </si>
  <si>
    <t>LARA RENDON ERIK ALBERTO</t>
  </si>
  <si>
    <t>MB72821</t>
  </si>
  <si>
    <t>erikalberto.lara@bbva.com</t>
  </si>
  <si>
    <t>ROCHA MEDINA RAUL NESTOR</t>
  </si>
  <si>
    <t>MB60508</t>
  </si>
  <si>
    <t>RAULNESTOR.ROCHA@BBVA.COM</t>
  </si>
  <si>
    <t>ANDRADE SALINAS VICTOR HUGO</t>
  </si>
  <si>
    <t>MB67991</t>
  </si>
  <si>
    <t>VICTORHUGO.ANDRADE@BBVA.COM</t>
  </si>
  <si>
    <t>AVENDANO ZACARIAS ROBERTO</t>
  </si>
  <si>
    <t>MB69962</t>
  </si>
  <si>
    <t>ROBERTO.AVENDANO2@BBVA.COM</t>
  </si>
  <si>
    <t>BAUTISTA MAYORGA ISMAEL</t>
  </si>
  <si>
    <t>MB66951</t>
  </si>
  <si>
    <t>ISMAEL.BAUTISTA.MAYORGA@BBVA.COM</t>
  </si>
  <si>
    <t>ARTEAGA VAZQUEZ JUAN PERFECTO</t>
  </si>
  <si>
    <t>MB20446</t>
  </si>
  <si>
    <t>JUANPERFECTO.ARTEAGA@BBVA.COM</t>
  </si>
  <si>
    <t>FUENTES MEDINA PERLA ALEJANDRINA</t>
  </si>
  <si>
    <t>MB35822</t>
  </si>
  <si>
    <t>PERLAALEJANDRINA.FUENTES@BBVA.COM</t>
  </si>
  <si>
    <t>VILLEGAS LOPEZ ALICIA ALEYDA</t>
  </si>
  <si>
    <t>MA31546</t>
  </si>
  <si>
    <t>ALICIA.VILLEGAS@BBVA.COM</t>
  </si>
  <si>
    <t>RAMOS RAMOS ROBERTO</t>
  </si>
  <si>
    <t>MB46615</t>
  </si>
  <si>
    <t>ROBERTO.RAMOS.RAMOS@BBVA.COM</t>
  </si>
  <si>
    <t>DEL ANGEL HERNANDEZ CASIMIRO</t>
  </si>
  <si>
    <t>M469218</t>
  </si>
  <si>
    <t>CASIMIRO.DELANGEL@BBVA.COM</t>
  </si>
  <si>
    <t>NARRO FUENTES JOSE CARLOS</t>
  </si>
  <si>
    <t>MB79500</t>
  </si>
  <si>
    <t>JOSECARLOS.NARRO.FUENTES@BBVA.COM</t>
  </si>
  <si>
    <t>GONZALEZ LECHUGA CIRO</t>
  </si>
  <si>
    <t>MB81262</t>
  </si>
  <si>
    <t>CIRO.GONZALEZ.LECHUGA@BBVA.COM</t>
  </si>
  <si>
    <t>PENA NINO EVA PATRICIA</t>
  </si>
  <si>
    <t>MA13230</t>
  </si>
  <si>
    <t>EVAPATRICIA.PENA@BBVA.COM</t>
  </si>
  <si>
    <t>RAMOS MEDINA SANDRA</t>
  </si>
  <si>
    <t>MA23478</t>
  </si>
  <si>
    <t>SANDRA.RAMOS@BBVA.COM</t>
  </si>
  <si>
    <t>HERNANDEZ LOPEZ FAUSTINO</t>
  </si>
  <si>
    <t>MB70240</t>
  </si>
  <si>
    <t>FAUSTINO.HERNANDEZ.LOPEZ@BBVA.COM</t>
  </si>
  <si>
    <t>ORTA COLOME GENARO</t>
  </si>
  <si>
    <t>MB35823</t>
  </si>
  <si>
    <t>GENARO.ORTA@BBVA.COM</t>
  </si>
  <si>
    <t>MARTINEZ CABELLO MARTHA AMELIA</t>
  </si>
  <si>
    <t>M31414</t>
  </si>
  <si>
    <t>M.MARTINEZC@BBVA.COM</t>
  </si>
  <si>
    <t>AGUILAR TORRES ANA PAOLA</t>
  </si>
  <si>
    <t>MB66206</t>
  </si>
  <si>
    <t>ANAPAOLA.AGUILAR.TORRES@BBVA.COM</t>
  </si>
  <si>
    <t>SALDIVAR DAVILA GUILLERMO</t>
  </si>
  <si>
    <t>M163104</t>
  </si>
  <si>
    <t>GUILLERMO.SALDIVAR@BBVA.COM</t>
  </si>
  <si>
    <t>DE HOYOS LOZOYA ALBERTO</t>
  </si>
  <si>
    <t>MB17148</t>
  </si>
  <si>
    <t>ALBERTO.DEHOYOS@BBVA.COM</t>
  </si>
  <si>
    <t>ELIZONDO SALAS ESTELA GUADALUPE</t>
  </si>
  <si>
    <t>MB29105</t>
  </si>
  <si>
    <t>ESTELAGUADALUPE.ELIZONDO@BBVA.COM</t>
  </si>
  <si>
    <t>MAYORGA GOMEZ RAFAEL ALONSO</t>
  </si>
  <si>
    <t>MB77206</t>
  </si>
  <si>
    <t>RAFAELALONSO.MAYORGA@BBVA.COM</t>
  </si>
  <si>
    <t>SAAVEDRA MORALES ROMAN</t>
  </si>
  <si>
    <t>MB47594</t>
  </si>
  <si>
    <t>ROMAN.SAAVEDRA@BBVA.COM</t>
  </si>
  <si>
    <t>SANCHEZ GARCIA JESUS RICARDO</t>
  </si>
  <si>
    <t>MB82775</t>
  </si>
  <si>
    <t>JESUSRICARDO.SANCHEZ.GARCIA@BBVA.COM</t>
  </si>
  <si>
    <t>PAZ BARAJAS JOSE GUADALUPE</t>
  </si>
  <si>
    <t>MB84940</t>
  </si>
  <si>
    <t xml:space="preserve"> JOSEGUADALUPE.PAZ@BBVA.COM</t>
  </si>
  <si>
    <t>FERNANDEZ GARCIA JAVIER</t>
  </si>
  <si>
    <t>MA14419</t>
  </si>
  <si>
    <t>JAVIER.FERNANDEZ@BBVA.COM</t>
  </si>
  <si>
    <t>GUERRA ORTIZ OSCAR ADRIAN</t>
  </si>
  <si>
    <t>MA31274</t>
  </si>
  <si>
    <t>OSCARADRIAN.GUERRA@BBVA.COM</t>
  </si>
  <si>
    <t>BRAVO PEREZ RODRIGO</t>
  </si>
  <si>
    <t>MB77330</t>
  </si>
  <si>
    <t>RODRIGO.BRAVO.PEREZ@BBVA.COM</t>
  </si>
  <si>
    <t>SANCHEZ SUSTAITA LUIS ALFREDO</t>
  </si>
  <si>
    <t>MB72638</t>
  </si>
  <si>
    <t>luisalfredo.sanchez.sustaita@bbva.com</t>
  </si>
  <si>
    <t>ALONSO ORTIZ FRANCISCA</t>
  </si>
  <si>
    <t>MB44694</t>
  </si>
  <si>
    <t>FRANCISCA.ALONSO@BBVA.COM</t>
  </si>
  <si>
    <t>CARDENAS GONZALEZ ALEJANDRA JANETTE</t>
  </si>
  <si>
    <t>MB21960</t>
  </si>
  <si>
    <t>ALEJANDRAJAN.CARDENAS@BBVA.COM</t>
  </si>
  <si>
    <t>TOVAR MONTALVO PERLA ROCIO</t>
  </si>
  <si>
    <t>MB06143</t>
  </si>
  <si>
    <t>PERLA.TOVAR@BBVA.COM</t>
  </si>
  <si>
    <t>BARRIENTOS OCHOA JORGE LUIS</t>
  </si>
  <si>
    <t>MB73619</t>
  </si>
  <si>
    <t>JORGELUIS.BARRIENTOS@BBVA.COM</t>
  </si>
  <si>
    <t>FERNANDEZ RODRIGUEZ JOSE JUAN</t>
  </si>
  <si>
    <t>MB39901</t>
  </si>
  <si>
    <t>JOSEJUAN.FERNANDEZ@BBVA.COM</t>
  </si>
  <si>
    <t>GARCIA JIMENEZ MELITA PATRICIA</t>
  </si>
  <si>
    <t>MB47968</t>
  </si>
  <si>
    <t>MELITAPATRICIA.GARCIA@BBVA.COM</t>
  </si>
  <si>
    <t>GALLEGOS BARBOZA ANA CECILIA</t>
  </si>
  <si>
    <t>MB79134</t>
  </si>
  <si>
    <t>ANACECILIA.GALLEGOS.BARBOZA@BBVA.COM</t>
  </si>
  <si>
    <t>AVILA MORALES JOSE</t>
  </si>
  <si>
    <t>MB73982</t>
  </si>
  <si>
    <t>JOSE.AVILA.MORALES@BBVA.COM</t>
  </si>
  <si>
    <t>SILICEO MUNOZ SERGIO</t>
  </si>
  <si>
    <t>M501752</t>
  </si>
  <si>
    <t>S.SILICEO@BBVA.COM</t>
  </si>
  <si>
    <t>PERAZA ANGUIANO MAYRA</t>
  </si>
  <si>
    <t>MB24702</t>
  </si>
  <si>
    <t>MAYRA.PERAZA@BBVA.COM</t>
  </si>
  <si>
    <t>VAZQUEZ ANCHONDO EVA SOLEDAD</t>
  </si>
  <si>
    <t>MH00610</t>
  </si>
  <si>
    <t>EVA.VAZQUEZA@BBVA.COM</t>
  </si>
  <si>
    <t>GARCIA GARCIA JUAN CARLOS</t>
  </si>
  <si>
    <t>MB00111</t>
  </si>
  <si>
    <t>JUANCARLOS.GARCIA@BBVA.COM</t>
  </si>
  <si>
    <t>SOTO RUELAS LISBET XIOMARA</t>
  </si>
  <si>
    <t>MA31090</t>
  </si>
  <si>
    <t>LISBET.SOTO@BBVA.COM</t>
  </si>
  <si>
    <t>GARCIA COLIO OSEAS JONATHAN</t>
  </si>
  <si>
    <t>M330740</t>
  </si>
  <si>
    <t>OSEAS.GARCIA@BBVA.COM</t>
  </si>
  <si>
    <t>RAYAS MARTINEZ LUS MARIA</t>
  </si>
  <si>
    <t>MH03632</t>
  </si>
  <si>
    <t>LUS.RAYAS@BBVA.COM</t>
  </si>
  <si>
    <t>IBARRA REVILLA ENRIQUE</t>
  </si>
  <si>
    <t>MB12507</t>
  </si>
  <si>
    <t>ENRIQUE.IBARRA@BBVA.COM</t>
  </si>
  <si>
    <t>MORENO SANTANA RICARDO</t>
  </si>
  <si>
    <t>MB65181</t>
  </si>
  <si>
    <t>RICARDO.MORENO2@BBVA.COM</t>
  </si>
  <si>
    <t>LEON GONZALEZ LEONARDO</t>
  </si>
  <si>
    <t>MB70855</t>
  </si>
  <si>
    <t>LEONARDO.LEON@BBVA.COM</t>
  </si>
  <si>
    <t>VERTIN VELAZQUEZ VICENTE</t>
  </si>
  <si>
    <t>MA02872</t>
  </si>
  <si>
    <t>VICENTE.VERTIN@BBVA.COM</t>
  </si>
  <si>
    <t>BANALES GONZALEZ RAFAEL</t>
  </si>
  <si>
    <t>MA30824</t>
  </si>
  <si>
    <t>RAFAEL.BANALES@BBVA.COM</t>
  </si>
  <si>
    <t>GOMEZ LOZANO JOSE ARTURO</t>
  </si>
  <si>
    <t>MB44979</t>
  </si>
  <si>
    <t>JOSEARTURO.GOMEZ@BBVA.COM</t>
  </si>
  <si>
    <t>MONTELONGO COVARRUBIAS JUAN JOSE</t>
  </si>
  <si>
    <t>MA02829</t>
  </si>
  <si>
    <t>JUAN.MONTELONGO@BBVA.COM</t>
  </si>
  <si>
    <t>MARTINEZ LOPEZ GUILLERMINA</t>
  </si>
  <si>
    <t>MH02112</t>
  </si>
  <si>
    <t>GUILLERMINA.MARTINEZ.LOPEZ@BBVA.COM</t>
  </si>
  <si>
    <t>OZUNA CANTU ANGEL RAFAEL</t>
  </si>
  <si>
    <t>M342335</t>
  </si>
  <si>
    <t>ANGEL.OZUNA@BBVA.COM</t>
  </si>
  <si>
    <t>CLARK AVILA CECILIA GUADALUPE</t>
  </si>
  <si>
    <t>MB62938</t>
  </si>
  <si>
    <t>CECILIAGUADALUPE.CLARK@BBVA.COM</t>
  </si>
  <si>
    <t>SARAO SANCHEZ RODOLFO</t>
  </si>
  <si>
    <t>MB83115</t>
  </si>
  <si>
    <t>RODOLFO.SARAO@BBVA.COM</t>
  </si>
  <si>
    <t>GUTIERREZ ESCALANTE BENJAMIN</t>
  </si>
  <si>
    <t>MA28730</t>
  </si>
  <si>
    <t>BENJAMIN.GUTIERREZ@BBVA.COM</t>
  </si>
  <si>
    <t>HERNANDEZ FIGUEROA LUIS FABIAN</t>
  </si>
  <si>
    <t>M501950</t>
  </si>
  <si>
    <t>LUISFABIAN.HERNANDEZ@BBVA.COM</t>
  </si>
  <si>
    <t>ZUNIGA ALCANTAR EUNICE MARISELA</t>
  </si>
  <si>
    <t>MB20487</t>
  </si>
  <si>
    <t>EUNICEMARISE.ZUNIGA@BBVA.COM</t>
  </si>
  <si>
    <t>ALCANTAR VILLAGRANA ANASTACIO</t>
  </si>
  <si>
    <t>MH00448</t>
  </si>
  <si>
    <t>A.ALCANTAR@BBVA.COM</t>
  </si>
  <si>
    <t>RIVERA BUSTAMANTE JUAN HUMBERTO</t>
  </si>
  <si>
    <t>MA30793</t>
  </si>
  <si>
    <t>JUANHUMBERTO.RIVERA@BBVA.COM</t>
  </si>
  <si>
    <t>CONTRERAS BELTRAN JESUS ALONSO</t>
  </si>
  <si>
    <t>MB05520</t>
  </si>
  <si>
    <t>JESUS.CONTRERAS.3@BBVA.COM</t>
  </si>
  <si>
    <t>LOPEZ GASTELUM CARLOS ENRIQUE</t>
  </si>
  <si>
    <t>MA07546</t>
  </si>
  <si>
    <t>CARLOAS.LOPEZ@BBVA.COM</t>
  </si>
  <si>
    <t>PILLADO MAGALLANES ROLANDO ALBERTO</t>
  </si>
  <si>
    <t>MA00672</t>
  </si>
  <si>
    <t>MH02546@BBVA.COM</t>
  </si>
  <si>
    <t>VALDEZ GRIJALVA IGNACIO</t>
  </si>
  <si>
    <t>MA00674</t>
  </si>
  <si>
    <t>MH01542@BBVA.COM</t>
  </si>
  <si>
    <t>RODRIGUEZ AMEZQUITA RODOLFO</t>
  </si>
  <si>
    <t>MH01366</t>
  </si>
  <si>
    <t>RODOLFO.RODRIGUEZA@BBVA.COM</t>
  </si>
  <si>
    <t>VALENCIA LEON DENISSE ELISA</t>
  </si>
  <si>
    <t>MA31047</t>
  </si>
  <si>
    <t>DENISSE.VALENCIA@BBVA.COM</t>
  </si>
  <si>
    <t>CASTRO ANGULO EVERARDO</t>
  </si>
  <si>
    <t>MA13073</t>
  </si>
  <si>
    <t>EVERARDO.CASTRO@BBVA.COM</t>
  </si>
  <si>
    <t>AGUIRRE PABLOS HECTOR</t>
  </si>
  <si>
    <t>MA31462</t>
  </si>
  <si>
    <t>HECTOR.AGUIRRE2@BBVA.COM</t>
  </si>
  <si>
    <t>VIZCARRA GARCIA ADOLFO</t>
  </si>
  <si>
    <t>MA02798</t>
  </si>
  <si>
    <t>ADOLFO.VIZCARRA@BBVA.COM</t>
  </si>
  <si>
    <t>SALAZAR GARCIA RAQUEL</t>
  </si>
  <si>
    <t>MB33717</t>
  </si>
  <si>
    <t>RAQUEL.SALAZAR@BBVA.COM</t>
  </si>
  <si>
    <t>GARCIA MENDEZ DORA ELISA</t>
  </si>
  <si>
    <t>MB01976</t>
  </si>
  <si>
    <t>DORA.GARCIA@BBVA.COM</t>
  </si>
  <si>
    <t>ACOSTA CORONA VICTOR HUGO</t>
  </si>
  <si>
    <t>MA31363</t>
  </si>
  <si>
    <t>VICTOR.ACOSTA2@BBVA.COM</t>
  </si>
  <si>
    <t>TALABERA SARABIA JOSE LUIS</t>
  </si>
  <si>
    <t>MA01021</t>
  </si>
  <si>
    <t>JOSE.TALABERA@BBVA.COM</t>
  </si>
  <si>
    <t>AGUILAR NUNEZ RICARDO</t>
  </si>
  <si>
    <t>MB55281</t>
  </si>
  <si>
    <t>RICARDO.AGUILAR.NUNEZ@BBVA.COM</t>
  </si>
  <si>
    <t>FRIAS ATIENZO ROMAN</t>
  </si>
  <si>
    <t>MB00044</t>
  </si>
  <si>
    <t>ROMAN.FRIAS@BBVA.COM</t>
  </si>
  <si>
    <t>VIDAL PEREGRINA JULIO CESAR</t>
  </si>
  <si>
    <t>MB45482</t>
  </si>
  <si>
    <t>JULIOCESAR.VIDAL@BBVA.COM</t>
  </si>
  <si>
    <t>RUIZ NAVARRETE HECTOR ENCARNACION</t>
  </si>
  <si>
    <t>MA31867</t>
  </si>
  <si>
    <t>HECTOR.RUIZ@BBVA.COM</t>
  </si>
  <si>
    <t>RODRIGUEZ LEYVA ESTHELA ARMIDA</t>
  </si>
  <si>
    <t>MA31829</t>
  </si>
  <si>
    <t>ESTHELA.RODRIGUEZ@BBVA.COM</t>
  </si>
  <si>
    <t>VILLAESCUSA AMADOR CARLOS ALONSO</t>
  </si>
  <si>
    <t>MB70843</t>
  </si>
  <si>
    <t>CARLOSALONSO.VILLAESCUSA@BBVA.COM</t>
  </si>
  <si>
    <t>CARPIO SOLIS GERMAN ARMANDO</t>
  </si>
  <si>
    <t>MA30881</t>
  </si>
  <si>
    <t>GERMAN.CARPIO@BBVA.COM</t>
  </si>
  <si>
    <t>ANAYA CORONADO LUIS ENRIQUE</t>
  </si>
  <si>
    <t>MB69941</t>
  </si>
  <si>
    <t>LUISENRIQUE.ANAYA.CORONADO@BBVA.COM</t>
  </si>
  <si>
    <t>CALDERON VALDEZ JOSE SERVANDO</t>
  </si>
  <si>
    <t>MB67050</t>
  </si>
  <si>
    <t>JOSESERVANDO.CALDERON.VALDEZ@BBVA.COM</t>
  </si>
  <si>
    <t>QUINTANA BEJARANO DORA ALICIA</t>
  </si>
  <si>
    <t>MH00671</t>
  </si>
  <si>
    <t>D.QUINTANA@BBVA.COM</t>
  </si>
  <si>
    <t>ROSAS GONZALEZ GLORIA MAYTE</t>
  </si>
  <si>
    <t>MB54785</t>
  </si>
  <si>
    <t>GLORIA.ROSAS@BBVA.COM</t>
  </si>
  <si>
    <t>HERNANDEZ SOLIS CARLOS EDUARDO</t>
  </si>
  <si>
    <t>MA12645</t>
  </si>
  <si>
    <t>CARLOS.HERNANDEZ.2@BBVA.COM</t>
  </si>
  <si>
    <t>LOPEZ RENDON MARCELA</t>
  </si>
  <si>
    <t>MB54788</t>
  </si>
  <si>
    <t>MARCELA.LOPEZ2@BBVA.COM</t>
  </si>
  <si>
    <t>ESPINOZA SANCHEZ HERNAN FRANCISCO</t>
  </si>
  <si>
    <t>MB85554</t>
  </si>
  <si>
    <t>PONCE ACEVEDO OLGA ISABEL</t>
  </si>
  <si>
    <t>MB47615</t>
  </si>
  <si>
    <t>OLGAISABEL.PONCE2@BBVA.COM</t>
  </si>
  <si>
    <t>OLACHEA SANDOVAL CHRISTIAM</t>
  </si>
  <si>
    <t>MB01235</t>
  </si>
  <si>
    <t>CHRISTIAM.OLACHEA@BBVA.COM</t>
  </si>
  <si>
    <t>GUTIERREZ ROMERO YOLANDA GUADALUPE</t>
  </si>
  <si>
    <t>MB30260</t>
  </si>
  <si>
    <t>YOLANDAGUADALUPE.GUTIERREZ@BBVA.COM</t>
  </si>
  <si>
    <t>LUCERO TELECHEA ANABEL</t>
  </si>
  <si>
    <t>MA30837</t>
  </si>
  <si>
    <t>ANABEL.LUCERO@BBVA.COM</t>
  </si>
  <si>
    <t>JIMENEZ MARTINEZ JOSE LUIS</t>
  </si>
  <si>
    <t>M300293</t>
  </si>
  <si>
    <t>PEJJJMJ1@BBVA.COM</t>
  </si>
  <si>
    <t>BUENROSTRO SANDOVAL JUANA ANTONIA</t>
  </si>
  <si>
    <t>MB47857</t>
  </si>
  <si>
    <t>LEON LEON JESUS MONSERRATH</t>
  </si>
  <si>
    <t>MB63461</t>
  </si>
  <si>
    <t>JESUSMONSERRATH.LEON@BBVA.COM</t>
  </si>
  <si>
    <t>SANCHEZ LUCERO MARIO</t>
  </si>
  <si>
    <t>MA30746</t>
  </si>
  <si>
    <t>MARIO.SANCHEZL@BBVA.COM</t>
  </si>
  <si>
    <t>DE ANDA COTA MELISA</t>
  </si>
  <si>
    <t>MA30885</t>
  </si>
  <si>
    <t>MELISA.DEANDA@BBVA.COM</t>
  </si>
  <si>
    <t>BERDEJA DE LOS ANGELES KRISTIAN BERNARDO</t>
  </si>
  <si>
    <t>MB85545</t>
  </si>
  <si>
    <t>CISNEROS ALONSO AARON ISAI</t>
  </si>
  <si>
    <t>MB54787</t>
  </si>
  <si>
    <t>AARONISAI.CISNEROS.ALONSO@BBVA.COM</t>
  </si>
  <si>
    <t>ATONDO VALDEZ MARTHA MARIA</t>
  </si>
  <si>
    <t>MB12464</t>
  </si>
  <si>
    <t>MARTHAMARIA.ATONDO@BBVA.COM</t>
  </si>
  <si>
    <t>CORONEL RIVERA JOSE PABLO</t>
  </si>
  <si>
    <t>MB85517</t>
  </si>
  <si>
    <t>BOCANEGRA GOMEZ ERICK</t>
  </si>
  <si>
    <t>MB70577</t>
  </si>
  <si>
    <t>ERICK.BOCANEGRA@BBVA.COM</t>
  </si>
  <si>
    <t>VELAZCO OSORNIO JESUS EDGAR</t>
  </si>
  <si>
    <t>MB70034</t>
  </si>
  <si>
    <t>JESUSEDGAR.VELAZCO.OSORNIO@BBVA.COM</t>
  </si>
  <si>
    <t>CHAVEZ DE LA PENA CARLA LORENIA</t>
  </si>
  <si>
    <t>MB14017</t>
  </si>
  <si>
    <t>CARLA.CHAVEZ.1@BBVA.COM</t>
  </si>
  <si>
    <t>PAULINO SANTANA MARICELA</t>
  </si>
  <si>
    <t>MB22825</t>
  </si>
  <si>
    <t>MARICELA.PAULINO.1@BBVA.COM</t>
  </si>
  <si>
    <t>SANCHEZ HERNANDEZ PAVEL</t>
  </si>
  <si>
    <t>MB70109</t>
  </si>
  <si>
    <t>PAVEL.SANCHEZ.HERNANDEZ@BBVA.COM</t>
  </si>
  <si>
    <t>SOSA MORENO ALEJANDRA</t>
  </si>
  <si>
    <t>MB74441</t>
  </si>
  <si>
    <t>ALEJANDRA.SOSA.MORENO@BBVA.COM</t>
  </si>
  <si>
    <t>LUNA PEREZ JULIO HUMBERTO</t>
  </si>
  <si>
    <t>MH01359</t>
  </si>
  <si>
    <t>JULIOHUMBERT.LUNA@BBVA.COM</t>
  </si>
  <si>
    <t>BURKE VARGAS ARIADNA</t>
  </si>
  <si>
    <t>MA01091</t>
  </si>
  <si>
    <t>ARIADNA.BURKE@BBVA.COM</t>
  </si>
  <si>
    <t>GONZALEZ GARCIA MARIA CRISTINA</t>
  </si>
  <si>
    <t>MB20118</t>
  </si>
  <si>
    <t>MARIACRISTIN.GONZALEZ@BBVA.COM</t>
  </si>
  <si>
    <t>HERNANDEZ SALAS BETSABE</t>
  </si>
  <si>
    <t>MA07574</t>
  </si>
  <si>
    <t>BETSABE.HERNANDEZ@BBVA.COM</t>
  </si>
  <si>
    <t>LLANES HURTADO SHELSY GUADALUPE</t>
  </si>
  <si>
    <t>MB61605</t>
  </si>
  <si>
    <t>SHELSYGUADALUPE.LLANES@BBVA.COM</t>
  </si>
  <si>
    <t>GUEVARA ESCARENO NORA ISABEL</t>
  </si>
  <si>
    <t>MA28682</t>
  </si>
  <si>
    <t>NORA.GUEVARA@BBVA.COM</t>
  </si>
  <si>
    <t>. COTA BRENDA ALICIA</t>
  </si>
  <si>
    <t>MA31360</t>
  </si>
  <si>
    <t>BRENDA.COTA@BBVA.COM</t>
  </si>
  <si>
    <t>ARELLANO MORA OSCAR</t>
  </si>
  <si>
    <t>MA11375</t>
  </si>
  <si>
    <t>OSCAR.ARELLANO@BBVA.COM</t>
  </si>
  <si>
    <t>JIMENEZ GASPAR JOSE DEL CARMEN</t>
  </si>
  <si>
    <t>MB70580</t>
  </si>
  <si>
    <t>JOSEDELCARMEN.JIMENEZ@BBVA.COM</t>
  </si>
  <si>
    <t>RAMOS ZAVALA YESENIA</t>
  </si>
  <si>
    <t>MA05743</t>
  </si>
  <si>
    <t>YESENIA.RAMOS@BBVA.COM</t>
  </si>
  <si>
    <t>OCHOA LUCAS NORMA ALICIA</t>
  </si>
  <si>
    <t>MB59951</t>
  </si>
  <si>
    <t>NORMAALICIA.OCHOA@BBVA.COM</t>
  </si>
  <si>
    <t>ARCE MARTINEZ PABLO ALBERTO</t>
  </si>
  <si>
    <t>MA02830</t>
  </si>
  <si>
    <t>PABLO.ARCE@BBVA.COM</t>
  </si>
  <si>
    <t>ACOSTA GONZALEZ CARMEN ANGELICA</t>
  </si>
  <si>
    <t>MB19710</t>
  </si>
  <si>
    <t>CARMENANGELI.ACOSTA@BBVA.COM</t>
  </si>
  <si>
    <t>QUIJADA ESPARZA LUIS EDUARDO</t>
  </si>
  <si>
    <t>MB15212</t>
  </si>
  <si>
    <t>LUISEDUARDO.QUIJADA@BBVA.COM</t>
  </si>
  <si>
    <t>GARCIA SANTOS JOEL ENRIQUE</t>
  </si>
  <si>
    <t>MA29462</t>
  </si>
  <si>
    <t>JOEL.GARCIA2@BBVA.COM</t>
  </si>
  <si>
    <t>ARISTA PALACIOS REY MARTIN</t>
  </si>
  <si>
    <t>M54144</t>
  </si>
  <si>
    <t>REYMARTIN.ARISTA@BBVA.COM</t>
  </si>
  <si>
    <t>MARTINEZ GONZALEZ CINDY</t>
  </si>
  <si>
    <t>MH02993</t>
  </si>
  <si>
    <t>CINDY.MARTINEZ@BBVA.COM</t>
  </si>
  <si>
    <t>RODRIGUEZ RIOS ESTEBAN</t>
  </si>
  <si>
    <t>MA13392</t>
  </si>
  <si>
    <t>ESTEBAN.RODRIGUEZ@BBVA.COM</t>
  </si>
  <si>
    <t>GONZALEZ ARELLANO ELIZABETH</t>
  </si>
  <si>
    <t>MB06299</t>
  </si>
  <si>
    <t>ELIZABETH.GONZALEZ.5@BBVA.COM</t>
  </si>
  <si>
    <t>LOPEZ RODRIGUEZ MIGUEL ANGEL</t>
  </si>
  <si>
    <t>MB32253</t>
  </si>
  <si>
    <t>MIGUELANGEL.LOPEZ.RODRIGUEZ@BBVA.COM</t>
  </si>
  <si>
    <t>SOLIS AMADOR DANIEL ALBERTO</t>
  </si>
  <si>
    <t>MB59160</t>
  </si>
  <si>
    <t>DANIELALBERTO.SOLIS.AMADOR@BBVA.COM</t>
  </si>
  <si>
    <t>LOPEZ LOPEZ JESUS</t>
  </si>
  <si>
    <t>MB00976</t>
  </si>
  <si>
    <t>JESUS.LOPEZ.9@BBVA.COM</t>
  </si>
  <si>
    <t>SALINAS ROJAS DANIEL ESTEBAN</t>
  </si>
  <si>
    <t>MB44549</t>
  </si>
  <si>
    <t>DANIELESTEBAN.SALINAS@BBVA.COM</t>
  </si>
  <si>
    <t>IBARRA ROMERO GUADALUPE AHYMEE</t>
  </si>
  <si>
    <t>MB85435</t>
  </si>
  <si>
    <t>RIVERA ROBLES JUAN CARLOS</t>
  </si>
  <si>
    <t>M110867</t>
  </si>
  <si>
    <t>JUAN.RIVERA.2@BBVA.COM</t>
  </si>
  <si>
    <t>CASTRO HERNANDEZ ERIK DAVID</t>
  </si>
  <si>
    <t>MB36590</t>
  </si>
  <si>
    <t>ERIKDAVID.CASTRO@BBVA.COM</t>
  </si>
  <si>
    <t>ARCE GONZALEZ ALEJANDRA BERENICE</t>
  </si>
  <si>
    <t>MA02880</t>
  </si>
  <si>
    <t>ALEJANDRA.ARCE.2@BBVA.COM</t>
  </si>
  <si>
    <t>ZAAVEDRA URIARTE MARIA ANGELICA</t>
  </si>
  <si>
    <t>MA08453</t>
  </si>
  <si>
    <t>MARIAANGELICA.ZAAVEDRA@BBVA.COM</t>
  </si>
  <si>
    <t>ESTRADA BARRERA JOSE RAYMUNDO</t>
  </si>
  <si>
    <t>MA12859</t>
  </si>
  <si>
    <t>JOSE.ESTRADA.2@BBVA.COM</t>
  </si>
  <si>
    <t>VIZCARRA RODRIGUEZ LUCIO FRANCISCO</t>
  </si>
  <si>
    <t>MA11889</t>
  </si>
  <si>
    <t>LUCIO.VIZCARRA@BBVA.COM</t>
  </si>
  <si>
    <t>DE LEON MONTES JUAN ALBERTO</t>
  </si>
  <si>
    <t>MB74039</t>
  </si>
  <si>
    <t>JUANALBERTO.DELEON@BBVA.COM</t>
  </si>
  <si>
    <t>PRADO MEZA VICTOR MANUEL</t>
  </si>
  <si>
    <t>MB83573</t>
  </si>
  <si>
    <t>VICTORMANUEL.PRADO.MEZA@BBVA.COM</t>
  </si>
  <si>
    <t>NAVARRO CERDA ANTONIO TRINIDAD</t>
  </si>
  <si>
    <t>MB00668</t>
  </si>
  <si>
    <t>ANTONIO.NAVARRO@BBVA.COM</t>
  </si>
  <si>
    <t>PEYRO BUCARDO MONICA</t>
  </si>
  <si>
    <t>MB12681</t>
  </si>
  <si>
    <t>MONICA.PEYRO@BBVA.COM</t>
  </si>
  <si>
    <t>BALLINA BANOS ALVARO</t>
  </si>
  <si>
    <t>MB83049</t>
  </si>
  <si>
    <t>ALVARO.BALLINA@BBVA.COM</t>
  </si>
  <si>
    <t>ZARATE TORRES ALMA ROSA</t>
  </si>
  <si>
    <t>MB71576</t>
  </si>
  <si>
    <t>ALMAROSA.ZARATE@BBVA.COM</t>
  </si>
  <si>
    <t>MENDEZ TRUJILLO LILIA ANGELINA</t>
  </si>
  <si>
    <t>MA31062</t>
  </si>
  <si>
    <t>LILIA.MENDEZ@BBVA.COM</t>
  </si>
  <si>
    <t>ALVAREZ VELASCO RICARDO</t>
  </si>
  <si>
    <t>MB20731</t>
  </si>
  <si>
    <t>RICARDO.ALVAREZ@BBVA.COM</t>
  </si>
  <si>
    <t>FUENTES RODRIGUEZ FRANCISCA SOLEDAD</t>
  </si>
  <si>
    <t>MA29463</t>
  </si>
  <si>
    <t>MA29463@BBVA.COM</t>
  </si>
  <si>
    <t>ALDAMA FRESCAS IVAN CLEMENTE</t>
  </si>
  <si>
    <t>MH00352</t>
  </si>
  <si>
    <t>I.ALDAMA@BBVA.COM</t>
  </si>
  <si>
    <t>GONZALEZ GOMEZ MARIA ANTONIETA</t>
  </si>
  <si>
    <t>M309664</t>
  </si>
  <si>
    <t>MAANTONIETA.GONZALEZ@BBVA.COM</t>
  </si>
  <si>
    <t>ROMO VALLEJO LAURA CISELA</t>
  </si>
  <si>
    <t>M405840</t>
  </si>
  <si>
    <t>LC.ROMO@BBVA.COM</t>
  </si>
  <si>
    <t>GARCIA DIAZ DIEGO ARMANDO</t>
  </si>
  <si>
    <t>MB56018</t>
  </si>
  <si>
    <t>DIEGO.GARCIA.2@BBVA.COM</t>
  </si>
  <si>
    <t>GUZMAN FLORES ARELI</t>
  </si>
  <si>
    <t>MB78224</t>
  </si>
  <si>
    <t>ARELI.GUZMAN.FLORES@BBVA.COM</t>
  </si>
  <si>
    <t>ROJAS VILLALOBOS CAROL BERENICE</t>
  </si>
  <si>
    <t>MA13305</t>
  </si>
  <si>
    <t>CAROL.ROJAS@BBVA.COM</t>
  </si>
  <si>
    <t>VILLEGAS GONZALEZ LUIS DANIEL</t>
  </si>
  <si>
    <t>MB60668</t>
  </si>
  <si>
    <t>LUISDANIEL.VILLEGAS.GONZALEZ@BBVA.COM</t>
  </si>
  <si>
    <t>SOLORZANO MACIAS ALEXANDRA GUADALUPE</t>
  </si>
  <si>
    <t>MB67513</t>
  </si>
  <si>
    <t>ALEXANDRAG.SOLORZANO@BBVA.COM</t>
  </si>
  <si>
    <t>JARAMILLO CASTILLO JOSE LEOPOLDO</t>
  </si>
  <si>
    <t>MB77877</t>
  </si>
  <si>
    <t>JOSELEOPOLDO.JARAMILLO.CASTIL@BBVA.COM</t>
  </si>
  <si>
    <t>VAZQUEZ ARREDONDO ELIO ALBERTO</t>
  </si>
  <si>
    <t>MB00443</t>
  </si>
  <si>
    <t>ELIO.VAZQUEZ@BBVA.COM</t>
  </si>
  <si>
    <t>ARELLANO RODRIGUEZ MINERVA</t>
  </si>
  <si>
    <t>MA03134</t>
  </si>
  <si>
    <t>MINERVA.ARELLANO@BBVA.COM</t>
  </si>
  <si>
    <t>SEGURA JUAREZ LUIS OMAR</t>
  </si>
  <si>
    <t>MB24668</t>
  </si>
  <si>
    <t>LUISOMAR.SEGURA@BBVA.COM</t>
  </si>
  <si>
    <t>FRANCO COVARRUBIAS ROSA JEANETTE</t>
  </si>
  <si>
    <t>MA08700</t>
  </si>
  <si>
    <t>ROSA.FRANCO@BBVA.COM</t>
  </si>
  <si>
    <t>CISNEROS CISNEROS JORGE ENRIQUE</t>
  </si>
  <si>
    <t>MB60990</t>
  </si>
  <si>
    <t>JORGEENRIQUE.CISNEROS.CISNERO@BBVA.COM</t>
  </si>
  <si>
    <t>MARQUEZ LERMA CESAR ALEJANDRO</t>
  </si>
  <si>
    <t>MA08410</t>
  </si>
  <si>
    <t>CESAR.MARQUEZ@BBVA.COM</t>
  </si>
  <si>
    <t>VALDEZ ZAMUDIO ESTEBAN RUBEN</t>
  </si>
  <si>
    <t>MA04565</t>
  </si>
  <si>
    <t>ESTEBAN.VALDEZ@BBVA.COM</t>
  </si>
  <si>
    <t>REYES VAZQUEZ RENE ALEJANDRO</t>
  </si>
  <si>
    <t>M412625</t>
  </si>
  <si>
    <t>RENE.REYES@BBVA.COM</t>
  </si>
  <si>
    <t>SERRATO GAONA GISELA</t>
  </si>
  <si>
    <t>MA14422</t>
  </si>
  <si>
    <t>GISELA.SERRATO@BBVA.COM</t>
  </si>
  <si>
    <t>MATA IBARRA DAMIAN</t>
  </si>
  <si>
    <t>MB22029</t>
  </si>
  <si>
    <t>DAMIAN.MATA@BBVA.COM</t>
  </si>
  <si>
    <t>OLIVA GARCIA ARIEL</t>
  </si>
  <si>
    <t>MB65089</t>
  </si>
  <si>
    <t>ARIEL.OLIVA@BBVA.COM</t>
  </si>
  <si>
    <t>MANCILLA FRANCO RAMON</t>
  </si>
  <si>
    <t>MB65997</t>
  </si>
  <si>
    <t>RAMON.MANCILLA.FRANCO@BBVA.COM</t>
  </si>
  <si>
    <t>MACIAS PEREZ JESUS ALBERTO</t>
  </si>
  <si>
    <t>MB61551</t>
  </si>
  <si>
    <t>JESUSALBERTO.MACIAS@BBVA.COM</t>
  </si>
  <si>
    <t>LOPEZ HERNANDEZ GEB OSIRIS</t>
  </si>
  <si>
    <t>MB60614</t>
  </si>
  <si>
    <t>GEBOSIRIS.LOPEZ@BBVA.COM</t>
  </si>
  <si>
    <t>DEL RIO AYALA JANET GISELL</t>
  </si>
  <si>
    <t>MA30539</t>
  </si>
  <si>
    <t>JANETGISELL.DELRIO.AYALA@BBVA.COM</t>
  </si>
  <si>
    <t>CORTES . JOSE LUIS</t>
  </si>
  <si>
    <t>M410699</t>
  </si>
  <si>
    <t>JOSELUIS.CORTES.2@BBVA.COM</t>
  </si>
  <si>
    <t>HERNANDEZ ARAUJO YOLANDA</t>
  </si>
  <si>
    <t>MA30655</t>
  </si>
  <si>
    <t>YOLANDA.HERNANDEZ.3@BBVA.COM</t>
  </si>
  <si>
    <t>MARIN MARTINEZ JAVIER</t>
  </si>
  <si>
    <t>mb75595</t>
  </si>
  <si>
    <t>javier.marin.martinez@bbva.com</t>
  </si>
  <si>
    <t>MALAGON BANALES BEATRIZ YAREL</t>
  </si>
  <si>
    <t>MB48186</t>
  </si>
  <si>
    <t>BEATRIZYAREL.MALAGON@BBVA.COM</t>
  </si>
  <si>
    <t>OROZCO MIGUEL GABRIEL ALEJANDRO</t>
  </si>
  <si>
    <t>M49213</t>
  </si>
  <si>
    <t>G.OROZCO2@BBVA.COM</t>
  </si>
  <si>
    <t>ORTEGA RODRIGUEZ ERICK</t>
  </si>
  <si>
    <t>MA31824</t>
  </si>
  <si>
    <t>ERICK.ORTEGA@BBVA.COM</t>
  </si>
  <si>
    <t>CARLOS VAZQUEZ ANA ROSA</t>
  </si>
  <si>
    <t>MB71146</t>
  </si>
  <si>
    <t>anarosa.carlos2@bbva.com</t>
  </si>
  <si>
    <t>SALINAS SAUCEDO EDMUNDO ALFONSO</t>
  </si>
  <si>
    <t>MB34097</t>
  </si>
  <si>
    <t>EDMUNDOALFONSO.SALINAS@BBVA.COM</t>
  </si>
  <si>
    <t>CUEVAS MONSIVAIS VICTOR ADAN</t>
  </si>
  <si>
    <t>MB37790</t>
  </si>
  <si>
    <t>VICTORADAN.CUEVAS@BBVA.COM</t>
  </si>
  <si>
    <t>HERNANDEZ VAZQUEZ LETICIA ISABEL</t>
  </si>
  <si>
    <t>MA29795</t>
  </si>
  <si>
    <t>LETICIA.HERNANDEZ2@BBVA.COM</t>
  </si>
  <si>
    <t>VALERIO ROJAS MARIA SANJUANA</t>
  </si>
  <si>
    <t>MB70902</t>
  </si>
  <si>
    <t>MARIASANJUANA.VALERIO.ROJAS@BBVA.COM</t>
  </si>
  <si>
    <t>FLORES SANCHEZ JESSICA ALEJANDRA</t>
  </si>
  <si>
    <t>MA08912</t>
  </si>
  <si>
    <t>JESSICA.FLORES@BBVA.COM</t>
  </si>
  <si>
    <t>RAMIREZ HERNANDEZ OLIVIA</t>
  </si>
  <si>
    <t>MH03648</t>
  </si>
  <si>
    <t>OLIVIA.RAMIREZ.1@BBVA.COM</t>
  </si>
  <si>
    <t>VALLADOLID RAMIREZ AARON</t>
  </si>
  <si>
    <t>MB23041</t>
  </si>
  <si>
    <t>AARON.VALLADOLID@BBVA.COM</t>
  </si>
  <si>
    <t>TOBIAS MEDELLIN JAIMY TERESA</t>
  </si>
  <si>
    <t>MA13735</t>
  </si>
  <si>
    <t>JAIMY.TABIAS@BBVA.COM</t>
  </si>
  <si>
    <t>DELGADO RUIZ CLAUDIA</t>
  </si>
  <si>
    <t>MA05876</t>
  </si>
  <si>
    <t>CLAUDIA.DELGADO@BBVA.COM</t>
  </si>
  <si>
    <t>GUTIERREZ GUTIERREZ LILIANA MARIBEL</t>
  </si>
  <si>
    <t>MB84159</t>
  </si>
  <si>
    <t>LILIANAMARIBEL.GUTIERREZ@BBVA.COM</t>
  </si>
  <si>
    <t>RODRIGUEZ PINTO BEATRIZ ADRIANA</t>
  </si>
  <si>
    <t>MA13318</t>
  </si>
  <si>
    <t>BEATRIZ.RODRIGUEZ.P@BBVA.COM</t>
  </si>
  <si>
    <t>NAVA GOMEZ DANIEL ALFONSO</t>
  </si>
  <si>
    <t>MA30537</t>
  </si>
  <si>
    <t>DANIEL.NAVA@BBVA.COM</t>
  </si>
  <si>
    <t>SANDOVAL CHAVEZ JORGE ENRIQUE</t>
  </si>
  <si>
    <t>MB56026</t>
  </si>
  <si>
    <t>JORGEENRIQUE.SANDOVAL@BBVA.COM</t>
  </si>
  <si>
    <t>ESPARZA DE LIRA JOSE LUIS</t>
  </si>
  <si>
    <t>MA02945</t>
  </si>
  <si>
    <t>JOSE.ESPARZA@BBVA.COM</t>
  </si>
  <si>
    <t>. MUNOZ EMMANUEL JESUS</t>
  </si>
  <si>
    <t>MA02816</t>
  </si>
  <si>
    <t>EMMANUEL.JESUS@BBVA.COM</t>
  </si>
  <si>
    <t>JASSO VILLALPANDO LUZ MARIA</t>
  </si>
  <si>
    <t>MA01296</t>
  </si>
  <si>
    <t>LUZ.JASSO@BBVA.COM</t>
  </si>
  <si>
    <t>NIEVES SALAZAR RAFAEL WALTER</t>
  </si>
  <si>
    <t>MA11393</t>
  </si>
  <si>
    <t>RAFAEL.NIEVES@BBVA.COM</t>
  </si>
  <si>
    <t>VENEGAS CISNEROS ROLANDO</t>
  </si>
  <si>
    <t>M907041</t>
  </si>
  <si>
    <t>ROLANDO.VENEGAS@BBVA.COM</t>
  </si>
  <si>
    <t>HERNANDEZ VILLASENOR JUAN ANTONIO</t>
  </si>
  <si>
    <t>MA10720</t>
  </si>
  <si>
    <t>JUAN.HERNANDEZ2@BBVA.COM</t>
  </si>
  <si>
    <t>RIVERA ALCANTAR MIRSHA RAFAEL</t>
  </si>
  <si>
    <t>MB10928</t>
  </si>
  <si>
    <t>MIRSHA.RIVERA@BBVA.COM</t>
  </si>
  <si>
    <t>AGUILAR GUERRERO ARMANDO JORGE</t>
  </si>
  <si>
    <t>MB61436</t>
  </si>
  <si>
    <t>ARMANDOJORGE.AGUILAR@BBVA.COM</t>
  </si>
  <si>
    <t>CEDILLO CANELA MARTIN</t>
  </si>
  <si>
    <t>MB73668</t>
  </si>
  <si>
    <t>MARTIN.CEDILLO@BBVA.COM</t>
  </si>
  <si>
    <t>JIMENEZ RENOVATO ANA REBECA</t>
  </si>
  <si>
    <t>MB23349</t>
  </si>
  <si>
    <t>ANAREBECA.JIMENEZ@BBVA.COM</t>
  </si>
  <si>
    <t>MURGUIA VALENCIA NEFTALI</t>
  </si>
  <si>
    <t>MB00320</t>
  </si>
  <si>
    <t>NEFTALI.MURGUIA@BBVA.COM</t>
  </si>
  <si>
    <t>VALDEZ AGUILERA ROBERTO CARLOS</t>
  </si>
  <si>
    <t>MB55086</t>
  </si>
  <si>
    <t>ROBERTOCARLOS.VALDEZ@BBVA.COM</t>
  </si>
  <si>
    <t>GUZMAN PEREZ JORGE ALBERTO</t>
  </si>
  <si>
    <t>MA31105</t>
  </si>
  <si>
    <t>JORGEALBERTO.GUZMAN@BBVA.COM</t>
  </si>
  <si>
    <t>ZAVALA FUENTES VERONICA</t>
  </si>
  <si>
    <t>MA31106</t>
  </si>
  <si>
    <t>VERONICA.ZAVALA.2@BBVA.COM</t>
  </si>
  <si>
    <t>GARCIA MORFIN LUCRECIA</t>
  </si>
  <si>
    <t>MB83502</t>
  </si>
  <si>
    <t>LUCRECIA.GARCIA@BBVA.COM</t>
  </si>
  <si>
    <t>PEREZ ARTEAGA MONICA JEANETTE</t>
  </si>
  <si>
    <t>MB54622</t>
  </si>
  <si>
    <t>MONICAJEANETTE.PEREZ.ARTEAGA@BBVA.COM</t>
  </si>
  <si>
    <t>GALINDO LAGUNA JORGE OMAR</t>
  </si>
  <si>
    <t>MB83485</t>
  </si>
  <si>
    <t>JORGEOMAR.GALINDO.LAGUNA@BBVA.COM</t>
  </si>
  <si>
    <t>DOMINGUEZ ALBARRAN MA. ASCENCION</t>
  </si>
  <si>
    <t>MB15259</t>
  </si>
  <si>
    <t>MAASCENCION.DOMINGUEZ@BBVA.COM</t>
  </si>
  <si>
    <t>ARENAS CAMACHO ALVARO</t>
  </si>
  <si>
    <t>MB65496</t>
  </si>
  <si>
    <t>ALVARO.ARENAS.CAMACHO@BBVA.COM</t>
  </si>
  <si>
    <t>QUIROZ ALCARAZ CARLOS OSWALDO</t>
  </si>
  <si>
    <t>MB60507</t>
  </si>
  <si>
    <t>CARLOSOSWALDO.QUIROZ@BBVA.COM</t>
  </si>
  <si>
    <t>MONTOYA VENEGAS FEDERICO</t>
  </si>
  <si>
    <t>MB60524</t>
  </si>
  <si>
    <t>FEDERICO.MONTOYA.VENEGAS@BBVA.COM</t>
  </si>
  <si>
    <t>LLAMAS LOPEZ GUSTAVO</t>
  </si>
  <si>
    <t>MB05717</t>
  </si>
  <si>
    <t>GUSTAVO.LLAMAS@BBVA.COM</t>
  </si>
  <si>
    <t>GONZALEZ RODRIGUEZ JULIO CESAR</t>
  </si>
  <si>
    <t>MB84406</t>
  </si>
  <si>
    <t>JULIOCESAR.GONZALEZ2@BBVA.COM</t>
  </si>
  <si>
    <t>MARTINEZ GARCIA MARCO ANTONIO</t>
  </si>
  <si>
    <t>MB78188</t>
  </si>
  <si>
    <t>MARCOANTONIO.MARTINEZ2@BBVA.COM</t>
  </si>
  <si>
    <t>QUINONEZ RUBIO DULCE JAZMIN</t>
  </si>
  <si>
    <t>MB76583</t>
  </si>
  <si>
    <t>DULCEJAZMIN.QUINONEZ.RUBIO@BBVA.COM</t>
  </si>
  <si>
    <t>REGALADO ESPARZA VICTOR FAVIO</t>
  </si>
  <si>
    <t>MB80306</t>
  </si>
  <si>
    <t>VICTORFAVIO.REGALADO.ESPARZA@BBVA.COM</t>
  </si>
  <si>
    <t>ROJO TORRES JORGE TOMAS</t>
  </si>
  <si>
    <t>MB73666</t>
  </si>
  <si>
    <t>JORGETOMAS.ROJO@BBVA.COM</t>
  </si>
  <si>
    <t>MANZO JIMENEZ KARLA LORENA</t>
  </si>
  <si>
    <t>MA31648</t>
  </si>
  <si>
    <t>KARLA.MANZO@BBVA.COM</t>
  </si>
  <si>
    <t>GUERRERO AVALOS CARLOS ANTONIO</t>
  </si>
  <si>
    <t>MB24534</t>
  </si>
  <si>
    <t>CARLOSANTONI.GUERRERO@BBVA.COM</t>
  </si>
  <si>
    <t>FLORES ZORRILLA LUIS</t>
  </si>
  <si>
    <t>MB84161</t>
  </si>
  <si>
    <t>LUIS.FLORES.ZORRILLA@BBVA.COM</t>
  </si>
  <si>
    <t>CRUZ GARCIA ALEJANDRO</t>
  </si>
  <si>
    <t>MB67063</t>
  </si>
  <si>
    <t>ALEJANDRO.CRUZ.GARCIA@BBVA.COM</t>
  </si>
  <si>
    <t>SOTRES LANDIN ALEJANDRO</t>
  </si>
  <si>
    <t>MB61147</t>
  </si>
  <si>
    <t>ALEJANDRO.SOTRES@BBVA.COM</t>
  </si>
  <si>
    <t>BENAVIDES MORA GUSTAVO</t>
  </si>
  <si>
    <t>MB73669</t>
  </si>
  <si>
    <t>GUSTAVO.BENAVIDES.MORA@BBVA.COM</t>
  </si>
  <si>
    <t>PATINO FLORES SERGIO ARMANDO</t>
  </si>
  <si>
    <t>MB60637</t>
  </si>
  <si>
    <t>SERGIOARMANDO.PATINO@BBVA.COM</t>
  </si>
  <si>
    <t>OCHOA OROZ GABRIELA MARGARITA</t>
  </si>
  <si>
    <t>MB36513</t>
  </si>
  <si>
    <t>GABRIELAMARGARITA.OCHOA@BBVA.COM</t>
  </si>
  <si>
    <t>CASAS RAYGOZA EDPIDIO</t>
  </si>
  <si>
    <t>MH03703</t>
  </si>
  <si>
    <t>ELPIDIO.CASAS@BBVA.COM</t>
  </si>
  <si>
    <t>SANCHEZ MEZA OSCAR EDUARDO</t>
  </si>
  <si>
    <t>MB72500</t>
  </si>
  <si>
    <t>oscareduardo.sanchez2@bbva.com</t>
  </si>
  <si>
    <t>RUVALCABA LLAMAS RICARDO</t>
  </si>
  <si>
    <t>MB44133</t>
  </si>
  <si>
    <t>RICARDO.RUVALCABA@BBVA.COM</t>
  </si>
  <si>
    <t>LEDESMA CARDOSO LINA</t>
  </si>
  <si>
    <t>MA03048</t>
  </si>
  <si>
    <t>LINA.LEDESMA@BBVA.COM</t>
  </si>
  <si>
    <t>ARMENTA PEINADO LUIS ALFONSO</t>
  </si>
  <si>
    <t>MB66211</t>
  </si>
  <si>
    <t>LUISALFONSO.ARMENTA@BBVA.COM</t>
  </si>
  <si>
    <t>ARAMBULA LEDESMA MARIA DE LOS ANGELES</t>
  </si>
  <si>
    <t>MA31132</t>
  </si>
  <si>
    <t>MARIADELOSANGELES.ARAMBULA@BBVA.COM</t>
  </si>
  <si>
    <t>CANDELARIO PADILLA LUIS MARTIN</t>
  </si>
  <si>
    <t>MB83819</t>
  </si>
  <si>
    <t>LUISMARTIN.CANDELARIO@BBVA.COM</t>
  </si>
  <si>
    <t>ALTAMIRANO RAMOS HUGO</t>
  </si>
  <si>
    <t>M30689</t>
  </si>
  <si>
    <t>HUGO.ALTAMIRANO@BBVA.COM</t>
  </si>
  <si>
    <t>SANCHEZ BENITEZ JESUS MANUEL</t>
  </si>
  <si>
    <t>MB39780</t>
  </si>
  <si>
    <t>JESUSMANUEL.SANCHEZ@BBVA.COM</t>
  </si>
  <si>
    <t>LAZCANO GOMEZ TITO JOSE</t>
  </si>
  <si>
    <t>M8198</t>
  </si>
  <si>
    <t>TITO.LAZCANO@BBVA.COM</t>
  </si>
  <si>
    <t>MANZUR LOPEZ LAURA YENIFFER</t>
  </si>
  <si>
    <t>MH02761</t>
  </si>
  <si>
    <t>L.MANZUR@BBVA.COM</t>
  </si>
  <si>
    <t>PORCAYO BARRETO SANTOS MARTIN</t>
  </si>
  <si>
    <t>M80684</t>
  </si>
  <si>
    <t>MARTIN.PORCAYO@BBVA.COM</t>
  </si>
  <si>
    <t>LOPEZ LOPEZ ROBISEL</t>
  </si>
  <si>
    <t>MA31088</t>
  </si>
  <si>
    <t>ROBISEL.LOPEZ@BBVA.COM</t>
  </si>
  <si>
    <t>RODRIGUEZ RODAS HUGO</t>
  </si>
  <si>
    <t>MB13043</t>
  </si>
  <si>
    <t>HUGO.RODRIGUEZR@BBVA.COM</t>
  </si>
  <si>
    <t>CORDOVA DOMINGUEZ ARIOSTO</t>
  </si>
  <si>
    <t>MB75729</t>
  </si>
  <si>
    <t>ARIOSTO.CORDOVA.DOMINGUEZ@BBVA.COM</t>
  </si>
  <si>
    <t>TRUJILLO AGUILAR JAVIER DE JESUS</t>
  </si>
  <si>
    <t>MB83750</t>
  </si>
  <si>
    <t>JAVIERDEJESUS.TRUJILLO@BBVA.COM</t>
  </si>
  <si>
    <t>GALLARDO DE LEON LILIANA</t>
  </si>
  <si>
    <t>MA02807</t>
  </si>
  <si>
    <t>LILIANA.GALLARDO@BBVA.COM</t>
  </si>
  <si>
    <t>LADINO LOPEZ AIME LUCIA</t>
  </si>
  <si>
    <t>MB75919</t>
  </si>
  <si>
    <t>AIMELUCIA.LADINO@BBVA.COM</t>
  </si>
  <si>
    <t>GRANADOS BELLO ANGEL</t>
  </si>
  <si>
    <t>MB09519</t>
  </si>
  <si>
    <t>ANGEL.GRANADOS@BBVA.COM</t>
  </si>
  <si>
    <t>VARGAS JERONIMO ADRIANA DEL CARMEN</t>
  </si>
  <si>
    <t>MB70923</t>
  </si>
  <si>
    <t>ADRIANADELCARMEN.VARGAS@BBVA.COM</t>
  </si>
  <si>
    <t>LOPEZ CRUZ NICOLAS</t>
  </si>
  <si>
    <t>MB45142</t>
  </si>
  <si>
    <t>NICOLAS.LOPEZ.CRUZ@BBVA.COM</t>
  </si>
  <si>
    <t>COB MELENDEZ JHONATAN ABRAHAN</t>
  </si>
  <si>
    <t>MB62411</t>
  </si>
  <si>
    <t>JHONATANABRAHAN.COB.MELENDEZ@BBVA.COM</t>
  </si>
  <si>
    <t>CEBALLOS SANDOVAL FELIPE DE JESUS</t>
  </si>
  <si>
    <t>MB84636</t>
  </si>
  <si>
    <t>FELIPEDEJESUS.CEBALLOS.SANDOV@BBVA.COM</t>
  </si>
  <si>
    <t>XELHUANTZI RIOS MIGUEL ANGEL</t>
  </si>
  <si>
    <t>MA02824</t>
  </si>
  <si>
    <t>MIGUEL.XELHUANTZI@BBVA.COM</t>
  </si>
  <si>
    <t>POOL YAM ROGER FERNANDO</t>
  </si>
  <si>
    <t>MA02823</t>
  </si>
  <si>
    <t>ROGER.POOL@BBVA.COM</t>
  </si>
  <si>
    <t>CASTRO DE LOS SANTOS JORGE ALFREDO</t>
  </si>
  <si>
    <t>M170947</t>
  </si>
  <si>
    <t>JORGE.CASTRO@BBVA.COM</t>
  </si>
  <si>
    <t>FRANCO FRANCO RAUL RENAN</t>
  </si>
  <si>
    <t>M105621</t>
  </si>
  <si>
    <t>RAUL.FRANCO@BBVA.COM</t>
  </si>
  <si>
    <t>GAMBOA BECERRA JORGE ANDRES</t>
  </si>
  <si>
    <t>MB55237</t>
  </si>
  <si>
    <t>JORGEANDRES.GAMBOA@BBVA.COM</t>
  </si>
  <si>
    <t>TAMAY CAN LUIS GUADALUPE</t>
  </si>
  <si>
    <t>MB68208</t>
  </si>
  <si>
    <t>LUISGUADALUPE.TAMAY@BBVA.COM</t>
  </si>
  <si>
    <t>ARRATIA SALINAS OSDY</t>
  </si>
  <si>
    <t>MB76781</t>
  </si>
  <si>
    <t>OSDY.ARRATIA.SALINAS@BBVA.COM</t>
  </si>
  <si>
    <t>MARTINEZ HERNANDEZ BERTHA</t>
  </si>
  <si>
    <t>MB43010</t>
  </si>
  <si>
    <t>BERTHA.MARTINEZ@BBVA.COM</t>
  </si>
  <si>
    <t>RAMIREZ MUNOZ LILIAMS</t>
  </si>
  <si>
    <t>MA30305</t>
  </si>
  <si>
    <t>LILIAMS.RAMIREZ@BBVA.COM</t>
  </si>
  <si>
    <t>KUMUL CANO REYES RODRIGO</t>
  </si>
  <si>
    <t>MA31380</t>
  </si>
  <si>
    <t>REYES.KUMUL@BBVA.COM</t>
  </si>
  <si>
    <t>FLORES YAM MARIA PASTORA</t>
  </si>
  <si>
    <t>MB68210</t>
  </si>
  <si>
    <t>MARIAPASTORA.FLORES.YAM@BBVA.COM</t>
  </si>
  <si>
    <t>PENA RIVERA HECTOR</t>
  </si>
  <si>
    <t>MB37076</t>
  </si>
  <si>
    <t>HECTOR.PENA.RIVERA@BBVA.COM</t>
  </si>
  <si>
    <t>VICTORIA CASTELLANOS ELIZABETH</t>
  </si>
  <si>
    <t>MB20026</t>
  </si>
  <si>
    <t>ELIZABETH.VICTORIA@BBVA.COM</t>
  </si>
  <si>
    <t>GUILLEN CRUZ MANUEL JESUS</t>
  </si>
  <si>
    <t>MB56623</t>
  </si>
  <si>
    <t>MANUELJESUS.GUILLEN.CRUZ@BBVA.COM</t>
  </si>
  <si>
    <t>PENICHE LINERO ERNESTO JOSE</t>
  </si>
  <si>
    <t>MB14578</t>
  </si>
  <si>
    <t>ERNESTOJOSE.PENICHE@BBVA.COM</t>
  </si>
  <si>
    <t>TUN CHE MARIA DE GUADALUPE</t>
  </si>
  <si>
    <t>MB43016</t>
  </si>
  <si>
    <t>MARIADEGUADALUPE.TUN@BBVA.COM</t>
  </si>
  <si>
    <t>AKE MAY ARIEL ABRAHAM</t>
  </si>
  <si>
    <t>MB68924</t>
  </si>
  <si>
    <t>ARIELABRAHAM.AKE@BBVA.COM</t>
  </si>
  <si>
    <t>CASTILLO VAZQUEZ PAULA YOLANDA</t>
  </si>
  <si>
    <t>MB84311</t>
  </si>
  <si>
    <t>PAULAYOLANDA.CASTILLO@BBVA.COM</t>
  </si>
  <si>
    <t>ALOR LOPEZ ROSA</t>
  </si>
  <si>
    <t>MB80473</t>
  </si>
  <si>
    <t>ROSA.ALOR@BBVA.COM</t>
  </si>
  <si>
    <t>REYES GOMEZ OMAR</t>
  </si>
  <si>
    <t>M905829</t>
  </si>
  <si>
    <t>OMAR.REYES@BBVA.COM</t>
  </si>
  <si>
    <t>HERNANDEZ AGUILAR ANA LILIA</t>
  </si>
  <si>
    <t>MA09592</t>
  </si>
  <si>
    <t>ANA.HERNANDEZ@BBVA.COM</t>
  </si>
  <si>
    <t>FLORES PORRAS GUSTAVO ALBERTO</t>
  </si>
  <si>
    <t>MA31073</t>
  </si>
  <si>
    <t>GUSTAVO.FLORES.2@BBVA.COM</t>
  </si>
  <si>
    <t>VELAZQUEZ CERVANTES ITZELT ALEJANDRA</t>
  </si>
  <si>
    <t>MB37129</t>
  </si>
  <si>
    <t>ITZELTALEJANDRA.VELAZQUEZ@BBVA.COM</t>
  </si>
  <si>
    <t>ROSADO SABIDO REYES ROGER</t>
  </si>
  <si>
    <t>MB75874</t>
  </si>
  <si>
    <t>REYESROGER.ROSADO@BBVA.COM</t>
  </si>
  <si>
    <t>PACHECO CORNEJO ERIK</t>
  </si>
  <si>
    <t>MA31675</t>
  </si>
  <si>
    <t>ERIK.PACHECO@BBVA.COM</t>
  </si>
  <si>
    <t>RAMIREZ ALQUICIREZ MARCO ANTONIO</t>
  </si>
  <si>
    <t>M203895</t>
  </si>
  <si>
    <t>MARCO.RAMIREZ.2@BBVA.COM</t>
  </si>
  <si>
    <t>SILVA ZAGO MARIBEL</t>
  </si>
  <si>
    <t>M284209</t>
  </si>
  <si>
    <t>MARIBEL.SILVA@BBVA.COM</t>
  </si>
  <si>
    <t>LEON LOPEZ ALEJANDRO</t>
  </si>
  <si>
    <t>MB74488</t>
  </si>
  <si>
    <t>ALEJANDRO.LEON.LOPEZ@BBVA.COM</t>
  </si>
  <si>
    <t>MENDEZ SANCHEZ JORGE URYEL</t>
  </si>
  <si>
    <t>MB74347</t>
  </si>
  <si>
    <t>JORGEURYEL.MENDEZ@BBVA.COM</t>
  </si>
  <si>
    <t>ZAMBRANO CARRION GABRIEL MARCELINO</t>
  </si>
  <si>
    <t>MB63722</t>
  </si>
  <si>
    <t>GABRIELMARCELINO.ZAMBRANO@BBVA.COM</t>
  </si>
  <si>
    <t>FRANCO RUEDA JOSE OMAR</t>
  </si>
  <si>
    <t>MB59796</t>
  </si>
  <si>
    <t>JOSEOMAR.FRANCO@BBVA.COM</t>
  </si>
  <si>
    <t>AMADO SANCHEZ LAURA</t>
  </si>
  <si>
    <t>MB51733</t>
  </si>
  <si>
    <t>LAURA.AMADO.SANCHEZ@BBVA.COM</t>
  </si>
  <si>
    <t>MUNOZ ALMAGUER CUITLAHUAC</t>
  </si>
  <si>
    <t>MB60502</t>
  </si>
  <si>
    <t>CUITLAHUAC.MUNOZ@BBVA.COM</t>
  </si>
  <si>
    <t>RODRIGUEZ TAPIA HECTOR RUBEN</t>
  </si>
  <si>
    <t>MB76225</t>
  </si>
  <si>
    <t>HECTORRUBEN.RODRIGUEZ@BBVA.COM</t>
  </si>
  <si>
    <t>GONZALEZ CAZARES TANIA CECILIA</t>
  </si>
  <si>
    <t>MB84729</t>
  </si>
  <si>
    <t>TANIACECILIA.GONZALEZ.CAZARES@BBVA.COM</t>
  </si>
  <si>
    <t>SANCHEZ PORRAS IRIANELLI CHRISTIAN</t>
  </si>
  <si>
    <t>MB02740</t>
  </si>
  <si>
    <t>MB02740@BBVA.COM</t>
  </si>
  <si>
    <t>HERNANDEZ SANCHEZ JOSE LUIS</t>
  </si>
  <si>
    <t>MB69162</t>
  </si>
  <si>
    <t>JOSELUIS.HERNANDEZ4@BBVA.COM</t>
  </si>
  <si>
    <t>ROJAS CARDOSO MARIA LETICIA</t>
  </si>
  <si>
    <t>MH03366</t>
  </si>
  <si>
    <t>MALETICIA.ROJAS@BBVA.COM</t>
  </si>
  <si>
    <t>LARA ENRIQUEZ JOAQUIN</t>
  </si>
  <si>
    <t>MB76229</t>
  </si>
  <si>
    <t>JOAQUIN.LARA@BBVA.COM</t>
  </si>
  <si>
    <t>MORALES REYES GABRIELA</t>
  </si>
  <si>
    <t>MB59287</t>
  </si>
  <si>
    <t>GABRIELA.MORALES.REYES@BBVA.COM</t>
  </si>
  <si>
    <t>JUAREZ COSTENO MARLENE</t>
  </si>
  <si>
    <t>MB75921</t>
  </si>
  <si>
    <t>MARLENE.JUAREZ.COSTENO@BBVA.COM</t>
  </si>
  <si>
    <t>RIVERA CORTES MARIA LUISA</t>
  </si>
  <si>
    <t>MH03641</t>
  </si>
  <si>
    <t>MARIALUISA.RIVERA.2@BBVA.COM</t>
  </si>
  <si>
    <t>MARIN RODRIGUEZ MIGUEL ANGEL</t>
  </si>
  <si>
    <t>MB55132</t>
  </si>
  <si>
    <t>MIGUEL.MARIN.1@BBVA.COM</t>
  </si>
  <si>
    <t>GARCIA VAZQUEZ JOAQUIN</t>
  </si>
  <si>
    <t>MB05595</t>
  </si>
  <si>
    <t>JOAQUIN.GARCIA2@BBVA.COM</t>
  </si>
  <si>
    <t>DE GANTE GARFIAS ELIZABEHT ZELENE</t>
  </si>
  <si>
    <t>MB61047</t>
  </si>
  <si>
    <t>ELIZABEHTZELENE.DEGANTE@BBVA.COM</t>
  </si>
  <si>
    <t>HARO RAMOS ROGELIO ROBERTO</t>
  </si>
  <si>
    <t>MH03784</t>
  </si>
  <si>
    <t>ROGELIO.HARO@BBVA.COM</t>
  </si>
  <si>
    <t>ARVIZU CASTELLANOS ROBERTO</t>
  </si>
  <si>
    <t>M57359</t>
  </si>
  <si>
    <t>R.ARVIZU@BBVA.COM</t>
  </si>
  <si>
    <t>ROSARIO FLORES ALEJANDRA</t>
  </si>
  <si>
    <t>MA10349</t>
  </si>
  <si>
    <t>A.ROSARIOF@BBVA.COM</t>
  </si>
  <si>
    <t>AZAMAR SABINO PETRA</t>
  </si>
  <si>
    <t>MB69698</t>
  </si>
  <si>
    <t>PETRA.AZAMAR@BBVA.COM</t>
  </si>
  <si>
    <t>ROMERO RAMIREZ MARIA DEL ROSARIO</t>
  </si>
  <si>
    <t>MB78686</t>
  </si>
  <si>
    <t>MARIADELROSARIO.ROMERO@BBVA.COM</t>
  </si>
  <si>
    <t>MORENO GONZALEZ JOSE ELIAS</t>
  </si>
  <si>
    <t>MB47547</t>
  </si>
  <si>
    <t>JOSEELIAS.MORENO2@BBVA.COM</t>
  </si>
  <si>
    <t>ALTAMIRANO CORDERO MARIA LUISA</t>
  </si>
  <si>
    <t>MA00666</t>
  </si>
  <si>
    <t>MARIALUISA.ALTAMIRANO@BBVA.COM</t>
  </si>
  <si>
    <t>CERQUEDA RUIZ PERLA XOCHITL</t>
  </si>
  <si>
    <t>MB40330</t>
  </si>
  <si>
    <t>PERLAXOCHITL.CERQUEDA@BBVA.COM</t>
  </si>
  <si>
    <t>LOPEZ ROJAS HILDA CONCEPCION</t>
  </si>
  <si>
    <t>MB75405</t>
  </si>
  <si>
    <t>HILDACONCEPCION.LOPEZ@BBVA.COM</t>
  </si>
  <si>
    <t>ALEGRIA DEL ANGEL ALFONSO</t>
  </si>
  <si>
    <t>MB75401</t>
  </si>
  <si>
    <t>ALFONSO.ALEGRIA@BBVA.COM</t>
  </si>
  <si>
    <t>VALENCIA MORA SAUL</t>
  </si>
  <si>
    <t>MB44135</t>
  </si>
  <si>
    <t>SAUL.VALENCIA@BBVA.COM</t>
  </si>
  <si>
    <t>CHAVEZ PALMA ALEJANDRO</t>
  </si>
  <si>
    <t>MB69880</t>
  </si>
  <si>
    <t>ALEJANDRO.CHAVEZ2@BBVA.COM</t>
  </si>
  <si>
    <t>PEDRAZA ANG ARACELI VIRIDIANA</t>
  </si>
  <si>
    <t>MB57375</t>
  </si>
  <si>
    <t>ARACELIVIRIDIANA.PEDRAZA@BBVA.COM</t>
  </si>
  <si>
    <t>CABALLERO PINO ERIKA</t>
  </si>
  <si>
    <t>MB82289</t>
  </si>
  <si>
    <t>erika.caballero.pino@bbva.com</t>
  </si>
  <si>
    <t>REYES HURTADO CAROLINA</t>
  </si>
  <si>
    <t>MB13145</t>
  </si>
  <si>
    <t>CAROLINA.REYES@BBVA.COM</t>
  </si>
  <si>
    <t>PEREZ PEREZ LEANDRO ALVARO</t>
  </si>
  <si>
    <t>MA11679</t>
  </si>
  <si>
    <t>PATEPPA1@BBVA.COM</t>
  </si>
  <si>
    <t>PALAVICINI PEREZ CESAR ALEJANDRO</t>
  </si>
  <si>
    <t>MB57846</t>
  </si>
  <si>
    <t>CESARALEJANDRO.PALAVICINI.PER@BBVA.COM</t>
  </si>
  <si>
    <t>SERRANO MONTERO RUBEN</t>
  </si>
  <si>
    <t>MA31691</t>
  </si>
  <si>
    <t>RUBEN.SERRANO@BBVA.COM</t>
  </si>
  <si>
    <t>SALDIERNA MURILLO JUAN MANUEL</t>
  </si>
  <si>
    <t>M231825</t>
  </si>
  <si>
    <t>JM.SALDIERNA@BBVA.COM</t>
  </si>
  <si>
    <t>CORTES CORTES ROBERTO</t>
  </si>
  <si>
    <t>M40852</t>
  </si>
  <si>
    <t>ROBERTO.CORTES.2@BBVA.COM</t>
  </si>
  <si>
    <t>LOPEZ PEREZ JAIME</t>
  </si>
  <si>
    <t>M909479</t>
  </si>
  <si>
    <t>JAIME.LOPEZ.4@BBVA.COM</t>
  </si>
  <si>
    <t>MONTES OLIVERO CHRISTIAN EDUARDO</t>
  </si>
  <si>
    <t>MB00672</t>
  </si>
  <si>
    <t>CHRISTIAN.MONTES.1@BBVA.COM</t>
  </si>
  <si>
    <t>ANGELES SOTUYO JULIO CESAR</t>
  </si>
  <si>
    <t>M909473</t>
  </si>
  <si>
    <t>JULIO.ANGELES@BBVA.COM</t>
  </si>
  <si>
    <t>DIAZ DELGADO MIGUEL ISRAEL</t>
  </si>
  <si>
    <t>MB05536</t>
  </si>
  <si>
    <t>MIGUEL.DIAZ.2@BBVA.COM</t>
  </si>
  <si>
    <t>HERNANDEZ TOMAS ANGELICA</t>
  </si>
  <si>
    <t>MB00419</t>
  </si>
  <si>
    <t>ANGELICA.HERNANDEZ.3@BBVA.COM</t>
  </si>
  <si>
    <t>LOPEZ SAPIEN NORMA GUADALUPE</t>
  </si>
  <si>
    <t>MB00282</t>
  </si>
  <si>
    <t>NORMA.LOPEZ.1@BBVA.COM</t>
  </si>
  <si>
    <t>SANCHEZ ALVARADO CYNTIA PATRICIA</t>
  </si>
  <si>
    <t>MB03582</t>
  </si>
  <si>
    <t>CYNTIA.SANCHEZ@BBVA.COM</t>
  </si>
  <si>
    <t>COLIN GUERRERO MONTSSERRAT</t>
  </si>
  <si>
    <t>MB19772</t>
  </si>
  <si>
    <t>MONTSSERRAT.COLIN@BBVA.COM</t>
  </si>
  <si>
    <t>SALINAS MENDOZA MARIA GUADALUPE</t>
  </si>
  <si>
    <t>MB09019</t>
  </si>
  <si>
    <t>MARIAGUADALUPE.SALINAS@BBVA.COM</t>
  </si>
  <si>
    <t>ZEA RODRIGUEZ CECILIA NATHALY</t>
  </si>
  <si>
    <t>MB63734</t>
  </si>
  <si>
    <t>CECILIANATHALY.ZEA.RODRIGUEZ@BBVA.COM</t>
  </si>
  <si>
    <t>RAMIREZ NOGUEDA MARIO RICARDO</t>
  </si>
  <si>
    <t>MB76719</t>
  </si>
  <si>
    <t>MARIORICARDO.RAMIREZ.NOGUEDA@BBVA.COM</t>
  </si>
  <si>
    <t>HERNANDEZ ALVAREZ ERENDIRA</t>
  </si>
  <si>
    <t>MH03051</t>
  </si>
  <si>
    <t>ERENDIRA.HERNANDEZ@BBVA.COM</t>
  </si>
  <si>
    <t>TALAMANTES CORDERO DINORAH ELIZABETH</t>
  </si>
  <si>
    <t>MB01127</t>
  </si>
  <si>
    <t>DINORAH.TALAMANTES@BBVA.COM</t>
  </si>
  <si>
    <t>GUISA ROSAS FLAVIO AUGUSTO</t>
  </si>
  <si>
    <t>MB83275</t>
  </si>
  <si>
    <t>FLAVIOAUGUSTO.GUISA@BBVA.COM</t>
  </si>
  <si>
    <t>DE LA CRUZ RAMIREZ JESUS FRANCISCO</t>
  </si>
  <si>
    <t>MB83555</t>
  </si>
  <si>
    <t>JESUSFRANCISCO.DELACRUZ@BBVA.COM</t>
  </si>
  <si>
    <t>MENDOZA HERNANDEZ JUAN CARLOS</t>
  </si>
  <si>
    <t>M46121</t>
  </si>
  <si>
    <t>J.MENDOZA@BBVA.COM</t>
  </si>
  <si>
    <t>ASCENCIO JUARICO BEATRIZ ADRIANA</t>
  </si>
  <si>
    <t>M900945</t>
  </si>
  <si>
    <t>BEATRIZ.ASCENCIO@BBVA.COM</t>
  </si>
  <si>
    <t>BRIONES MARTINEZ HUGO ENRIQUE</t>
  </si>
  <si>
    <t>MB00156</t>
  </si>
  <si>
    <t>HUGO.BRIONES@BBVA.COM</t>
  </si>
  <si>
    <t>CRUZ REYNA SAUL</t>
  </si>
  <si>
    <t>MB00158</t>
  </si>
  <si>
    <t>SAUL.CRUZ@BBVA.COM</t>
  </si>
  <si>
    <t>LOPEZ BADILLO ADRIANA</t>
  </si>
  <si>
    <t>MB00160</t>
  </si>
  <si>
    <t>ADRIANA.LOPEZ.3@BBVA.COM</t>
  </si>
  <si>
    <t>HERRERA CAMARILLO GERARDO</t>
  </si>
  <si>
    <t>MB41504</t>
  </si>
  <si>
    <t>GERARDO.HERRERA@BBVA.COM</t>
  </si>
  <si>
    <t>VITE SOLIS LEONARDO</t>
  </si>
  <si>
    <t>MB00130</t>
  </si>
  <si>
    <t>LEONARDO.VITE@BBVA.COM</t>
  </si>
  <si>
    <t>OROZCO VAZQUEZ ADAN</t>
  </si>
  <si>
    <t>MB09488</t>
  </si>
  <si>
    <t>ADAN.OROZCO@BBVA.COM</t>
  </si>
  <si>
    <t>LOBATO RODRIGUEZ DENIA</t>
  </si>
  <si>
    <t>MH01742</t>
  </si>
  <si>
    <t>DENIA.LOBATO@BBVA.COM</t>
  </si>
  <si>
    <t>ZEA MALDONADO CLAUDIA IRENE</t>
  </si>
  <si>
    <t>M902959</t>
  </si>
  <si>
    <t>CLAUDIA.ZEA@BBVA.COM</t>
  </si>
  <si>
    <t>CANO LICONA ANGEL MARTIN</t>
  </si>
  <si>
    <t>MB00155</t>
  </si>
  <si>
    <t>ANGELCANO@BBVA.COM</t>
  </si>
  <si>
    <t>DE LA CRUZ ORTIZ ANSELMO</t>
  </si>
  <si>
    <t>MB56010</t>
  </si>
  <si>
    <t>ANSELMO.DELACRUZ@BBVA.COM</t>
  </si>
  <si>
    <t>RANGEL ROMERO CARLOS</t>
  </si>
  <si>
    <t>MB00191</t>
  </si>
  <si>
    <t>CARLOS.RANGEL.1@BBVA.COM</t>
  </si>
  <si>
    <t>CHAVEZ FLORES VICTOR HUGO</t>
  </si>
  <si>
    <t>MB00134</t>
  </si>
  <si>
    <t>VICTOR.CHAVEZ.2@BBVA.COM</t>
  </si>
  <si>
    <t>IBARRA ORTIZ GABRIELA</t>
  </si>
  <si>
    <t>MB00136</t>
  </si>
  <si>
    <t>GABRIELA.IBARRA@BBVA.COM</t>
  </si>
  <si>
    <t>CRUZ TORRES MARIA ELIZABETH</t>
  </si>
  <si>
    <t>M76736</t>
  </si>
  <si>
    <t>E.CRUZT@BBVA.COM</t>
  </si>
  <si>
    <t>GUZMAN SCHMIDT CARLOS GUILLERMO</t>
  </si>
  <si>
    <t>MB30815</t>
  </si>
  <si>
    <t>CARLOSGUILLERMO.GUZMAN@BBVA.COM</t>
  </si>
  <si>
    <t>CASTILLO GUZMAN EDGAR AUGUSTO</t>
  </si>
  <si>
    <t>MB00140</t>
  </si>
  <si>
    <t>EDGAR.CASTILLO@BBVA.COM</t>
  </si>
  <si>
    <t>MONTES VAZQUEZ REYES</t>
  </si>
  <si>
    <t>MB00139</t>
  </si>
  <si>
    <t>REYES.MONTES@BBVA.COM</t>
  </si>
  <si>
    <t>LEON LOPEZ NORMA ANGELICA</t>
  </si>
  <si>
    <t>MB00251</t>
  </si>
  <si>
    <t>NORMA.LEON@BBVA.COM</t>
  </si>
  <si>
    <t>VILLATORO YEPEZ ALEJANDRO</t>
  </si>
  <si>
    <t>M47960</t>
  </si>
  <si>
    <t>A.VILLATORO@BBVA.COM</t>
  </si>
  <si>
    <t>CHAVEZ RUIZ HECTOR</t>
  </si>
  <si>
    <t>MB00142</t>
  </si>
  <si>
    <t>HECTOR.CHAVEZ@BBVA.COM</t>
  </si>
  <si>
    <t>ARROYO ISLAS CARLOS ALBERTO</t>
  </si>
  <si>
    <t>MB00172</t>
  </si>
  <si>
    <t>CARLOS.ARROYO.1@BBVA.COM</t>
  </si>
  <si>
    <t>COLIN PEREZ JESUS IVAN</t>
  </si>
  <si>
    <t>MB00146</t>
  </si>
  <si>
    <t>JESUS.COLIN@BBVA.COM</t>
  </si>
  <si>
    <t>HERNANDEZ ROJAS ELIZABETH</t>
  </si>
  <si>
    <t>MB09662</t>
  </si>
  <si>
    <t>ELIZABETH.HERNANDEZ.2@BBVA.COM</t>
  </si>
  <si>
    <t>SANTAELLA PARRA IGNACIO JAVIER</t>
  </si>
  <si>
    <t>MB00250</t>
  </si>
  <si>
    <t>IGNACIO.SANTAELLA@BBVA.COM</t>
  </si>
  <si>
    <t>BUENROSTRO PEREZ JOSE RODRIGO</t>
  </si>
  <si>
    <t>MB71726</t>
  </si>
  <si>
    <t>JOSERODRIGO.BUENROSTRO@BBVA.COM</t>
  </si>
  <si>
    <t>BARBARINO RIZO JOSE LUIS</t>
  </si>
  <si>
    <t>MB00179</t>
  </si>
  <si>
    <t>JOSELUIS.BARBARINO@BBVA.COM</t>
  </si>
  <si>
    <t>CRUZ REYNA MIROSLABA VIRIDIANA</t>
  </si>
  <si>
    <t>MB00144</t>
  </si>
  <si>
    <t>MIROSLABA.CRUZ@BBVA.COM</t>
  </si>
  <si>
    <t>CHAVEZ CALDERON GUADALUPE</t>
  </si>
  <si>
    <t>MB00177</t>
  </si>
  <si>
    <t>GUADALUPE.GUADALUPE@BBVA.COM</t>
  </si>
  <si>
    <t>HERNANDEZ BECERRIL YOLANDA</t>
  </si>
  <si>
    <t>MB00147</t>
  </si>
  <si>
    <t>YOLANDA.HERNANDEZ.2@BBVA.COM</t>
  </si>
  <si>
    <t>PEREZ CARDENAS NETY LILIANA</t>
  </si>
  <si>
    <t>MB13351</t>
  </si>
  <si>
    <t>NETY.PEREZ@BBVA.COM</t>
  </si>
  <si>
    <t>ARRIAGA ESTRADA JOSE MANUEL</t>
  </si>
  <si>
    <t>MB00149</t>
  </si>
  <si>
    <t>JOSEMANUEL.ARRIAGA@BBVA.COM</t>
  </si>
  <si>
    <t>RODRIGUEZ ESPINOZA LORENA MONTSERRAT</t>
  </si>
  <si>
    <t>MB19770</t>
  </si>
  <si>
    <t>L.RODRIGUEZE@BBVA.COM</t>
  </si>
  <si>
    <t>GUERRERO VAZQUEZ ANGELICA CAROLINA</t>
  </si>
  <si>
    <t>MB09722</t>
  </si>
  <si>
    <t>ANGELICA.GUERRERO@BBVA.COM</t>
  </si>
  <si>
    <t>HERNANDEZ BARBOSA MIGUEL ANGEL</t>
  </si>
  <si>
    <t>MB21334</t>
  </si>
  <si>
    <t>MIGUELANGEL.HERNANDEZ@BBVA.COM</t>
  </si>
  <si>
    <t>LAZARO SALGUERO JUAN CARLOS</t>
  </si>
  <si>
    <t>MB00174</t>
  </si>
  <si>
    <t>JUANCARLOS.LAZARO@BBVA.COM</t>
  </si>
  <si>
    <t>VILLEGAS LOPEZ OSWALDO</t>
  </si>
  <si>
    <t>MB05367</t>
  </si>
  <si>
    <t>OSWALDO.VILLEGAS@BBVA.COM</t>
  </si>
  <si>
    <t>ACOSTA AGUILAR SONIA</t>
  </si>
  <si>
    <t>M203733</t>
  </si>
  <si>
    <t>SONIA.ACOSTA@BBVA.COM</t>
  </si>
  <si>
    <t>RANGEL ROMERO ALEJANDRA</t>
  </si>
  <si>
    <t>M202917</t>
  </si>
  <si>
    <t>ALEJANDRA.RANGEL@BBVA.COM</t>
  </si>
  <si>
    <t>MENDIOLA TELLO ROBERTO CARLOS</t>
  </si>
  <si>
    <t>MB00005</t>
  </si>
  <si>
    <t>ROBERTO.MENDIOLA@BBVA.COM</t>
  </si>
  <si>
    <t>HERNANDEZ RAMIREZ JESUS VICENTE</t>
  </si>
  <si>
    <t>MB00162</t>
  </si>
  <si>
    <t>JESUS.HERNANDEZ.5@BBVA.COM</t>
  </si>
  <si>
    <t>JIMENEZ GARCIA JOSE ALFREDO</t>
  </si>
  <si>
    <t>MB00137</t>
  </si>
  <si>
    <t>JOSEALFREDO.JIMENEZ.1@BBVA.COM</t>
  </si>
  <si>
    <t>BARRERA RAMIREZ URSULA</t>
  </si>
  <si>
    <t>MB00141</t>
  </si>
  <si>
    <t>URSULA.BARRERA@BBVA.COM</t>
  </si>
  <si>
    <t>QUINTANAR MEDINA JUAN</t>
  </si>
  <si>
    <t>M909129</t>
  </si>
  <si>
    <t>JUAN.QUINTANAR@BBVA.COM</t>
  </si>
  <si>
    <t>HERNANDEZ LOPEZ JOSE DOMINGO</t>
  </si>
  <si>
    <t>MB00164</t>
  </si>
  <si>
    <t>JOSEDOMINGO.HERNANDEZ@BBVA.COM</t>
  </si>
  <si>
    <t>AGUIRRE ROBLES DINORA</t>
  </si>
  <si>
    <t>MB00148</t>
  </si>
  <si>
    <t>DINORA.AGUIRRE@BBVA.COM</t>
  </si>
  <si>
    <t>TELLEZ BAZAN HECTOR</t>
  </si>
  <si>
    <t>MB00170</t>
  </si>
  <si>
    <t>HECTOR.TELLEZ@BBVA.COM</t>
  </si>
  <si>
    <t>AVALOS OROZCO JOSUE DAMIAN</t>
  </si>
  <si>
    <t>MB00165</t>
  </si>
  <si>
    <t>JOSUE.AVALOS@BBVA.COM</t>
  </si>
  <si>
    <t>YANEZ TREJO MARTHA</t>
  </si>
  <si>
    <t>MB00151</t>
  </si>
  <si>
    <t>MARTHA.YANEZ@BBVA.COM</t>
  </si>
  <si>
    <t>VERA ESPINOSA EPIFANIO</t>
  </si>
  <si>
    <t>MB59685</t>
  </si>
  <si>
    <t>EPIFANIO.VERA@BBVA.COM</t>
  </si>
  <si>
    <t>HERNANDEZ CABRERA ALMA NELLY</t>
  </si>
  <si>
    <t>MB00128</t>
  </si>
  <si>
    <t>ALMA.HERNANDEZ.1@BBVA.COM</t>
  </si>
  <si>
    <t>LEON PENA GABRIEL ANTONIO</t>
  </si>
  <si>
    <t>M56626</t>
  </si>
  <si>
    <t>GA.LEON@BBVA.COM</t>
  </si>
  <si>
    <t>HERNANDEZ GONZALEZ JOSE MARTIN</t>
  </si>
  <si>
    <t>M53977</t>
  </si>
  <si>
    <t>MARTIN.HERNANDEZ@BBVA.COM</t>
  </si>
  <si>
    <t>CORONEL ROBLES EDUARDO</t>
  </si>
  <si>
    <t>M501949</t>
  </si>
  <si>
    <t>EDUARDO.CORONEL@BBVA.COM</t>
  </si>
  <si>
    <t>GARCIA TORRES MARIA DE LOS ANGELES</t>
  </si>
  <si>
    <t>M204061</t>
  </si>
  <si>
    <t>MARIA.GARCIA.1@BBVA.COM</t>
  </si>
  <si>
    <t>VARGAS ISLAS JUANA GABRIEL</t>
  </si>
  <si>
    <t>M203955</t>
  </si>
  <si>
    <t>GA.VARGAS@BBVA.COM</t>
  </si>
  <si>
    <t>OLGUIN MONTANO MARIA DEL ROCIO</t>
  </si>
  <si>
    <t>M203612</t>
  </si>
  <si>
    <t>ROCIO.OLGUIN@BBVA.COM</t>
  </si>
  <si>
    <t>GARCIA LOPEZ EDNA JEANINE</t>
  </si>
  <si>
    <t>MB08785</t>
  </si>
  <si>
    <t>EDNA.GARCIA@BBVA.COM</t>
  </si>
  <si>
    <t>MERA DE LA CRUZ BLANCA ESTELA</t>
  </si>
  <si>
    <t>MH03512</t>
  </si>
  <si>
    <t>BLANCA.MERADELACRUZ@BBVA.COM</t>
  </si>
  <si>
    <t>GONZALEZ BERMEO MAGDALENA SANDRA</t>
  </si>
  <si>
    <t>MB45326</t>
  </si>
  <si>
    <t>MAGDALENASANDRA.GONZALEZ@BBVA.COM</t>
  </si>
  <si>
    <t>CASTILLO CHAVEZ LIZBETH</t>
  </si>
  <si>
    <t>M813118</t>
  </si>
  <si>
    <t>LIZBETH@BBVA.COM</t>
  </si>
  <si>
    <t>ORTIZ RIOS NANCY LORENA</t>
  </si>
  <si>
    <t>M203600</t>
  </si>
  <si>
    <t>NANCY.ORTIZ@BBVA.COM</t>
  </si>
  <si>
    <t>MENDEZ PENAFIEL ADRIANA</t>
  </si>
  <si>
    <t>M203825</t>
  </si>
  <si>
    <t>ADRIANA.MENDEZ@BBVA.COM</t>
  </si>
  <si>
    <t>GONZALEZ YANEZ SERGIO</t>
  </si>
  <si>
    <t>M29875</t>
  </si>
  <si>
    <t>SERGIO.GONZALEZY@BBVA.COM</t>
  </si>
  <si>
    <t>FIGUEROA CORTES KARINA</t>
  </si>
  <si>
    <t>MH00773</t>
  </si>
  <si>
    <t>K.FIGUEROA@BBVA.COM</t>
  </si>
  <si>
    <t>PERCASTRE PEREZ MARIA ELENA</t>
  </si>
  <si>
    <t>M203537</t>
  </si>
  <si>
    <t>ELENA.PERCASTRE@BBVA.COM</t>
  </si>
  <si>
    <t>MINERO GARFIAS RUBI</t>
  </si>
  <si>
    <t>M32392</t>
  </si>
  <si>
    <t>R.MINERO@BBVA.COM</t>
  </si>
  <si>
    <t>LOPEZ RUIZ IRIS GUADALUPE</t>
  </si>
  <si>
    <t>M904827</t>
  </si>
  <si>
    <t>IRIS.LOPEZ@BBVA.COM</t>
  </si>
  <si>
    <t>GODINEZ ARRIAGA JUAN PEDRO</t>
  </si>
  <si>
    <t>M46146</t>
  </si>
  <si>
    <t>JUAN.GODINEZ.1@BBVA.COM</t>
  </si>
  <si>
    <t>MANZANO RIOS DULCE GABRIELA</t>
  </si>
  <si>
    <t>MH03125</t>
  </si>
  <si>
    <t>D.MANZANO@BBVA.COM</t>
  </si>
  <si>
    <t>RUIZ GOMEZ ADRIANA</t>
  </si>
  <si>
    <t>MB14289</t>
  </si>
  <si>
    <t>MB14289@BBVA.COM</t>
  </si>
  <si>
    <t>HERNANDEZ MEJIA GUADALUPE</t>
  </si>
  <si>
    <t>M842687</t>
  </si>
  <si>
    <t>GUADALUPE.HERNANDEZ@BBVA.COM</t>
  </si>
  <si>
    <t>PACHECO CARMONA LILIA DEL CARMEN</t>
  </si>
  <si>
    <t>M48491</t>
  </si>
  <si>
    <t>L.PACHECO@BBVA.COM</t>
  </si>
  <si>
    <t>ORTIZ CONTRERAS SERGIO</t>
  </si>
  <si>
    <t>MB64152</t>
  </si>
  <si>
    <t>SERGIO.ORTIZ2@BBVA.COM</t>
  </si>
  <si>
    <t>MONTERDE ROSILLO IVONNE YOENLAY</t>
  </si>
  <si>
    <t>MB70966</t>
  </si>
  <si>
    <t>ivonneyoenlay.monterde@bbva.com</t>
  </si>
  <si>
    <t>MARTINEZ RODRIGUEZ JONATHAN ANDRES</t>
  </si>
  <si>
    <t>mb74809</t>
  </si>
  <si>
    <t>jonathanandres.martinez@bbva.com</t>
  </si>
  <si>
    <t>RENTERIA PADILLA MONICA SUSANA</t>
  </si>
  <si>
    <t>MH01646</t>
  </si>
  <si>
    <t>MONICA.RENTERIA@BBVA.COM</t>
  </si>
  <si>
    <t>TORRES HERNANDEZ ISMAEL</t>
  </si>
  <si>
    <t>MB48963</t>
  </si>
  <si>
    <t>ISMAEL.TORRES2@BBVA.COM</t>
  </si>
  <si>
    <t>TELLEZ JURADO JORGE</t>
  </si>
  <si>
    <t>MB22408</t>
  </si>
  <si>
    <t>JORGE.TELLEZ@BBVA.COM</t>
  </si>
  <si>
    <t>CHAVEZ RAMIREZ CARLOS</t>
  </si>
  <si>
    <t>M203154</t>
  </si>
  <si>
    <t>CARLOS.CHAVEZ@BBVA.COM</t>
  </si>
  <si>
    <t>FLORES RIVERA MANUEL</t>
  </si>
  <si>
    <t>M31031</t>
  </si>
  <si>
    <t>MANUEL.FLORES.1@BBVA.COM</t>
  </si>
  <si>
    <t>LABRADOR CORIA ARTURO</t>
  </si>
  <si>
    <t>MH03668</t>
  </si>
  <si>
    <t>ARTURO.LABRADOR.2@BBVA.COM</t>
  </si>
  <si>
    <t>SANCHEZ GUTIERREZ MARIA CRISTINA</t>
  </si>
  <si>
    <t>MB45280</t>
  </si>
  <si>
    <t>MC.SANCHEZ.GUTIERREZ@BBVA.COM</t>
  </si>
  <si>
    <t>MELGAREJO ESPINDOLA ARMANDO</t>
  </si>
  <si>
    <t>MB19632</t>
  </si>
  <si>
    <t>ARMANDO.MELGAREJO@BBVA.COM</t>
  </si>
  <si>
    <t>GARCIA HERNANDEZ DIANA</t>
  </si>
  <si>
    <t>MB66354</t>
  </si>
  <si>
    <t>DIANA.GARCIA.HERNANDEZ@BBVA.COM</t>
  </si>
  <si>
    <t>GONZALEZ VILLANUEVA SANDRA</t>
  </si>
  <si>
    <t>MB01824</t>
  </si>
  <si>
    <t>SANDRA.GONZALEZ.3@BBVA.COM</t>
  </si>
  <si>
    <t>SANCHEZ CHAVEZ CARLOS MANUEL</t>
  </si>
  <si>
    <t>M44613</t>
  </si>
  <si>
    <t>CM.SANCHEZ@BBVA.COM</t>
  </si>
  <si>
    <t>GONZALEZ RAMIREZ MARTHA BEATRIZ</t>
  </si>
  <si>
    <t>M56412</t>
  </si>
  <si>
    <t>MARTHA.GONZALEZ.4@BBVA.COM</t>
  </si>
  <si>
    <t>HERNANDEZ SANCHEZ GUSTAVO HUMBERTO</t>
  </si>
  <si>
    <t>M844760</t>
  </si>
  <si>
    <t>GUSTAVO.HERNANDEZ@BBVA.COM</t>
  </si>
  <si>
    <t>ZAMUDIO MARTINEZ MIRELLE AYERYM</t>
  </si>
  <si>
    <t>M911633</t>
  </si>
  <si>
    <t>MIRELLE.ZAMUDIO@BBVA.COM</t>
  </si>
  <si>
    <t>CARDOSO GARCIA JAVIER</t>
  </si>
  <si>
    <t>MB61930</t>
  </si>
  <si>
    <t>JAVIER.CARDOSO@BBVA.COM</t>
  </si>
  <si>
    <t>PEREZ TORRES MA ELENA</t>
  </si>
  <si>
    <t>M51495</t>
  </si>
  <si>
    <t>MAELENA.PEREZ@BBVA.COM</t>
  </si>
  <si>
    <t>DAVALOS GUTIERREZ MARIA SILVIA</t>
  </si>
  <si>
    <t>M55723</t>
  </si>
  <si>
    <t>MS.DAVALOS@BBVA.COM</t>
  </si>
  <si>
    <t>ROMERO SAAVEDRA VERONICA</t>
  </si>
  <si>
    <t>M57013</t>
  </si>
  <si>
    <t>V.ROMERO@BBVA.COM</t>
  </si>
  <si>
    <t>MORALES NAVA ADRIANA ELISA</t>
  </si>
  <si>
    <t>M40663</t>
  </si>
  <si>
    <t>ADRIANA.MORALES@BBVA.COM</t>
  </si>
  <si>
    <t>GARCIA RODRIGUEZ JUAN MANUEL</t>
  </si>
  <si>
    <t>M909497</t>
  </si>
  <si>
    <t>JUAN.GARCIA.10@BBVA.COM</t>
  </si>
  <si>
    <t>ANAYA ARELLANO IRMA</t>
  </si>
  <si>
    <t>MB00016</t>
  </si>
  <si>
    <t>IRMA.ANAYA@BBVA.COM</t>
  </si>
  <si>
    <t>VAZQUEZ VAZQUEZ OSWALDO</t>
  </si>
  <si>
    <t>MB47506</t>
  </si>
  <si>
    <t>OSWALDO.VAZQUEZ@BBVA.COM</t>
  </si>
  <si>
    <t>SANCHEZ HERRERA NADYA</t>
  </si>
  <si>
    <t>M57489</t>
  </si>
  <si>
    <t>NADYA.SANCHEZ@BBVA.COM</t>
  </si>
  <si>
    <t>RUBIO GARCIA ADRIANA</t>
  </si>
  <si>
    <t>ADRIANA.RUBIO@BBVA.COM</t>
  </si>
  <si>
    <t>GUIZADO AGUILERA SERGIO ROBERTO</t>
  </si>
  <si>
    <t>M332178</t>
  </si>
  <si>
    <t>SERGIO.GUIZADO@BBVA.COM</t>
  </si>
  <si>
    <t>BEDOLLA ROJAS MARTHA GRISELDA</t>
  </si>
  <si>
    <t>M3582</t>
  </si>
  <si>
    <t>GRISELDA.BEDOLLA@BBVA.COM</t>
  </si>
  <si>
    <t>BUSTAMANTE TELLO IRMA ANGELICA</t>
  </si>
  <si>
    <t>M55150</t>
  </si>
  <si>
    <t>ANGELICA.BUSTAMANTE@BBVA.COM</t>
  </si>
  <si>
    <t>CERVANTES MARTINEZ JOSE MARTIN</t>
  </si>
  <si>
    <t>M52961</t>
  </si>
  <si>
    <t>JOSEMARTIN.CERVANTES@BBVA.COM</t>
  </si>
  <si>
    <t>CARRANZA HERNANDEZ LUIS</t>
  </si>
  <si>
    <t>M42702</t>
  </si>
  <si>
    <t>LUIS.CARRANZAH@BBVA.COM</t>
  </si>
  <si>
    <t>SEGURA SANTANA SERGIO</t>
  </si>
  <si>
    <t>M4654</t>
  </si>
  <si>
    <t>SERGIO.SEGURA.1@BBVA.COM</t>
  </si>
  <si>
    <t>HERNANDEZ MARQUEZ LUIS AXEL</t>
  </si>
  <si>
    <t>MB13434</t>
  </si>
  <si>
    <t>LUISAXEL.HERNANDEZ@BBVA.COM</t>
  </si>
  <si>
    <t>IBARRA BUENDIA ELIDE ANGELICA</t>
  </si>
  <si>
    <t>MB78265</t>
  </si>
  <si>
    <t>ELIDEANGELICA.IBARRA@BBVA.COM</t>
  </si>
  <si>
    <t>PIZANO AGUILERA RAUL</t>
  </si>
  <si>
    <t>MB73900</t>
  </si>
  <si>
    <t>RAUL.PIZANO.AGUILERA@BBVA.COM</t>
  </si>
  <si>
    <t>ALEJANDRES AYALA PEDRO</t>
  </si>
  <si>
    <t>MA14495</t>
  </si>
  <si>
    <t>PEDRO.ALEJANDRES@BBVA.COM</t>
  </si>
  <si>
    <t>PEREZ GARCIA RODRIGO IGNACIO</t>
  </si>
  <si>
    <t>MB75109</t>
  </si>
  <si>
    <t>RODRIGOIGNACIO.PEREZ@BBVA.COM</t>
  </si>
  <si>
    <t>PEREZ RAMIREZ LETICIA</t>
  </si>
  <si>
    <t>M62127</t>
  </si>
  <si>
    <t>M62127@BBVA.COM</t>
  </si>
  <si>
    <t>ALVAREZ MILLAN FIDELA MARIA</t>
  </si>
  <si>
    <t>M42347</t>
  </si>
  <si>
    <t>FIDELA.ALVAREZ@BBVA.COM</t>
  </si>
  <si>
    <t>LOPEZ FERRUZ ISMAEL</t>
  </si>
  <si>
    <t>M39376</t>
  </si>
  <si>
    <t>ISMAEL.LOPEZ@BBVA.COM</t>
  </si>
  <si>
    <t>FIGUEROA ESTEVEZ NANCY MARIELA</t>
  </si>
  <si>
    <t>MB85488</t>
  </si>
  <si>
    <t>PEREZ SERRANO EDITH</t>
  </si>
  <si>
    <t>MB71004</t>
  </si>
  <si>
    <t>edith.perez.serrano@bbva.com</t>
  </si>
  <si>
    <t>ORTEGA LEON ABRAHAM ARTURO</t>
  </si>
  <si>
    <t>MB75158</t>
  </si>
  <si>
    <t>ABRAHAMARTURO.ORTEGA@BBVA.COM</t>
  </si>
  <si>
    <t>RIOS AGUILAR JUAN MAURICIO</t>
  </si>
  <si>
    <t>MB75110</t>
  </si>
  <si>
    <t>JUANMAURICIO.RIOS@BBVA.COM</t>
  </si>
  <si>
    <t>MARTINEZ JIMENEZ RUTH LIZBETH</t>
  </si>
  <si>
    <t>MB73768</t>
  </si>
  <si>
    <t>RUTHLIZBETH.MARTINEZ.JIMENEZ@BBVA.COM</t>
  </si>
  <si>
    <t>INIGUEZ GONZALEZ ROBERTO</t>
  </si>
  <si>
    <t>M13819</t>
  </si>
  <si>
    <t>R.INIGUEZ@BBVA.COM</t>
  </si>
  <si>
    <t>ROBLEDO CABALLERO MARIEL</t>
  </si>
  <si>
    <t>M825682</t>
  </si>
  <si>
    <t>MARIEL.ROBLEDO.1@BBVA.COM</t>
  </si>
  <si>
    <t>SOTO NUEVO DAVID</t>
  </si>
  <si>
    <t>M45398</t>
  </si>
  <si>
    <t>DAVID.SOTO@BBVA.COM</t>
  </si>
  <si>
    <t>RODRIGUEZ HERNANDEZ AISLINN MARIAN</t>
  </si>
  <si>
    <t>mb74798</t>
  </si>
  <si>
    <t>aislinnmarian.rodriguez@bbva.com</t>
  </si>
  <si>
    <t>GUTIERREZ CORTES NORMA MARIA</t>
  </si>
  <si>
    <t>M2596</t>
  </si>
  <si>
    <t>N.GUTIERREZC@BBVA.COM</t>
  </si>
  <si>
    <t>HERNANDEZ VILLAFAN CASIMIRO ELPIDIO SERGIO</t>
  </si>
  <si>
    <t>M77809</t>
  </si>
  <si>
    <t>CASIMIROELPI.HERNANDEZ@BBVA.COM</t>
  </si>
  <si>
    <t>NOHPAL SORIA MARY BELL</t>
  </si>
  <si>
    <t>MB73426</t>
  </si>
  <si>
    <t>MARYBELL.NOHPAL@BBVA.COM</t>
  </si>
  <si>
    <t>MONROY MONTES MARCOS</t>
  </si>
  <si>
    <t>M32804</t>
  </si>
  <si>
    <t>MARCOS.MONROY@BBVA.COM</t>
  </si>
  <si>
    <t>SANCHEZ FRANCISCO GODELEVA</t>
  </si>
  <si>
    <t>MB77942</t>
  </si>
  <si>
    <t>GODELEVA.SANCHEZ@BBVA.COM</t>
  </si>
  <si>
    <t>VASCONCELOS TREJO RAYMUNDO</t>
  </si>
  <si>
    <t>M45401</t>
  </si>
  <si>
    <t>RAYMUNDO.VASCONCELOS.1@BBVA.COM</t>
  </si>
  <si>
    <t>DIEGO RAMIREZ EDUARDO</t>
  </si>
  <si>
    <t>MB73367</t>
  </si>
  <si>
    <t>EDUARDO.DIEGO@BBVA.COM</t>
  </si>
  <si>
    <t>ONTIVEROS HERNANDEZ ALEJANDRO EMMANUEL</t>
  </si>
  <si>
    <t>MB73820</t>
  </si>
  <si>
    <t>ALEJANDROEMMANUEL.ONTIVEROS@BBVA.COM</t>
  </si>
  <si>
    <t>JUAREZ LOZA GUSTAVO</t>
  </si>
  <si>
    <t>M6818</t>
  </si>
  <si>
    <t>GUSTAVO.JUAREZ@BBVA.COM</t>
  </si>
  <si>
    <t>CASTRO RICO EDUARDO JOSUE</t>
  </si>
  <si>
    <t>MB76048</t>
  </si>
  <si>
    <t>EDUARDOJOSUE.CASTRO@BBVA.COM</t>
  </si>
  <si>
    <t>ISLAS GUZMAN DARIEL ANGEL</t>
  </si>
  <si>
    <t>MB75710</t>
  </si>
  <si>
    <t>DARIELANGEL.ISLAS@BBVA.COM</t>
  </si>
  <si>
    <t>REYES AVILA LEOBARDO ARTURO</t>
  </si>
  <si>
    <t>MB71005</t>
  </si>
  <si>
    <t>leobardoarturo.reyes.avila@bbva.com</t>
  </si>
  <si>
    <t>ORTIZ SALAZAR EDNA ARTEMISA</t>
  </si>
  <si>
    <t>M46391</t>
  </si>
  <si>
    <t>EDNA.ORTIZ@BBVA.COM</t>
  </si>
  <si>
    <t>GUERRA VEGA ELIZABETH</t>
  </si>
  <si>
    <t>MB78606</t>
  </si>
  <si>
    <t>ELIZABETH.GUERRA@BBVA.COM</t>
  </si>
  <si>
    <t>LINARES MORUA DAVID</t>
  </si>
  <si>
    <t>MB78599</t>
  </si>
  <si>
    <t>DAVID.LINARES@BBVA.COM</t>
  </si>
  <si>
    <t>SORIA OROZCO FERNANDO</t>
  </si>
  <si>
    <t>MB75171</t>
  </si>
  <si>
    <t>FERNANDO.SORIA@BBVA.COM</t>
  </si>
  <si>
    <t>REYES GUTIERREZ LUIS DANIEL</t>
  </si>
  <si>
    <t>MB77996</t>
  </si>
  <si>
    <t>LUISDANIEL.REYES@BBVA.COM</t>
  </si>
  <si>
    <t>SOLIS GONZALEZ JESUS WISEMAN</t>
  </si>
  <si>
    <t>M912550</t>
  </si>
  <si>
    <t>JESUS.SOLIS@BBVA.COM</t>
  </si>
  <si>
    <t>GALLARDO ARROYO JOSE LUIS</t>
  </si>
  <si>
    <t>M361567</t>
  </si>
  <si>
    <t>JOSELUIS.GALLARDO@BBVA.COM</t>
  </si>
  <si>
    <t>CONTRERAS PADILLA RODOLFO VALENTIN</t>
  </si>
  <si>
    <t>MB45266</t>
  </si>
  <si>
    <t>RODOLFOVALENTIN.CONTRERAS@BBVA.COM</t>
  </si>
  <si>
    <t>MORENO JIMENEZ DALIA</t>
  </si>
  <si>
    <t>MB66425</t>
  </si>
  <si>
    <t>DALIA.MORENO@BBVA.COM</t>
  </si>
  <si>
    <t>SANCHEZ IBARRECHE LUIS ERIC</t>
  </si>
  <si>
    <t>M673730</t>
  </si>
  <si>
    <t>LUIS.SANCHEZ.3@BBVA.COM</t>
  </si>
  <si>
    <t>PEREZ HIDALGO DAVID</t>
  </si>
  <si>
    <t>MB36927</t>
  </si>
  <si>
    <t>DAVID.PEREZ.HIDALGO@BBVA.COM</t>
  </si>
  <si>
    <t>ALVA VALDEZ HUGO CESAR</t>
  </si>
  <si>
    <t>MB70698</t>
  </si>
  <si>
    <t>HUGOCESAR.ALVA.VALDEZ@BBVA.COM</t>
  </si>
  <si>
    <t>LOPEZ RODRIGUEZ MIGUEL ALEJANDRO</t>
  </si>
  <si>
    <t>MB24520</t>
  </si>
  <si>
    <t>MIGUEL.LOPEZ.6@BBVA.COM</t>
  </si>
  <si>
    <t>SANCHEZ BAUTISTA ALBERTO</t>
  </si>
  <si>
    <t>MA07495</t>
  </si>
  <si>
    <t>ALBERTO.SANCHEZ@BBVA.COM</t>
  </si>
  <si>
    <t>. GARCIA SERGIO</t>
  </si>
  <si>
    <t>MB53048</t>
  </si>
  <si>
    <t>SERGIOGARCIA@BBVA.COM</t>
  </si>
  <si>
    <t>LUNA TEJEDA ROALD</t>
  </si>
  <si>
    <t>MB75304</t>
  </si>
  <si>
    <t>ROALD.LUNA@BBVA.COM</t>
  </si>
  <si>
    <t>RANGEL SANCHEZ ARMANDO</t>
  </si>
  <si>
    <t>MB24255</t>
  </si>
  <si>
    <t>ARMANDO.RANGEL@BBVA.COM</t>
  </si>
  <si>
    <t>LEON NUNEZ MARCO ANTONIO</t>
  </si>
  <si>
    <t>MB70884</t>
  </si>
  <si>
    <t>MARCOANTONIO.LEON3@BBVA.COM</t>
  </si>
  <si>
    <t>DIAZ GARCIA FRANCISCO RICARDO</t>
  </si>
  <si>
    <t>MB81459</t>
  </si>
  <si>
    <t>FRANCISCORICARDO.DIAZ@BBVA.COM</t>
  </si>
  <si>
    <t>CARMONA SOTO OMAR ERNESTO</t>
  </si>
  <si>
    <t>MB81444</t>
  </si>
  <si>
    <t>OMARERNESTO.CARMONA@BBVA.COM</t>
  </si>
  <si>
    <t>GARCIA CADENA HUGO</t>
  </si>
  <si>
    <t>MB77022</t>
  </si>
  <si>
    <t>hugo.garcia.cadena@bbva.com</t>
  </si>
  <si>
    <t>PUEBLA GONZALEZ LIOPOLDO</t>
  </si>
  <si>
    <t>M570508</t>
  </si>
  <si>
    <t>L.PUEBLAG@BBVA.COM</t>
  </si>
  <si>
    <t>CHINAS ROSALES MARGARITA</t>
  </si>
  <si>
    <t>M170828</t>
  </si>
  <si>
    <t>MAGGIE@BBVA.COM</t>
  </si>
  <si>
    <t>FLORES GOMEZ KARINA NAISE</t>
  </si>
  <si>
    <t>M827783</t>
  </si>
  <si>
    <t>KARINA.FLORES@BBVA.COM</t>
  </si>
  <si>
    <t>MARTINEZ VAZQUEZ EDGAR IVAN</t>
  </si>
  <si>
    <t>MB39150</t>
  </si>
  <si>
    <t>EDGARIVAN.MARTINEZ@BBVA.COM</t>
  </si>
  <si>
    <t>IBARRA GUTIERREZ ROBERTO FERNANDO</t>
  </si>
  <si>
    <t>M17929</t>
  </si>
  <si>
    <t>ROBERTO.IBARRA@BBVA.COM</t>
  </si>
  <si>
    <t>PINA VILLALPANDO MARIA DEL SOCORRO</t>
  </si>
  <si>
    <t>M35038</t>
  </si>
  <si>
    <t>M.PINA@BBVA.COM</t>
  </si>
  <si>
    <t>ALEJANDRES AYALA MIGUEL ANGEL</t>
  </si>
  <si>
    <t>MB60671</t>
  </si>
  <si>
    <t>MIGUELANGEL.ALEJANDRES.AYALA@BBVA.COM</t>
  </si>
  <si>
    <t>GONZALEZ HERNANDEZ ELIEL</t>
  </si>
  <si>
    <t>M202561</t>
  </si>
  <si>
    <t>E.GONZALEZH@BBVA.COM</t>
  </si>
  <si>
    <t>OCHOA GRANADOS PLUTARCO</t>
  </si>
  <si>
    <t>M403593</t>
  </si>
  <si>
    <t>PLUTARCO.OCHOA@BBVA.COM</t>
  </si>
  <si>
    <t>CORTES BALLESTEROS JOSE RAUL</t>
  </si>
  <si>
    <t>M819679</t>
  </si>
  <si>
    <t>JOSERAUL.CORTES@BBVA.COM</t>
  </si>
  <si>
    <t>VILLA DE LA CONCHA VERONICA ABRIL</t>
  </si>
  <si>
    <t>MB75817</t>
  </si>
  <si>
    <t>VERONICAABRIL.VILLA.DELACONCH@BBVA.COM</t>
  </si>
  <si>
    <t>RAMIREZ ESPITIA JONATAN JESUS</t>
  </si>
  <si>
    <t>MB73315</t>
  </si>
  <si>
    <t>JONATANJESUS.RAMIREZ.ESPITIA@BBVA.COM</t>
  </si>
  <si>
    <t>GONZALEZ FRANCO FRANCISCO JOSE</t>
  </si>
  <si>
    <t>M503516</t>
  </si>
  <si>
    <t>FRANCISCO.GONZALEZ.8@BBVA.COM</t>
  </si>
  <si>
    <t>AVALOS GONZALEZ CRISTIAN RICARDO</t>
  </si>
  <si>
    <t>MF17957</t>
  </si>
  <si>
    <t>CRISTIANRICARDO.AVALOS@BBVA.COM</t>
  </si>
  <si>
    <t>ANTONIO GOPAR RUBEN</t>
  </si>
  <si>
    <t>m470935</t>
  </si>
  <si>
    <t>ruben.antonio@bbva.com</t>
  </si>
  <si>
    <t>TOLEDO LARA FERNANDO</t>
  </si>
  <si>
    <t>MB70890</t>
  </si>
  <si>
    <t>FERNANDO.TOLEDO@BBVA.COM</t>
  </si>
  <si>
    <t>REYES NATERAS ALFREDO</t>
  </si>
  <si>
    <t>MB71305</t>
  </si>
  <si>
    <t>alfredo.reyes2@bbva.com</t>
  </si>
  <si>
    <t>VARGAS SANSON ANTONIO</t>
  </si>
  <si>
    <t>MB73320</t>
  </si>
  <si>
    <t>ANTONIO.VARGAS.SANSON@BBVA.COM</t>
  </si>
  <si>
    <t>SANCHEZ MURGUIA JOSE OMAR</t>
  </si>
  <si>
    <t>mb74624</t>
  </si>
  <si>
    <t>joseomar.sanchez.murguia@bbva.com</t>
  </si>
  <si>
    <t>MARTIN PAEZ JORGE ARTURO</t>
  </si>
  <si>
    <t>MB68548</t>
  </si>
  <si>
    <t>JORGEARTURO.MARTIN.PAEZ@BBVA.COM</t>
  </si>
  <si>
    <t>ZUNIGA CHAVEZ JOSE FRANCISCO</t>
  </si>
  <si>
    <t>M180981</t>
  </si>
  <si>
    <t>JF.ZUNIGA@BBVA.COM</t>
  </si>
  <si>
    <t>TAMEZ LEAL EDUARDO</t>
  </si>
  <si>
    <t>M526333</t>
  </si>
  <si>
    <t>E.TAMEZL@BBVA.COM</t>
  </si>
  <si>
    <t>CORDERO TREJO JONATAN DE JESUS</t>
  </si>
  <si>
    <t>MB45472</t>
  </si>
  <si>
    <t>JONATANDEJESUS.CORDERO@BBVA.COM</t>
  </si>
  <si>
    <t>HERNANDEZ OLIVO JULIO CESAR</t>
  </si>
  <si>
    <t>MB00110</t>
  </si>
  <si>
    <t>JULIO.HERNANDEZ@BBVA.COM</t>
  </si>
  <si>
    <t>GOMEZ PEREZ JOSE ARMANDO</t>
  </si>
  <si>
    <t>M221032</t>
  </si>
  <si>
    <t>JOSEARMANDO.GOMEZ.2@BBVA.COM</t>
  </si>
  <si>
    <t>CANTU RODRIGUEZ HECTOR GUADALUPE</t>
  </si>
  <si>
    <t>M817318</t>
  </si>
  <si>
    <t>HECTOR.CANTU2@BBVA.COM</t>
  </si>
  <si>
    <t>MARTINEZ FIGUEROA ALEJANDRO</t>
  </si>
  <si>
    <t>MB75686</t>
  </si>
  <si>
    <t>ALEJANDRO.MARTINEZ6@BBVA.COM</t>
  </si>
  <si>
    <t>DE LA ROSA BRAVO LUZ VERONICA</t>
  </si>
  <si>
    <t>MB75701</t>
  </si>
  <si>
    <t>LUZVERONICA.DELAROSA@BBVA.COM</t>
  </si>
  <si>
    <t>CHAVEZ GOMEZ MARTHA LUCIA</t>
  </si>
  <si>
    <t>MB77725</t>
  </si>
  <si>
    <t>MARTHALUCIA.CHAVEZ@BBVA.COM</t>
  </si>
  <si>
    <t>BARRIOS PAMANES ABRAHAM</t>
  </si>
  <si>
    <t>MB73431</t>
  </si>
  <si>
    <t>ABRAHAM.BARRIOS.PAMANES@BBVA.COM</t>
  </si>
  <si>
    <t>CASTILLO ZAMARRON EDMUNDO TEODORO</t>
  </si>
  <si>
    <t>MB73962</t>
  </si>
  <si>
    <t>EDMUNDOTEODORO.CASTILLO.ZAMAR@BBVA.COM</t>
  </si>
  <si>
    <t>SANCHEZ MENDOZA EDGAR</t>
  </si>
  <si>
    <t>M524702</t>
  </si>
  <si>
    <t>EDGAR.SANCHEZ.2@BBVA.COM</t>
  </si>
  <si>
    <t>QUINTERO SIFUENTES OSCAR OSIEL</t>
  </si>
  <si>
    <t>MB71418</t>
  </si>
  <si>
    <t>oscarosiel.quintero@bbva.com</t>
  </si>
  <si>
    <t>MARTINEZ ALCANTAR JORGE ARMANDO</t>
  </si>
  <si>
    <t>MB73598</t>
  </si>
  <si>
    <t>JORGEARMANDO.MARTINEZ.ALCANTA@BBVA.COM</t>
  </si>
  <si>
    <t>PARDO ZAMARRON ARACELY</t>
  </si>
  <si>
    <t>MB02256</t>
  </si>
  <si>
    <t>ARACELY.PARDO@BBVA.COM</t>
  </si>
  <si>
    <t>GALLEGOS DE LEON ANGEL</t>
  </si>
  <si>
    <t>MB73958</t>
  </si>
  <si>
    <t>ANGEL.GALLEGOS@BBVA.COM</t>
  </si>
  <si>
    <t>ELIZONDO OROZCO HECTOR ELEAZAR</t>
  </si>
  <si>
    <t>MA28898</t>
  </si>
  <si>
    <t>HECTORELEAZAR.ELIZONDO.OROZCO@BBVA.COM</t>
  </si>
  <si>
    <t>BALLESTEROS CASTANEDA ROGELIO</t>
  </si>
  <si>
    <t>MB74162</t>
  </si>
  <si>
    <t>ROGELIO.BALLESTEROS.CASTANEDA@BBVA.COM</t>
  </si>
  <si>
    <t>GALLEGOS SALAS ALMA ROSA</t>
  </si>
  <si>
    <t>M100757</t>
  </si>
  <si>
    <t>ALMA.GALLEGOS@BBVA.COM</t>
  </si>
  <si>
    <t>RAMIREZ GAMEZ JOSE JUAN</t>
  </si>
  <si>
    <t>M811851</t>
  </si>
  <si>
    <t>JOSEJUAN.RAMIREZ@BBVA.COM</t>
  </si>
  <si>
    <t>ALVAREZ HERNANDEZ JUAN MANUEL</t>
  </si>
  <si>
    <t>MA00637</t>
  </si>
  <si>
    <t>JUANMANUEL.ALVAREZ@BBVA.COM</t>
  </si>
  <si>
    <t>BERNAL CASTRO JESUS MANUEL</t>
  </si>
  <si>
    <t>MB84761</t>
  </si>
  <si>
    <t>JESUSMANUEL.BERNAL.CASTRO@BBVA.COM</t>
  </si>
  <si>
    <t>VAZQUEZ GONZALEZ ROMAN</t>
  </si>
  <si>
    <t>M813778</t>
  </si>
  <si>
    <t>ROMAN.VAZQUEZ@BBVA.COM</t>
  </si>
  <si>
    <t>GUTIERREZ MARTINEZ ROSA MARIA</t>
  </si>
  <si>
    <t>MB29522</t>
  </si>
  <si>
    <t>ROSAMARIA.GUTIERREZ@BBVA.COM</t>
  </si>
  <si>
    <t>NAVARRETE CLEMENTE ADOLFO</t>
  </si>
  <si>
    <t>MB70849</t>
  </si>
  <si>
    <t>ADOLFO.NAVARRETE.CLEMENTE@BBVA.COM</t>
  </si>
  <si>
    <t>CISNEROS CORRAL ERNESTO ALONSO</t>
  </si>
  <si>
    <t>MB80606</t>
  </si>
  <si>
    <t>ERNESTOALONSO.CISNEROS@BBVA.COM</t>
  </si>
  <si>
    <t>PINEDO MARTINEZ EDGAR LUIS</t>
  </si>
  <si>
    <t>MB07123</t>
  </si>
  <si>
    <t>edgar.pinedo@bbva.com</t>
  </si>
  <si>
    <t>HERRERA PEREZ JUAN CARLOS</t>
  </si>
  <si>
    <t>MB73031</t>
  </si>
  <si>
    <t>juancarlos.herrera2@bbva.com</t>
  </si>
  <si>
    <t>BORUNDA RUIZ SALVADOR</t>
  </si>
  <si>
    <t>M431265</t>
  </si>
  <si>
    <t>SALVADOR.BORUNDA@BBVA.COM</t>
  </si>
  <si>
    <t>ARAMBULA VALENZUELA MAURO MARTIN</t>
  </si>
  <si>
    <t>M430580</t>
  </si>
  <si>
    <t>MM.ARAMBULA@BBVA.COM</t>
  </si>
  <si>
    <t>DUENAS DIAZ GUILLERMO</t>
  </si>
  <si>
    <t>MA31463</t>
  </si>
  <si>
    <t>GUILLERMO.DUENAS.DIAZ@BBVA.COM</t>
  </si>
  <si>
    <t>CORRAL AMADOR JORGE ANTONIO</t>
  </si>
  <si>
    <t>MB70938</t>
  </si>
  <si>
    <t>JORGEANTONIO.CORRAL.AMADOR@BBVA.COM</t>
  </si>
  <si>
    <t>CRUZ CERVANTES SAUL DAVID</t>
  </si>
  <si>
    <t>MB59794</t>
  </si>
  <si>
    <t>SAULDAVID.CRUZ.CERVANTES@BBVA.COM</t>
  </si>
  <si>
    <t>REYES BACA ANTONIO</t>
  </si>
  <si>
    <t>M7682</t>
  </si>
  <si>
    <t>ANTONIO.REYES@BBVA.COM</t>
  </si>
  <si>
    <t>MORALES PEREZ PABLO ENRIQUE</t>
  </si>
  <si>
    <t>M276782</t>
  </si>
  <si>
    <t>PABLO.MORALES@BBVA.COM</t>
  </si>
  <si>
    <t>GUTIERREZ DEHESA MAGDALENA</t>
  </si>
  <si>
    <t>M283967</t>
  </si>
  <si>
    <t>RONDERO MARQUEZ NOE</t>
  </si>
  <si>
    <t>MH02130</t>
  </si>
  <si>
    <t>N.RONDERO@BBVA.COM</t>
  </si>
  <si>
    <t>GUERRERO ROMERO ANA LILIA</t>
  </si>
  <si>
    <t>MA10197</t>
  </si>
  <si>
    <t>A.GUERREROR@BBVA.COM</t>
  </si>
  <si>
    <t>DE LA CRUZ LOPEZ MARIA DE LOS ANGELES</t>
  </si>
  <si>
    <t>MB71064</t>
  </si>
  <si>
    <t>mariadelosangeles.delacruz.lo@bbva.com</t>
  </si>
  <si>
    <t>ACEVEDO ALCALDE JAIRO</t>
  </si>
  <si>
    <t>MB71188</t>
  </si>
  <si>
    <t>jairo.acevedo@bbva.com</t>
  </si>
  <si>
    <t>ROQUE TREJO DANIEL</t>
  </si>
  <si>
    <t>MB73860</t>
  </si>
  <si>
    <t>DANIEL.ROQUE@BBVA.COM</t>
  </si>
  <si>
    <t>LOPEZ MIRANDA KARLA IVETTE</t>
  </si>
  <si>
    <t>MB57992</t>
  </si>
  <si>
    <t>karlaivette.lopez@bbva.com</t>
  </si>
  <si>
    <t>OLAVE CARRILLO ADRIANA</t>
  </si>
  <si>
    <t>M909351</t>
  </si>
  <si>
    <t>ADRIANA.OLAVE@BBVA.COM</t>
  </si>
  <si>
    <t>RODRIGUEZ VARGAS MIGUEL ANGEL</t>
  </si>
  <si>
    <t>mb74654</t>
  </si>
  <si>
    <t>miguelangel.rodriguez.vargas@bbva.com</t>
  </si>
  <si>
    <t>ROJAS RODRIGUEZ MIGUEL ANGEL</t>
  </si>
  <si>
    <t>MB73307</t>
  </si>
  <si>
    <t>MIGUELANGEL.ROJAS@BBVA.COM</t>
  </si>
  <si>
    <t>GARCIA MARTINEZ DULCE MARIA</t>
  </si>
  <si>
    <t>MA09665</t>
  </si>
  <si>
    <t>D.GARCIAM@BBVA.COM</t>
  </si>
  <si>
    <t>VILLEGAS TELLO ROBERTO</t>
  </si>
  <si>
    <t>MB72755</t>
  </si>
  <si>
    <t>roberto.villegas.tello@bbva.com</t>
  </si>
  <si>
    <t>AMAYA HUERTA AMALIA</t>
  </si>
  <si>
    <t>M4264</t>
  </si>
  <si>
    <t>AMALIA.AMAYA@BBVA.COM</t>
  </si>
  <si>
    <t>CHIM CASTANEDA JAVIER JESUS</t>
  </si>
  <si>
    <t>M902393</t>
  </si>
  <si>
    <t>JAVIER.CHIM@BBVA.COM</t>
  </si>
  <si>
    <t>MARTINEZ DELGADO LUIS ALBERTO</t>
  </si>
  <si>
    <t>M700191</t>
  </si>
  <si>
    <t>LUIS.MARTINEZ.9@BBVA.COM</t>
  </si>
  <si>
    <t>CANO YAH JOSE ROBERTO</t>
  </si>
  <si>
    <t>MB10625</t>
  </si>
  <si>
    <t>JOSEROBERTO.CANO@BBVA.COM</t>
  </si>
  <si>
    <t>CANDELARIO GALLOSO HECTOR DANIEL</t>
  </si>
  <si>
    <t>MB72982</t>
  </si>
  <si>
    <t>hectordaniel.candelario@bbva.com</t>
  </si>
  <si>
    <t>GONZALEZ CASTRO EDGAR OMAR</t>
  </si>
  <si>
    <t>MB83989</t>
  </si>
  <si>
    <t>EDGAROMAR.GONZALEZ.CASTRO@BBVA.COM</t>
  </si>
  <si>
    <t>DEL CASTILLO RACHED JORGE MAURICIO</t>
  </si>
  <si>
    <t>MB53329</t>
  </si>
  <si>
    <t>VILLANUEVA CETINA MARCOS GERARDO</t>
  </si>
  <si>
    <t>MA03483</t>
  </si>
  <si>
    <t>MARCOS.VILLANUEVA@BBVA.COM</t>
  </si>
  <si>
    <t>LUNA MARTINEZ ALAN ISAI</t>
  </si>
  <si>
    <t>MB84396</t>
  </si>
  <si>
    <t>ALANISAI.LUNA@BBVA.COM</t>
  </si>
  <si>
    <t>GALLEGOS ZAMARRIPA MIGUEL JESUS</t>
  </si>
  <si>
    <t>M826421</t>
  </si>
  <si>
    <t>MIGUEL.GALLEGOS.2@BBVA.COM</t>
  </si>
  <si>
    <t>JIMENEZ MORENO PEDRO ALBERTO</t>
  </si>
  <si>
    <t>MB70709</t>
  </si>
  <si>
    <t>PEDROALBERTO.JIMENEZ.MORENO@BBVA.COM</t>
  </si>
  <si>
    <t>VALLADARES VARGAS JESUS ARMANDO</t>
  </si>
  <si>
    <t>MB59913</t>
  </si>
  <si>
    <t>JESUSARMANDO.VALLADARES@BBVA.COM</t>
  </si>
  <si>
    <t>CASTILLO GARCIA JOSE DANIEL</t>
  </si>
  <si>
    <t>MB70798</t>
  </si>
  <si>
    <t>JOSEDANIEL.CASTILLO@BBVA.COM</t>
  </si>
  <si>
    <t>QUE CAPDEPON GONZALO</t>
  </si>
  <si>
    <t>MB70807</t>
  </si>
  <si>
    <t>GONZALO.QUE.CAPDEPON@BBVA.COM</t>
  </si>
  <si>
    <t>GONZALEZ MURILLO MARIANA</t>
  </si>
  <si>
    <t>MH02557</t>
  </si>
  <si>
    <t>M.GONZALEZM@BBVA.COM</t>
  </si>
  <si>
    <t>TAPIA GARCIA JUAN SEBASTIAN</t>
  </si>
  <si>
    <t>MB26201</t>
  </si>
  <si>
    <t>JUANSEBASTIA.TAPIA@BBVA.COM</t>
  </si>
  <si>
    <t>PEREZ GALLARDO MARCO ANTONIO</t>
  </si>
  <si>
    <t>MB40291</t>
  </si>
  <si>
    <t>MARCOANTONIO.PEREZ.GALLARDO@BBVA.COM</t>
  </si>
  <si>
    <t>SANCHEZ RANGEL JUAN ALFREDO</t>
  </si>
  <si>
    <t>MB58206</t>
  </si>
  <si>
    <t>JUANALFREDO.SANCHEZ@BBVA.COM</t>
  </si>
  <si>
    <t>ARANDA HERNANDEZ CHRISTIAN</t>
  </si>
  <si>
    <t>CHRISTIAN.ARANDA@BBVA.COM</t>
  </si>
  <si>
    <t>OLVERA HERNANDEZ JONATHAN ROSALIO</t>
  </si>
  <si>
    <t>MB19547</t>
  </si>
  <si>
    <t>JONATHANROSA.OLVERA@BBVA.COM</t>
  </si>
  <si>
    <t>ALVAREZ SORIANO MIGUEL ANGEL</t>
  </si>
  <si>
    <t>MB12908</t>
  </si>
  <si>
    <t>MIGUELANGEL.ALVAREZ@BBVA.COM</t>
  </si>
  <si>
    <t>YEPEZ BANUELOS JAIME</t>
  </si>
  <si>
    <t>MB15225</t>
  </si>
  <si>
    <t>JAIME.YEPEZ@BBVA.COM</t>
  </si>
  <si>
    <t>ZEPEDA ARELLANO PERLA KARINA</t>
  </si>
  <si>
    <t>MB60262</t>
  </si>
  <si>
    <t>PERLAKARINA.ZEPEDA@BBVA.COM</t>
  </si>
  <si>
    <t>PEREZ MIGUEL EDGAR IVAN</t>
  </si>
  <si>
    <t>EDGAR.PEREZ@BBVA.COM</t>
  </si>
  <si>
    <t>DELGADO ANGELES TANIA FERNANDA</t>
  </si>
  <si>
    <t>M910710</t>
  </si>
  <si>
    <t>TANIA.DELGADO@BBVA.COM</t>
  </si>
  <si>
    <t>FLORES GARCIA MIGUEL ANGEL</t>
  </si>
  <si>
    <t>MB56667</t>
  </si>
  <si>
    <t>MIGUELANGEL.FLORES.GARCIA@BBVA.COM</t>
  </si>
  <si>
    <t>GOMEZ VAZQUEZ ERICK</t>
  </si>
  <si>
    <t>M905381</t>
  </si>
  <si>
    <t>ERICK.GOMEZ@BBVA.COM</t>
  </si>
  <si>
    <t>GOIZMAN AREVALO INGRID</t>
  </si>
  <si>
    <t>MB70031</t>
  </si>
  <si>
    <t>INGRID.GOIZMAN@BBVA.COM</t>
  </si>
  <si>
    <t>CASTRO SANCHEZ EDGAR YOLOTL</t>
  </si>
  <si>
    <t>M907123</t>
  </si>
  <si>
    <t>EDGAR.CASTRO@BBVA.COM</t>
  </si>
  <si>
    <t>BORGES NATAREN PATRICIA</t>
  </si>
  <si>
    <t>M8675</t>
  </si>
  <si>
    <t>PATRICIA.BORGES@BBVA.COM</t>
  </si>
  <si>
    <t>VENTURA URIBE MARIA CRISTINA</t>
  </si>
  <si>
    <t>M842583</t>
  </si>
  <si>
    <t>M.VENTURAU@BBVA.COM</t>
  </si>
  <si>
    <t>NAVARRO GARCIA GERARDO EZEQUIEL</t>
  </si>
  <si>
    <t>GERARDO.NAVARRO@BBVA.COM</t>
  </si>
  <si>
    <t>CORTES SOTO GLADYS ISABEL</t>
  </si>
  <si>
    <t>M55784</t>
  </si>
  <si>
    <t>GLADYS.CORTES@BBVA.COM</t>
  </si>
  <si>
    <t>GONZALEZ MUNOZ ERIKA</t>
  </si>
  <si>
    <t>MB76451</t>
  </si>
  <si>
    <t>ERIKA.GONZALEZ.MUNOZ@BBVA.COM</t>
  </si>
  <si>
    <t>VICHIQUI VALLEJO VICTORIA</t>
  </si>
  <si>
    <t>MB76319</t>
  </si>
  <si>
    <t>VICTORIA.VICHIQUI@BBVA.COM</t>
  </si>
  <si>
    <t>HUERTA DURAN NESTOR JOVANY</t>
  </si>
  <si>
    <t>MB76339</t>
  </si>
  <si>
    <t>NESTORJOVANY.HUERTA@BBVA.COM</t>
  </si>
  <si>
    <t>RIOS BALDERAS JANET</t>
  </si>
  <si>
    <t>MB78264</t>
  </si>
  <si>
    <t>JANET.RIOS@BBVA.COM</t>
  </si>
  <si>
    <t>OLIVERA RIOS SERGIO</t>
  </si>
  <si>
    <t>MB84530</t>
  </si>
  <si>
    <t>SERGIO.OLIVERA@BBVA.COM</t>
  </si>
  <si>
    <t>CURIEL MUNOZ ANAYELI</t>
  </si>
  <si>
    <t>MB84525</t>
  </si>
  <si>
    <t>ANAYELI.CURIEL@BBVA.COM</t>
  </si>
  <si>
    <t>VELAZQUEZ VALENCIA GUADALUPE</t>
  </si>
  <si>
    <t>MB80254</t>
  </si>
  <si>
    <t>GUDALAUPE.VELAZQUEZ.VALENCIA@BBVA.COM</t>
  </si>
  <si>
    <t>GARCIA VARGAS KARINA</t>
  </si>
  <si>
    <t>MB76457</t>
  </si>
  <si>
    <t>KARINA.GARCIA.VARGAS@BBVA.COM</t>
  </si>
  <si>
    <t>GARCIA GARCIA JOSE EDUARDO</t>
  </si>
  <si>
    <t>MB80258</t>
  </si>
  <si>
    <t>JOSEEDUARGO.GARCIA.GARCIA@BBVA.COM</t>
  </si>
  <si>
    <t>CASTELAN FLORES JUAN CARLOS</t>
  </si>
  <si>
    <t>MB82101</t>
  </si>
  <si>
    <t>JUANCARLOS.CASTELAN@BBVA.COM</t>
  </si>
  <si>
    <t>ENCISO BANUELOS NORA PAULINA</t>
  </si>
  <si>
    <t>MB76909</t>
  </si>
  <si>
    <t>NORAPAULINA.ENCISO@BBVA.COM</t>
  </si>
  <si>
    <t>VILLASECA MARTINEZ KARLA XIMENA</t>
  </si>
  <si>
    <t>MB82028</t>
  </si>
  <si>
    <t>KARLAXIMENA.VILLASECA@BBVA.COM</t>
  </si>
  <si>
    <t>GONZALEZ MIJANGOS ISHKRA WALLEZKA</t>
  </si>
  <si>
    <t>MB80269</t>
  </si>
  <si>
    <t>ISHKRAWALLEZKA.GONZALEZ@BBVA.COM</t>
  </si>
  <si>
    <t>ROMAN CASTRO DENISSE ADRIANA</t>
  </si>
  <si>
    <t>MB76904</t>
  </si>
  <si>
    <t>DENISSEADRIANA.ROMAN@BBVA.COM</t>
  </si>
  <si>
    <t>RODRIGUEZ ORIBIO MONICA</t>
  </si>
  <si>
    <t>MB76940</t>
  </si>
  <si>
    <t>MONICA.RODRIGUEZ.ORIBIO@BBVA.COM</t>
  </si>
  <si>
    <t>ROCHA HUERTA LIDIA GABRIELA</t>
  </si>
  <si>
    <t>MB77850</t>
  </si>
  <si>
    <t>LIDIAGABRIELA.ROCHA@BBVA.COM</t>
  </si>
  <si>
    <t>LOPEZ MORENO ILSE PAMELA</t>
  </si>
  <si>
    <t>MB83270</t>
  </si>
  <si>
    <t>ILSEPAMELA.LOPEZ@BBVA.COM</t>
  </si>
  <si>
    <t>MARQUEZ ANAYA GABRIEL</t>
  </si>
  <si>
    <t>MB53580</t>
  </si>
  <si>
    <t>GABRIEL.MARQUEZ.ANAYA@BBVA.COM</t>
  </si>
  <si>
    <t>MUNOZ GOMEZ JOSE ANTONIO</t>
  </si>
  <si>
    <t>MB53057</t>
  </si>
  <si>
    <t>JOSEANTONIO.MUNOZ.GOMEZ@BBVA.COM</t>
  </si>
  <si>
    <t>GUTIERREZ TREJO CAROLINA</t>
  </si>
  <si>
    <t>MB20138</t>
  </si>
  <si>
    <t>CAROLINA.GUTIERREZ.1@BBVA.COM</t>
  </si>
  <si>
    <t>GRIMALDI DURAN ROBERTO</t>
  </si>
  <si>
    <t>MB07568</t>
  </si>
  <si>
    <t>ROBERTO.GRIMALDI@BBVA.COM</t>
  </si>
  <si>
    <t>REYES ARRIAGA CLAUDIA LIZBETH</t>
  </si>
  <si>
    <t>MB80255</t>
  </si>
  <si>
    <t>CLAUDIALIZBETH.REYES@BBVA.COM</t>
  </si>
  <si>
    <t>VARGAS CORDERO DAVID</t>
  </si>
  <si>
    <t>MB78623</t>
  </si>
  <si>
    <t>DAVID.VARGAS.CORDERO@BBVA.COM</t>
  </si>
  <si>
    <t>RODRIGUEZ ARCE ADRIANA</t>
  </si>
  <si>
    <t>MB48732</t>
  </si>
  <si>
    <t>ADRIANA.RODRIGUEZ.ARCE@BBVA.COM</t>
  </si>
  <si>
    <t>CASTRO CASTELLANOS ADRIANA ITZEL</t>
  </si>
  <si>
    <t>MB76460</t>
  </si>
  <si>
    <t>ADRIANAITZEL.CASTRO@BBVA.COM</t>
  </si>
  <si>
    <t>MUNGUIA ESPINOSA CARLOS</t>
  </si>
  <si>
    <t>M102878</t>
  </si>
  <si>
    <t>CARLOS.MUNGUIA@BBVA.COM</t>
  </si>
  <si>
    <t>REYES FALCON EVA GUILLERMINA</t>
  </si>
  <si>
    <t>M822568</t>
  </si>
  <si>
    <t>M822568@BBVA.COM</t>
  </si>
  <si>
    <t>SANCHEZ ALVARADO IVONNE</t>
  </si>
  <si>
    <t>M910906</t>
  </si>
  <si>
    <t>I.SANCHEZA@BBVA.COM</t>
  </si>
  <si>
    <t>ESTRADA CARBAJAL JESUS ALAN</t>
  </si>
  <si>
    <t>MB73348</t>
  </si>
  <si>
    <t>JESUSALAN.ESTRADA@BBVA.COM</t>
  </si>
  <si>
    <t>HERNANDEZ LOPEZ FRANCISCO JAVIER</t>
  </si>
  <si>
    <t>M819929</t>
  </si>
  <si>
    <t>FRANCISCO.HERNANDEZ.8@BBVA.COM</t>
  </si>
  <si>
    <t>JUAREZ HERNANDEZ JOSE LUIS</t>
  </si>
  <si>
    <t>M7058</t>
  </si>
  <si>
    <t>JOSELUIS.JUAREZ.1@BBVA.COM</t>
  </si>
  <si>
    <t>MONTELLANO VEGA MARIA MAGDALENA</t>
  </si>
  <si>
    <t>MB76341</t>
  </si>
  <si>
    <t>MARIAMAGADALENA.MONTELLANO@BBVA.COM</t>
  </si>
  <si>
    <t>FERNANDEZ VALERIO ARMANDO</t>
  </si>
  <si>
    <t>MB73361</t>
  </si>
  <si>
    <t>ARMANDO.FERNANDEZ.VALERIO@BBVA.COM</t>
  </si>
  <si>
    <t>HERRERA OLAY ISAI</t>
  </si>
  <si>
    <t>MB63367</t>
  </si>
  <si>
    <t>ISAI.HERRERA@BBVA.COM</t>
  </si>
  <si>
    <t>NAVARRETE BUENDIA MAYRA LUCERO</t>
  </si>
  <si>
    <t>MB06761</t>
  </si>
  <si>
    <t>MAYRA.NAVARRETE@BBVA.COM</t>
  </si>
  <si>
    <t>HERRERA GUZMAN ALEJANDRA</t>
  </si>
  <si>
    <t>MB76316</t>
  </si>
  <si>
    <t>ALEJANDRA.HERRERA.GUZMAN@BBVA.COM</t>
  </si>
  <si>
    <t>CAVAZOS GONZALEZ ALEJANDRO</t>
  </si>
  <si>
    <t>M914089</t>
  </si>
  <si>
    <t>ALEJANDRO.CAVAZOS@BBVA.COM</t>
  </si>
  <si>
    <t>HERNANDEZ FUENTES GUADALUPE ESMERALDA</t>
  </si>
  <si>
    <t>MB77682</t>
  </si>
  <si>
    <t>GUADALUPEESMERALDA.HERNANDEZ@BBVA.COM</t>
  </si>
  <si>
    <t>LEAL LUGO EDGAR</t>
  </si>
  <si>
    <t>MB77635</t>
  </si>
  <si>
    <t>EDGAR.LEAL@BBVA.COM</t>
  </si>
  <si>
    <t>VAZQUEZ GUTIERREZ PEDRO IVAN</t>
  </si>
  <si>
    <t>MB77846</t>
  </si>
  <si>
    <t>PEDROIVAN.VAZQUEZ@BBVA.COM</t>
  </si>
  <si>
    <t>ESCOBAR MONDRAGON ROSALBA</t>
  </si>
  <si>
    <t>R.ESCOBAR@BBVA.COM</t>
  </si>
  <si>
    <t>ESTRADA REYES ENRIQUE ALBERTO</t>
  </si>
  <si>
    <t>M57820</t>
  </si>
  <si>
    <t>ENRIQUE.ESTRADA@BBVA.COM</t>
  </si>
  <si>
    <t>TOVAR VALENCIA HECTOR</t>
  </si>
  <si>
    <t>M48867</t>
  </si>
  <si>
    <t>HECTOR.TOVAR@BBVA.COM</t>
  </si>
  <si>
    <t>ANDRES VAZQUEZ MARIA BEATRIZ</t>
  </si>
  <si>
    <t>MB67448</t>
  </si>
  <si>
    <t>MARIABEATRIZ.ANDRES.VAZQUEZ@BBVA.COM</t>
  </si>
  <si>
    <t>ALVAREZ PALOMARES LIZETH</t>
  </si>
  <si>
    <t>MB84257</t>
  </si>
  <si>
    <t>LIZETH.ALVAREZ.PALOMARES@BBVA.COM</t>
  </si>
  <si>
    <t>CANDI FABELA JUAN ARMANDO</t>
  </si>
  <si>
    <t>MB53286</t>
  </si>
  <si>
    <t>JUANARMANDO.CANDI.FABELA@BBVA.COM</t>
  </si>
  <si>
    <t>CANCINO MOSQUEDA BETSABEE AMEYALTZIN</t>
  </si>
  <si>
    <t>M910928</t>
  </si>
  <si>
    <t>BETSABEE.CANCINO@BBVA.COM</t>
  </si>
  <si>
    <t>PATLAN VAZQUEZ JARIT ARMANDO</t>
  </si>
  <si>
    <t>MA12725</t>
  </si>
  <si>
    <t>JARIT.PATLAN@BBVA.COM</t>
  </si>
  <si>
    <t>MORENO RODRIGUEZ JOSE CARLOS</t>
  </si>
  <si>
    <t>MH02076</t>
  </si>
  <si>
    <t>JOSECARLOS.MORENOR@BBVA.COM</t>
  </si>
  <si>
    <t>FLORES MORAN VICTOR MANUEL</t>
  </si>
  <si>
    <t>M902791</t>
  </si>
  <si>
    <t>VICTOR.FLORES@BBVA.COM</t>
  </si>
  <si>
    <t>RIVERA JUAREZ LUIS ANGEL</t>
  </si>
  <si>
    <t>MB10708</t>
  </si>
  <si>
    <t>LUISANGEL.RIVERA@BBVA.COM</t>
  </si>
  <si>
    <t>MARTINEZ MONTOYA CECILIA</t>
  </si>
  <si>
    <t>MB61223</t>
  </si>
  <si>
    <t>CECILIA.MARTINEZ3@BBVA.COM</t>
  </si>
  <si>
    <t>RAMOS GOMEZ GABRIELA</t>
  </si>
  <si>
    <t>MB31315</t>
  </si>
  <si>
    <t>GABRIELA.RAMOS.GOMEZ@BBVA.COM</t>
  </si>
  <si>
    <t>JIMENEZ ARTEAGA KARLA MARIA</t>
  </si>
  <si>
    <t>M76886</t>
  </si>
  <si>
    <t>KARLA.JIMENEZ.1@BBVA.COM</t>
  </si>
  <si>
    <t>LOZANO LAMAS VICTOR ALFONSO</t>
  </si>
  <si>
    <t>VICTOR.LOZANO@BBVA.COM</t>
  </si>
  <si>
    <t>RAMIREZ RODRIGUEZ MARCELA EUGENIA</t>
  </si>
  <si>
    <t>M38735</t>
  </si>
  <si>
    <t>MARCELA.RAMIREZ.1@BBVA.COM</t>
  </si>
  <si>
    <t>LOPEZ DEFACIO OSCAR OSVALDO</t>
  </si>
  <si>
    <t>O.LOPEZ@BBVA.COM</t>
  </si>
  <si>
    <t>HAM LOPEZ GISELA</t>
  </si>
  <si>
    <t>M901829</t>
  </si>
  <si>
    <t>GISELA.HAM@BBVA.COM</t>
  </si>
  <si>
    <t>ARCE ZAPATA RODRIGO DAVID</t>
  </si>
  <si>
    <t>RODRIGODAVID.ARCE.ZAPATA@BBVA.COM</t>
  </si>
  <si>
    <t>CABRERA ALVAREZ LEOPOLDO</t>
  </si>
  <si>
    <t>M53614</t>
  </si>
  <si>
    <t>L.CABRERA@BBVA.COM</t>
  </si>
  <si>
    <t>ANTELIZ GELVES CARMEN ISBELIA</t>
  </si>
  <si>
    <t>C024805</t>
  </si>
  <si>
    <t>CARMEN.ANTELIZ@BBVA.COM</t>
  </si>
  <si>
    <t>REBOLLAR HERNANDEZ HUMBERTO</t>
  </si>
  <si>
    <t>M46180</t>
  </si>
  <si>
    <t>HUMBERTO.REBOLLAR@BBVA.COM</t>
  </si>
  <si>
    <t>ONTIVEROS VILLARREAL GABRIELA</t>
  </si>
  <si>
    <t>M47631</t>
  </si>
  <si>
    <t>G.ONTIVEROS1@BBVA.COM</t>
  </si>
  <si>
    <t>NUNEZ ARROYO JOSE LUIS</t>
  </si>
  <si>
    <t>M53995</t>
  </si>
  <si>
    <t>JL.NUNEZ@BBVA.COM</t>
  </si>
  <si>
    <t>GONZALEZ MARTINEZ ROBERTO CARLOS</t>
  </si>
  <si>
    <t>MH01922</t>
  </si>
  <si>
    <t>ROBERTO.GONZALEZ.3@BBVA.COM</t>
  </si>
  <si>
    <t>NARVAEZ VARELA FERNANDO</t>
  </si>
  <si>
    <t>MB24277</t>
  </si>
  <si>
    <t>FERNANDO.NARVAEZ@BBVA.COM</t>
  </si>
  <si>
    <t>M58961</t>
  </si>
  <si>
    <t>MOISES.SALMERON@BBVA.COM</t>
  </si>
  <si>
    <t>MATIAS AGUILAR DAVID EDUARDO</t>
  </si>
  <si>
    <t>mb74800</t>
  </si>
  <si>
    <t>davideduardo.matias.aguilar@bbva.com</t>
  </si>
  <si>
    <t>ROSALES MEDELLIN ZULLY</t>
  </si>
  <si>
    <t>M839549</t>
  </si>
  <si>
    <t>Z.ROSALES@BBVA.COM</t>
  </si>
  <si>
    <t>PAREDES GUERRERO CLAUDIA PATRICIA</t>
  </si>
  <si>
    <t>MB26648</t>
  </si>
  <si>
    <t>CLAUDIA.PAREDES@BBVA.COM</t>
  </si>
  <si>
    <t>REYES VILLARREAL GILBERTO ADOLFO</t>
  </si>
  <si>
    <t>M62193</t>
  </si>
  <si>
    <t>G.REYES8@BBVA.COM</t>
  </si>
  <si>
    <t>ALANIS ORTIZ NORMA VERONICA</t>
  </si>
  <si>
    <t>M31918</t>
  </si>
  <si>
    <t>NORMA.ALANIS@BBVA.COM</t>
  </si>
  <si>
    <t>YUNES ANCONA ISAAC ELIAS</t>
  </si>
  <si>
    <t>MB81252</t>
  </si>
  <si>
    <t>ISAACELIAS.YUNES@BBVA.COM</t>
  </si>
  <si>
    <t>GAONA CRUZ GABRIELA</t>
  </si>
  <si>
    <t>GABRIELA.GAONA@BBVA.COM</t>
  </si>
  <si>
    <t>GALICIA VAZQUEZ ADRIANA</t>
  </si>
  <si>
    <t>M841870</t>
  </si>
  <si>
    <t>ADRIANA.GALICIA@BBVA.COM</t>
  </si>
  <si>
    <t>SOLORIO CRISOSTOMO MILTON</t>
  </si>
  <si>
    <t>M906656</t>
  </si>
  <si>
    <t>MILTON.SOLORIO@BBVA.COM</t>
  </si>
  <si>
    <t>SANTIAGO RIVERA ANGEL</t>
  </si>
  <si>
    <t>MB59589</t>
  </si>
  <si>
    <t>ANGEL.SANTIAGO.RIVERA@BBVA.COM</t>
  </si>
  <si>
    <t>LOPEZ SERNAS ESTEFANIA</t>
  </si>
  <si>
    <t>MB70391</t>
  </si>
  <si>
    <t>ESTEFANIA.LOPEZ.SERNAS@BBVA.COM</t>
  </si>
  <si>
    <t>GONZALEZ ESPINOSA DAAN TONATIUH</t>
  </si>
  <si>
    <t>MB77576</t>
  </si>
  <si>
    <t>DAANTONATIUH.GONZALEZ@BBVA.COM</t>
  </si>
  <si>
    <t>FRANCISCO MARTINEZ HENRY</t>
  </si>
  <si>
    <t>MB76058</t>
  </si>
  <si>
    <t>HENRY.FRANCISCO.MARTINEZ@BBVA.COM</t>
  </si>
  <si>
    <t>ACOSTA TIRADO EDGAR</t>
  </si>
  <si>
    <t>M52651</t>
  </si>
  <si>
    <t>EDGAR.ACOSTA@BBVA.COM</t>
  </si>
  <si>
    <t>ORTIZ PENA LAURA ELENA</t>
  </si>
  <si>
    <t>M5548</t>
  </si>
  <si>
    <t>L.ORTIZP@BBVA.COM</t>
  </si>
  <si>
    <t>TORRES LOPEZ LILIA</t>
  </si>
  <si>
    <t>M815586</t>
  </si>
  <si>
    <t>LILIA.TORRES@BBVA.COM</t>
  </si>
  <si>
    <t>CARREJO MARIN SOCORRO ALMENDRA</t>
  </si>
  <si>
    <t>MB11570</t>
  </si>
  <si>
    <t>ALMENDRA.CARREJO@BBVA.COM</t>
  </si>
  <si>
    <t>DONCEL SANCHEZ DIANA ALICIA</t>
  </si>
  <si>
    <t>M31121</t>
  </si>
  <si>
    <t>DA.DONCEL@BBVA.COM</t>
  </si>
  <si>
    <t>CATALAN TENORIO LUIS ALBERTO</t>
  </si>
  <si>
    <t>MB56159</t>
  </si>
  <si>
    <t>LUISALBERTO.CATALAN@BBVA.COM</t>
  </si>
  <si>
    <t>MADRIGAL LOPEZ LETICIA</t>
  </si>
  <si>
    <t>M40342</t>
  </si>
  <si>
    <t>L.MADRIGAL@BBVA.COM</t>
  </si>
  <si>
    <t>MENDIETA . MARIO ALEJANDRO</t>
  </si>
  <si>
    <t>MARIO.MENDIETA@BBVA.COM</t>
  </si>
  <si>
    <t>OLGUIN MARTINEZ MARCOS</t>
  </si>
  <si>
    <t>MB67403</t>
  </si>
  <si>
    <t>MARCOS.OLGUIN@BBVA.COM</t>
  </si>
  <si>
    <t>DIAZ LANDA OMAR</t>
  </si>
  <si>
    <t>MB49616</t>
  </si>
  <si>
    <t>OMAR.DIAZ.LANDA@BBVA.COM</t>
  </si>
  <si>
    <t>RODRIGUEZ VILLARREAL JOSE GREGORIO</t>
  </si>
  <si>
    <t>MB68387</t>
  </si>
  <si>
    <t>JOSEGREGORIO.RODRIGUEZ@BBVA.COM</t>
  </si>
  <si>
    <t>SUAREZ RUIZ OSCAR JONATHAN</t>
  </si>
  <si>
    <t>MB23283</t>
  </si>
  <si>
    <t>OSCAR.SUAREZ@BBVA.COM</t>
  </si>
  <si>
    <t>LARRAZOLO DE LA CRUZ RAFAEL</t>
  </si>
  <si>
    <t>MB82891</t>
  </si>
  <si>
    <t>RAFAEL.LARRAZOLO@BBVA.COM</t>
  </si>
  <si>
    <t>YANEZ DELGADO JUAN MANUEL</t>
  </si>
  <si>
    <t>JUAN.YANEZ.2@BBVA.COM</t>
  </si>
  <si>
    <t>SANCHEZ HUERTA JUAN MANUEL</t>
  </si>
  <si>
    <t>MB70495</t>
  </si>
  <si>
    <t>JUANMANUEL.SANCHEZ.HUERTA@BBVA.COM</t>
  </si>
  <si>
    <t>GARCIA AGUILLON HECTOR</t>
  </si>
  <si>
    <t>M906570</t>
  </si>
  <si>
    <t>HECTOR.GARCIA.4@BBVA.COM</t>
  </si>
  <si>
    <t>MARTINEZ CARRASCO MAURICIO</t>
  </si>
  <si>
    <t>MB75727</t>
  </si>
  <si>
    <t>MAURICIO.MARTINEZ.CARRASCO@BBVA.COM</t>
  </si>
  <si>
    <t>MORALES GARCILAZO BRIAN FABIAN</t>
  </si>
  <si>
    <t>MB52995</t>
  </si>
  <si>
    <t>BRIANFABIAN.MORALES@BBVA.COM</t>
  </si>
  <si>
    <t>MUNOZ FERNANDEZ DE CORDOVA ITZEL ZAYIL</t>
  </si>
  <si>
    <t>MB55311</t>
  </si>
  <si>
    <t>ITZELZAYIL.MUNOZ@BBVA.COM</t>
  </si>
  <si>
    <t>QUINTANILLA TERMINEL SEBASTIAN</t>
  </si>
  <si>
    <t>MB84524</t>
  </si>
  <si>
    <t>SEBASTIAN.QUINTANILLA@BBVA.COM</t>
  </si>
  <si>
    <t>MARTINEZ WARNHOLTZ BRUNO</t>
  </si>
  <si>
    <t>mb74806</t>
  </si>
  <si>
    <t>bruno.martinez.warnholtz@bbva.com</t>
  </si>
  <si>
    <t>SOLORZANO DOMINGUEZ IVAN</t>
  </si>
  <si>
    <t>IVAN.SOLORZANO@BBVA.COM</t>
  </si>
  <si>
    <t>ORTIZ OCHOA JULIETA VIANEY</t>
  </si>
  <si>
    <t>MB24966</t>
  </si>
  <si>
    <t>JULIETAVIANE.ORTIZ@BBVA.COM</t>
  </si>
  <si>
    <t>DE LA CRUZ SALOME JOSE CARLOS</t>
  </si>
  <si>
    <t>MB76458</t>
  </si>
  <si>
    <t>JOSECARLOS.DELACRUZ@BBVA.COM</t>
  </si>
  <si>
    <t>GONZALEZ VELEZ AMALIA</t>
  </si>
  <si>
    <t>MB11871</t>
  </si>
  <si>
    <t>AMALIA.GONZALEZ@BBVA.COM</t>
  </si>
  <si>
    <t>MENDEZ BARRERA JOSE ALFREDO</t>
  </si>
  <si>
    <t>MB68972</t>
  </si>
  <si>
    <t>JOSEALFREDO.MENDEZ.BARRERA@BBVA.COM</t>
  </si>
  <si>
    <t>CERVANTES AVILA JUAN JOSE DE JESUS</t>
  </si>
  <si>
    <t>MB48177</t>
  </si>
  <si>
    <t>JUANJOSEDEJESUS.CERVANTES@BBVA.COM</t>
  </si>
  <si>
    <t>TELLEZ GIRON ENRIQUEZ MARIA FERNANDA</t>
  </si>
  <si>
    <t>MB72732</t>
  </si>
  <si>
    <t>mariafernanda.tellezgiron@bbva.com</t>
  </si>
  <si>
    <t>ROCHA GUZMAN SAMUEL</t>
  </si>
  <si>
    <t>MB71310</t>
  </si>
  <si>
    <t>SAMUEL.ROCHA@BBVA.COM</t>
  </si>
  <si>
    <t>ROMANO SANCHEZ ALLAN BRANDON</t>
  </si>
  <si>
    <t>MB76050</t>
  </si>
  <si>
    <t>ALLANBRANDON.ROMANO@BBVA.COM</t>
  </si>
  <si>
    <t>SINILOV NIKOLAY BORISOVITCH</t>
  </si>
  <si>
    <t>NICK.SINILOV@BBVA.COM</t>
  </si>
  <si>
    <t>GONZALEZ MORENO MARIA DE LOURDES</t>
  </si>
  <si>
    <t>M36655</t>
  </si>
  <si>
    <t>MARIA.GONZALEZ.MORENO@BBVA.COM</t>
  </si>
  <si>
    <t>VERDUZCO MARTINEZ RICARDO</t>
  </si>
  <si>
    <t>RICARDO.VMARTINEZ@BBVA.COM</t>
  </si>
  <si>
    <t>GARCIA GOMEZ ARTURO JAVIER</t>
  </si>
  <si>
    <t>MB74001</t>
  </si>
  <si>
    <t>ARTUROJAVIER.GARCIA@BBVA.COM</t>
  </si>
  <si>
    <t>LEON HERNANDEZ MAURA KARLA</t>
  </si>
  <si>
    <t>MB60402</t>
  </si>
  <si>
    <t>MAURAKARLA.LEON.HERNANDEZ@BBVA.COM</t>
  </si>
  <si>
    <t>RAMIREZ RODRIGUEZ SAMUEL</t>
  </si>
  <si>
    <t>S.RAMIREZ@BBVA.COM</t>
  </si>
  <si>
    <t>RODRIGUEZ MORAN ROBERTO DE JESUS</t>
  </si>
  <si>
    <t>M906994</t>
  </si>
  <si>
    <t>ROBERTO.RODRIGUEZ@BBVA.COM</t>
  </si>
  <si>
    <t>VARELA PEREZ DIEGO EDUARDO</t>
  </si>
  <si>
    <t>MB75089</t>
  </si>
  <si>
    <t>DIEGOEDUARDO.VARELA@BBVA.COM</t>
  </si>
  <si>
    <t>GONZALEZ CASTELAN LINDA KARINA</t>
  </si>
  <si>
    <t>MB43285</t>
  </si>
  <si>
    <t>LINDAKARINA.GONZALEZ@BBVA.COM</t>
  </si>
  <si>
    <t>VEGA ORTEGA RAFAEL BENJAMIN</t>
  </si>
  <si>
    <t>MB76444</t>
  </si>
  <si>
    <t>RAFAELBENJAMIN.VEGA@BBVA.COM</t>
  </si>
  <si>
    <t>MUNOZ CAMACHO ARELI</t>
  </si>
  <si>
    <t>MB70246</t>
  </si>
  <si>
    <t>ARELI.MUNOZ@BBVA.COM</t>
  </si>
  <si>
    <t>VAZQUEZ BANOS ARMANDO</t>
  </si>
  <si>
    <t>M52419</t>
  </si>
  <si>
    <t>A.VAZQUEZ10@BBVA.COM</t>
  </si>
  <si>
    <t>AGUILAR ROQUE MARIA DE LOURDES</t>
  </si>
  <si>
    <t>M39100</t>
  </si>
  <si>
    <t>ML.AGUILAR1@BBVA.COM</t>
  </si>
  <si>
    <t>CHAVEZ TINOCO KENIA IVETT</t>
  </si>
  <si>
    <t>MB70661</t>
  </si>
  <si>
    <t>KENIAIVETT.CHAVEZ@BBVA.COM</t>
  </si>
  <si>
    <t>ESTEVES GARCIA NATALY GABRIELA</t>
  </si>
  <si>
    <t>MB68381</t>
  </si>
  <si>
    <t>NATALYGABRIELA.ESTEVES@BBVA.COM</t>
  </si>
  <si>
    <t>TELLEZ RENDON JUAN JOSE</t>
  </si>
  <si>
    <t>MB13763</t>
  </si>
  <si>
    <t>JUANJOSE.TELLEZ@BBVA.COM</t>
  </si>
  <si>
    <t>MENDEZ VAZQUEZ GUADALUPE ANTONIO</t>
  </si>
  <si>
    <t>GUADALUPE.MENDEZ.1@BBVA.COM</t>
  </si>
  <si>
    <t>RAMIREZ RODRIGUEZ JOSE SEBASTIAN</t>
  </si>
  <si>
    <t>MB43566</t>
  </si>
  <si>
    <t>JOSESEBASTIAN.RAMIREZ@BBVA.COM</t>
  </si>
  <si>
    <t>OSORIO PINTO KEILA ROSALIA</t>
  </si>
  <si>
    <t>MB59204</t>
  </si>
  <si>
    <t>KEILAROSALIA.OSORIO@BBVA.COM</t>
  </si>
  <si>
    <t>PORRAZ LAVARIEGA JUAN</t>
  </si>
  <si>
    <t>M814848</t>
  </si>
  <si>
    <t>JPORRAZ.LAVARIEGA@BBVA.COM</t>
  </si>
  <si>
    <t>MARTINEZ NAVARRO HECTOR RODRIGO</t>
  </si>
  <si>
    <t>MB64326</t>
  </si>
  <si>
    <t>HECTORRODRIGO.MARTINEZ@BBVA.COM</t>
  </si>
  <si>
    <t>VELAZQUEZ VERDEJA JORGE SAHIB</t>
  </si>
  <si>
    <t>MB14970</t>
  </si>
  <si>
    <t>JORGESAHIB.VELAZQUEZ@BBVA.COM</t>
  </si>
  <si>
    <t>ROMERO SUAREZ JUAN XAVIER</t>
  </si>
  <si>
    <t>M75980</t>
  </si>
  <si>
    <t>JX.ROMERO@BBVA.COM</t>
  </si>
  <si>
    <t>RAMIREZ DELGADO DAVID</t>
  </si>
  <si>
    <t>MB81639</t>
  </si>
  <si>
    <t>DAVID.RAMIREZ.DELGADO@BBVA.COM</t>
  </si>
  <si>
    <t>FUENTES DE MARIA CASTILLO MARCO ANTONIO</t>
  </si>
  <si>
    <t>M75292</t>
  </si>
  <si>
    <t>MA.FUENTESDEMARIA@BBVA.COM</t>
  </si>
  <si>
    <t>RAMOS LOPEZ ERNESTO</t>
  </si>
  <si>
    <t>MB79565</t>
  </si>
  <si>
    <t>ernesto.ramos@bbva.com</t>
  </si>
  <si>
    <t>AYALA CARDENAS OMAR JESUS</t>
  </si>
  <si>
    <t>MB70029</t>
  </si>
  <si>
    <t>OMARJESUS.AYALA@BBVA.COM</t>
  </si>
  <si>
    <t>ORTIZ RANGEL HECTOR MIGUEL</t>
  </si>
  <si>
    <t>MB31586</t>
  </si>
  <si>
    <t>HECTORMIGUEL.ORTIZ@BBVA.COM</t>
  </si>
  <si>
    <t>DURAN AGUILAR JUAN CARLOS</t>
  </si>
  <si>
    <t>MB65917</t>
  </si>
  <si>
    <t>JUANCARLOS.DURAN@BBVA.COM</t>
  </si>
  <si>
    <t>DE LEON PALACIOS KARINA ITZELT</t>
  </si>
  <si>
    <t>MB79313</t>
  </si>
  <si>
    <t>KARINAITZELT.DELEON@BBVA.COM</t>
  </si>
  <si>
    <t>LOPEZ GARCIA MIGUEL ANGEL</t>
  </si>
  <si>
    <t>M900447</t>
  </si>
  <si>
    <t>MIGUEL.LOPEZG@BBVA.COM</t>
  </si>
  <si>
    <t>ORTEGA ULLOA GERARDO</t>
  </si>
  <si>
    <t>MB69002</t>
  </si>
  <si>
    <t>GERARDO.ORTEGA.ULLOA@BBVA.COM</t>
  </si>
  <si>
    <t>GONZALEZ MENDEZ LETICIA SIGRID</t>
  </si>
  <si>
    <t>LS.GONZALEZ@BBVA.COM</t>
  </si>
  <si>
    <t>LARA MENDEZ ALICIA DE JESUS</t>
  </si>
  <si>
    <t>M907380</t>
  </si>
  <si>
    <t>ALICIA.LARA@BBVA.COM</t>
  </si>
  <si>
    <t>VELAZQUEZ LOPEZ LIZBETH</t>
  </si>
  <si>
    <t>MB56295</t>
  </si>
  <si>
    <t>LIZBETH.VELAZQUEZ@BBVA.COM</t>
  </si>
  <si>
    <t>RETA MARTINEZ LISSETH ALEJANDRA</t>
  </si>
  <si>
    <t>MB10086</t>
  </si>
  <si>
    <t>LISSETH.RETA@BBVA.COM</t>
  </si>
  <si>
    <t>PALAFOX ROSAS MA TERESA FRANCISCA</t>
  </si>
  <si>
    <t>M8505</t>
  </si>
  <si>
    <t>T.PALAFOX@BBVA.COM</t>
  </si>
  <si>
    <t>AVILES GARCIA CARLOS</t>
  </si>
  <si>
    <t>MB54658</t>
  </si>
  <si>
    <t>CARLOS.AVILES@BBVA.COM</t>
  </si>
  <si>
    <t>GARCIA GANDARA FRANCISCO JAVIER</t>
  </si>
  <si>
    <t>MB26588</t>
  </si>
  <si>
    <t>FRANCISCOJAV.GARCIA@BBVA.COM</t>
  </si>
  <si>
    <t>LOPEZ TEJEDA REYNALDO</t>
  </si>
  <si>
    <t>MB30585</t>
  </si>
  <si>
    <t>REYNALDO.LOPEZ@BBVA.COM</t>
  </si>
  <si>
    <t>ANGULO ALCANTARA MARTHA</t>
  </si>
  <si>
    <t>M909266</t>
  </si>
  <si>
    <t>MARTHA.ANGULO@BBVA.COM</t>
  </si>
  <si>
    <t>MENDIOLA CASTILLO SONIA ARIANA</t>
  </si>
  <si>
    <t>MB64871</t>
  </si>
  <si>
    <t>SONIAARIANA.MENDIOLA@BBVA.COM</t>
  </si>
  <si>
    <t>GARCIA VIDAL ERIKA MARCELA</t>
  </si>
  <si>
    <t>MB68005</t>
  </si>
  <si>
    <t>ERIKAMARCELA.GARCIA@BBVA.COM</t>
  </si>
  <si>
    <t>LOPEZ MORENO MONICA</t>
  </si>
  <si>
    <t>M.LOPEZ17@BBVA.COM</t>
  </si>
  <si>
    <t>AROS TORRES ALAN RUBEN</t>
  </si>
  <si>
    <t>MB62500</t>
  </si>
  <si>
    <t>ALANRUBEN.AROS@BBVA.COM</t>
  </si>
  <si>
    <t>BANOS GOMEZ LUIS GERARDO</t>
  </si>
  <si>
    <t>MB66449</t>
  </si>
  <si>
    <t>LUISGERARDO.BANOS@BBVA.COM</t>
  </si>
  <si>
    <t>GUTIERREZ CEJA SERGIO ENRIQUE</t>
  </si>
  <si>
    <t>MB54722</t>
  </si>
  <si>
    <t>SERGIOENRIQUE.GUTIERREZ@BBVA.COM</t>
  </si>
  <si>
    <t>OCHOA TOPETE LUIS</t>
  </si>
  <si>
    <t>UA43926</t>
  </si>
  <si>
    <t>LUIS.OCHOA@BBVA.COM</t>
  </si>
  <si>
    <t>ROMERO TORNERO BLANCA ORALIA</t>
  </si>
  <si>
    <t>MB45437</t>
  </si>
  <si>
    <t>BLANCA.ROMERO@BBVA.COM</t>
  </si>
  <si>
    <t>CASTRO CHAVEZ RAUL ADAD</t>
  </si>
  <si>
    <t>MB60892</t>
  </si>
  <si>
    <t>RAULADAD.CASTRO@BBVA.COM</t>
  </si>
  <si>
    <t>CONTRERAS MONTOYA ADRIAN</t>
  </si>
  <si>
    <t>MH01103</t>
  </si>
  <si>
    <t>ADRIAN.CONTRERAS@BBVA.COM</t>
  </si>
  <si>
    <t>REYES MUNIZ CARLOS ALBERTO</t>
  </si>
  <si>
    <t>MB53680</t>
  </si>
  <si>
    <t>CARLOSALBERTO.REYES.MUNIZ@BBVA.COM</t>
  </si>
  <si>
    <t>VELARDE CURIEL EDGAR</t>
  </si>
  <si>
    <t>MH02753</t>
  </si>
  <si>
    <t>E.VELARDE@BBVA.COM</t>
  </si>
  <si>
    <t>VALENCIA HERRERA ARMANDO</t>
  </si>
  <si>
    <t>MB43154</t>
  </si>
  <si>
    <t>ARMANDO.VALENCIA@BBVA.COM</t>
  </si>
  <si>
    <t>CABRERA MARTINEZ JORGE ALBERTO</t>
  </si>
  <si>
    <t>MA05641</t>
  </si>
  <si>
    <t>JORGEALBERTO.CABRERA@BBVA.COM</t>
  </si>
  <si>
    <t>OCAMPO RULL CINTHYA</t>
  </si>
  <si>
    <t>M913743</t>
  </si>
  <si>
    <t>CINTHYA.OCAMPO@BBVA.COM</t>
  </si>
  <si>
    <t>PALMA ALVAREZ MARTHA ALEJANDRA</t>
  </si>
  <si>
    <t>MB21723</t>
  </si>
  <si>
    <t>MARTHAALEJAN.PALMA@BBVA.COM</t>
  </si>
  <si>
    <t>VALERIANO GOMEZ ELENA OLIMPIA</t>
  </si>
  <si>
    <t>MB57139</t>
  </si>
  <si>
    <t>ELENAOLIMPIA.VALERIANO.GOMEZ@BBVA.COM</t>
  </si>
  <si>
    <t>RODRIGUEZ PARRA ISABEL CRISTINA</t>
  </si>
  <si>
    <t>MB81236</t>
  </si>
  <si>
    <t>ISABELCRISTINA.RODRIGUEZ.PARR@BBVA.COM</t>
  </si>
  <si>
    <t>BLANCAS ROSAS MARIA TERESA</t>
  </si>
  <si>
    <t>MB30258</t>
  </si>
  <si>
    <t>MARIATERESA.BLANCAS@BBVA.COM</t>
  </si>
  <si>
    <t>MIRANDA QUEREA DALILA</t>
  </si>
  <si>
    <t>MB23783</t>
  </si>
  <si>
    <t>DALILA.MIRANDA@BBVA.COM</t>
  </si>
  <si>
    <t>RODRIGUEZ MEDINA ANGEL ARTURO</t>
  </si>
  <si>
    <t>MB65447</t>
  </si>
  <si>
    <t>ANGELARTURO.RODRIGUEZ.MEDINA@BBVA.COM</t>
  </si>
  <si>
    <t>CAZARES FRUTOS ZUGEYRI NOEMI</t>
  </si>
  <si>
    <t>MH03337</t>
  </si>
  <si>
    <t>RODRIGUEZ FERNANDEZ MARIA ALEJANDRA</t>
  </si>
  <si>
    <t>M34617</t>
  </si>
  <si>
    <t>MARIAALEJANDRA.RODRIGUEZ.1@BBVA.COM</t>
  </si>
  <si>
    <t>VILLA BELMONT ROSA ICELA</t>
  </si>
  <si>
    <t>M34458</t>
  </si>
  <si>
    <t>ROSA.VILLAB@BBVA.COM</t>
  </si>
  <si>
    <t>ALVAREZ NINO OMAR</t>
  </si>
  <si>
    <t>MB65446</t>
  </si>
  <si>
    <t>OMAR.ALVAREZ.NINO@BBVA.COM</t>
  </si>
  <si>
    <t>GARCIA GODINEZ ROSAURA</t>
  </si>
  <si>
    <t>M816591</t>
  </si>
  <si>
    <t>ROSAURA.GARCIA.1@BBVA.COM</t>
  </si>
  <si>
    <t>MACIAS ORTIZ ANNALI NOHEMI</t>
  </si>
  <si>
    <t>MB66296</t>
  </si>
  <si>
    <t>ANNALINOHEMI.MACIAS.ORTIZ@BBVA.COM</t>
  </si>
  <si>
    <t>VILLEGAS MORALES GUILLERMINA</t>
  </si>
  <si>
    <t>MB65465</t>
  </si>
  <si>
    <t>GUILLERMINA.VILLEGAS@BBVA.COM</t>
  </si>
  <si>
    <t>RAMOS ALMAZO LEONOR EDITH</t>
  </si>
  <si>
    <t>MH00100</t>
  </si>
  <si>
    <t>L.RAMOS@BBVA.COM</t>
  </si>
  <si>
    <t>SALAZAR SAENZ MARTHA ALICIA</t>
  </si>
  <si>
    <t>MB65466</t>
  </si>
  <si>
    <t>MARTHAALICIA.SALAZAR.SAENZ@BBVA.COM</t>
  </si>
  <si>
    <t>CASSO CUEVAS GRISELDA ELIZABETH</t>
  </si>
  <si>
    <t>MB65456</t>
  </si>
  <si>
    <t>GRISELDA.CASSO@BBVA.COM</t>
  </si>
  <si>
    <t>MARTINEZ MEDINA IRAIS XAGNITTE</t>
  </si>
  <si>
    <t>M913275</t>
  </si>
  <si>
    <t>IRAIS.MARTINEZ@BBVA.COM</t>
  </si>
  <si>
    <t>NARANJO CARRASCO JAVIER</t>
  </si>
  <si>
    <t>J.NARANJO@BBVA.COM</t>
  </si>
  <si>
    <t>SANDOVAL ROJAS RODRIGO DAVID</t>
  </si>
  <si>
    <t>MB81270</t>
  </si>
  <si>
    <t>RODRIGO.SANDOVAL@BBVA.COM</t>
  </si>
  <si>
    <t>REYES CASILLAS JOSE EDUARDO</t>
  </si>
  <si>
    <t>JOSEEDUARDO.REYES@BBVA.COM</t>
  </si>
  <si>
    <t>PEREZ ROMAN JUAN CARLOS</t>
  </si>
  <si>
    <t>MB03080</t>
  </si>
  <si>
    <t>JC.PEREZROMAN@BBVA.COM</t>
  </si>
  <si>
    <t>RUIZ LOPEZ IVAN OMAR</t>
  </si>
  <si>
    <t>MH02853</t>
  </si>
  <si>
    <t>I.RUIZ@BBVA.COM</t>
  </si>
  <si>
    <t>MARTIN DEL CAMPO MENA RAFAEL</t>
  </si>
  <si>
    <t>M902985</t>
  </si>
  <si>
    <t>RAFAEL.MARTINDELC@BBVA.COM</t>
  </si>
  <si>
    <t>MEDINA RODRIGUEZ GERARDO MARTIN</t>
  </si>
  <si>
    <t>MA05649</t>
  </si>
  <si>
    <t>GERARDO.MEDINA@BBVA.COM</t>
  </si>
  <si>
    <t>RODRIGUEZ MAURI LEON FERNANDO</t>
  </si>
  <si>
    <t>M50848</t>
  </si>
  <si>
    <t>LEON.RODRIGUEZ@BBVA.COM</t>
  </si>
  <si>
    <t>HERNANDEZ VARGAS JOSE DANIEL</t>
  </si>
  <si>
    <t>MB65003</t>
  </si>
  <si>
    <t>JOSEDANIEL.HERNANDEZ.VARGAS@BBVA.COM</t>
  </si>
  <si>
    <t>PRADO MANON KARINA MACHINTZA</t>
  </si>
  <si>
    <t>MB65445</t>
  </si>
  <si>
    <t>KARINAMACHINTZA.PRADO.MANON@BBVA.COM</t>
  </si>
  <si>
    <t>JEREZ ARMENDARIZ ARTURO AUGUSTO</t>
  </si>
  <si>
    <t>MB65440</t>
  </si>
  <si>
    <t>ARTUROAUGUSTO.JEREZ@BBVA.COM</t>
  </si>
  <si>
    <t>FLORES AGUILAR LUISA CRISTINA</t>
  </si>
  <si>
    <t>MB66123</t>
  </si>
  <si>
    <t>LUISACRISTINA.FLORES@BBVA.COM</t>
  </si>
  <si>
    <t>LOYA ALMADA PEDRO MARTIN</t>
  </si>
  <si>
    <t>M341451</t>
  </si>
  <si>
    <t>PEDRO.LOYA@BBVA.COM</t>
  </si>
  <si>
    <t>ZAMORA ALBA SANDRA MARISOL</t>
  </si>
  <si>
    <t>MB65450</t>
  </si>
  <si>
    <t>SANDRAMARISOL.ZAMORA.ALBA@BBVA.COM</t>
  </si>
  <si>
    <t>ZENDEJAS ROBLES DIEGO</t>
  </si>
  <si>
    <t>MB65467</t>
  </si>
  <si>
    <t>DIEGO.ZENDEJAS.ROBLES@BBVA.COM</t>
  </si>
  <si>
    <t>DELGADO SANDOVAL JAIME</t>
  </si>
  <si>
    <t>MB65471</t>
  </si>
  <si>
    <t>JAIME.DELGADO2@BBVA.COM</t>
  </si>
  <si>
    <t>GONZALEZ ORTIZ OSCAR ALEJANDRO</t>
  </si>
  <si>
    <t>MB65441</t>
  </si>
  <si>
    <t>OSCARALEJANDRO.GONZALEZ@BBVA.COM</t>
  </si>
  <si>
    <t>AGUERO MIRANDA ALEJANDRO</t>
  </si>
  <si>
    <t>MB64906</t>
  </si>
  <si>
    <t>ALEJANDRO.AGUERO@BBVA.COM</t>
  </si>
  <si>
    <t>BALDERRAMA ALCANTAR DANIELA ALICIA</t>
  </si>
  <si>
    <t>MB58236</t>
  </si>
  <si>
    <t>DANIELAALICIA.BALDERRAMA@BBVA.COM</t>
  </si>
  <si>
    <t>CONTRERAS SALAS LAURO ANTONIO</t>
  </si>
  <si>
    <t>MB65500</t>
  </si>
  <si>
    <t>LAUROANTONIO.CONTRERAS@BBVA.COM</t>
  </si>
  <si>
    <t>ALMARAZ MONTESINOS MARIA BELEM</t>
  </si>
  <si>
    <t>MB65436</t>
  </si>
  <si>
    <t>MARIABELEM.ALMARAZ@BBVA.COM</t>
  </si>
  <si>
    <t>GARCIA ZUNIGA ANDRES ARMANDO</t>
  </si>
  <si>
    <t>MB65437</t>
  </si>
  <si>
    <t>ANDRESARMANDO.GARCIA@BBVA.COM</t>
  </si>
  <si>
    <t>ALANIS GONZALEZ MARGARITO</t>
  </si>
  <si>
    <t>MB75669</t>
  </si>
  <si>
    <t>MARGARITO.ALANIS@BBVA.COM</t>
  </si>
  <si>
    <t>ORTEGON ORTEGA JOSE ENRIQUE</t>
  </si>
  <si>
    <t>MB65443</t>
  </si>
  <si>
    <t>JOSEENRIQUE.ORTEGA@BBVA.COM</t>
  </si>
  <si>
    <t>GARCIA PEREZ LUIS ALBERTO</t>
  </si>
  <si>
    <t>MA06354</t>
  </si>
  <si>
    <t>LUISALBERTO.GARCIA2@BBVA.COM</t>
  </si>
  <si>
    <t>ALBERTO NIETO BAYONA</t>
  </si>
  <si>
    <t>GONZALEZ CORDOVA VELIA ELIZABETH</t>
  </si>
  <si>
    <t>M31530</t>
  </si>
  <si>
    <t>VELIA.GONZALEZ.1@BBVA.COM</t>
  </si>
  <si>
    <t>BAUTISTA SALAZAR LEONARDO</t>
  </si>
  <si>
    <t>L.BAUTISTA@BBVA.COM</t>
  </si>
  <si>
    <t>SAINT REQUIER X JULIEN PIERRE</t>
  </si>
  <si>
    <t>MB37905</t>
  </si>
  <si>
    <t>JULIEN.SAINT-REQUIER@BBVA.COM</t>
  </si>
  <si>
    <t>EGUILUZ LOZANO ALEJANDRA</t>
  </si>
  <si>
    <t>MB09893</t>
  </si>
  <si>
    <t>ALEJANDRA.EGUILUZ@BBVA.COM</t>
  </si>
  <si>
    <t>MUJICA GARCIA JESUS DANIEL</t>
  </si>
  <si>
    <t>MB84515</t>
  </si>
  <si>
    <t>JESUSDANIEL.MUJICA@BBVA.COM</t>
  </si>
  <si>
    <t>LUNA GIL ARACELI</t>
  </si>
  <si>
    <t>M57954</t>
  </si>
  <si>
    <t>ARACELI.LUNA@BBVA.COM</t>
  </si>
  <si>
    <t>GARCIA MONROY TANIA BEATRIZ</t>
  </si>
  <si>
    <t>mb74807</t>
  </si>
  <si>
    <t>taniabeatriz.garcia@bbva.com</t>
  </si>
  <si>
    <t>ROBLES MALDONADO DIANA GABRIELA</t>
  </si>
  <si>
    <t>MB10837</t>
  </si>
  <si>
    <t>DIANA.ROBLES@BBVA.COM</t>
  </si>
  <si>
    <t>CADENA RODRIGUEZ MAURICIO</t>
  </si>
  <si>
    <t>MB10829</t>
  </si>
  <si>
    <t>MAURICIO.CADENA@BBVA.COM</t>
  </si>
  <si>
    <t>GARCIA GUTIERREZ MAURICIO</t>
  </si>
  <si>
    <t>MB54557</t>
  </si>
  <si>
    <t>MAURICIO.GARCIA.GUTIERREZ@BBVA.COM</t>
  </si>
  <si>
    <t>LUGO ESPINO CINTHYA NALLELI</t>
  </si>
  <si>
    <t>MB13955</t>
  </si>
  <si>
    <t>CINTHYANALLE.LUGO@BBVA.COM</t>
  </si>
  <si>
    <t>SANCHEZ GOMEZ FERNANDO</t>
  </si>
  <si>
    <t>MA30938</t>
  </si>
  <si>
    <t>FERNANDO.SANCHEZ@BBVA.COM</t>
  </si>
  <si>
    <t>CORREA BOLIO KARLA</t>
  </si>
  <si>
    <t>M77747</t>
  </si>
  <si>
    <t>K.CORREA@BBVA.COM</t>
  </si>
  <si>
    <t>MANSUR SALAZAR CARLOS FEDERICO</t>
  </si>
  <si>
    <t>M844492</t>
  </si>
  <si>
    <t>C.MANSURS@BBVA.COM</t>
  </si>
  <si>
    <t>ESTRADA AGUILAR MIRIAM PATRICIA</t>
  </si>
  <si>
    <t>MB33770</t>
  </si>
  <si>
    <t>MIRIAMPATRICIA.ESTRADA@BBVA.COM</t>
  </si>
  <si>
    <t>PAREDES ARROYO ANA LAURA</t>
  </si>
  <si>
    <t>MB05452</t>
  </si>
  <si>
    <t>ANA.PAREDES.1@BBVA.COM</t>
  </si>
  <si>
    <t>FERNANDEZ REGULES GUILLERMO</t>
  </si>
  <si>
    <t>MB44861</t>
  </si>
  <si>
    <t>GUILLERMO.FERNANDEZ.REGULES@BBVA.COM</t>
  </si>
  <si>
    <t>NARANJO GARCIA JOSE MARTIN</t>
  </si>
  <si>
    <t>M406823</t>
  </si>
  <si>
    <t>JOSEMARTIN.NARANJO@BBVA.COM</t>
  </si>
  <si>
    <t>RIVAS TINAJERO ROCIO</t>
  </si>
  <si>
    <t>MB68822</t>
  </si>
  <si>
    <t>ROCIO.RIVAS.TINAJERO@BBVA.COM</t>
  </si>
  <si>
    <t>BERMUDEZ ARMENTA OSCAR</t>
  </si>
  <si>
    <t>M240258</t>
  </si>
  <si>
    <t>O.BERMUDEZ@BBVA.COM</t>
  </si>
  <si>
    <t>LOYO GUERRERO NANCY COREY</t>
  </si>
  <si>
    <t>MB05455</t>
  </si>
  <si>
    <t>NANCY.LOYO@BBVA.COM</t>
  </si>
  <si>
    <t>VARGAS AGUILAR MARIA DENISSE</t>
  </si>
  <si>
    <t>M844493</t>
  </si>
  <si>
    <t>MARIADENISSE.VARGAS@BBVA.COM</t>
  </si>
  <si>
    <t>UVERA ENRIQUEZ ANA ELENA</t>
  </si>
  <si>
    <t>M844910</t>
  </si>
  <si>
    <t>A.UVERAE@BBVA.COM</t>
  </si>
  <si>
    <t>MARTINEZ DOMINGUEZ JOSE NICOLAS</t>
  </si>
  <si>
    <t>M283159</t>
  </si>
  <si>
    <t>JN.MARTINEZ@BBVA.COM</t>
  </si>
  <si>
    <t>YEPEZ CAMPOS MARTIN</t>
  </si>
  <si>
    <t>M4747</t>
  </si>
  <si>
    <t>M.YEPEZ@BBVA.COM</t>
  </si>
  <si>
    <t>NUNEZ ARRIETA FLAVIA DANIELA</t>
  </si>
  <si>
    <t>MB57658</t>
  </si>
  <si>
    <t>FLAVIADANIELA.NUNEZ@BBVA.COM</t>
  </si>
  <si>
    <t>LABORDE LAFUENTE JOSE CARLOS</t>
  </si>
  <si>
    <t>MB66260</t>
  </si>
  <si>
    <t>JOSECARLOS.LABORDE@BBVA.COM</t>
  </si>
  <si>
    <t>VELAZQUEZ CERCADO DAVID</t>
  </si>
  <si>
    <t>M839111</t>
  </si>
  <si>
    <t>DAVID.VELAZQUEZC@BBVA.COM</t>
  </si>
  <si>
    <t>ZAVALA HERNANDEZ ROBERTO</t>
  </si>
  <si>
    <t>M839164</t>
  </si>
  <si>
    <t>ROBERTO.ZAVALA@BBVA.COM</t>
  </si>
  <si>
    <t>MEDELLIN ESPINOSA IGNACIO</t>
  </si>
  <si>
    <t>M9277</t>
  </si>
  <si>
    <t>IGNACIO.MEDELLIN@BBVA.COM</t>
  </si>
  <si>
    <t>GARCIA PONCE DIANA ELIZABETH</t>
  </si>
  <si>
    <t>MB53771</t>
  </si>
  <si>
    <t>DIANAELIZABETH.GARCIA@BBVA.COM</t>
  </si>
  <si>
    <t>RIVERA ZARATE JESUS EDUARDO</t>
  </si>
  <si>
    <t>MB59088</t>
  </si>
  <si>
    <t>JESUSEDUARDO.RIVERA@BBVA.COM</t>
  </si>
  <si>
    <t>RAMIREZ GODINEZ CLAUDIA EVELYN</t>
  </si>
  <si>
    <t>MB70931</t>
  </si>
  <si>
    <t>CLAUDIAEVELYN.RAMIREZ@BBVA.COM</t>
  </si>
  <si>
    <t>AGUIRRE PONCE DE LEON VICTOR HUGO</t>
  </si>
  <si>
    <t>MB67289</t>
  </si>
  <si>
    <t>VICTORHUGO.AGUIRRE@BBVA.COM</t>
  </si>
  <si>
    <t>WALDO JIMENEZ LUIS NEZAHUALPILI</t>
  </si>
  <si>
    <t>MB75811</t>
  </si>
  <si>
    <t>LUISNEZAHUALPILI.WALDO@BBVA.COM</t>
  </si>
  <si>
    <t>REYES MORALES GABRIEL</t>
  </si>
  <si>
    <t>M283665</t>
  </si>
  <si>
    <t>GABRIEL.REYES@BBVA.COM</t>
  </si>
  <si>
    <t>MENDOZA RAMIREZ RUBEN ALFONSO</t>
  </si>
  <si>
    <t>M38637</t>
  </si>
  <si>
    <t>RALFONSO.MENDOZA@BBVA.COM</t>
  </si>
  <si>
    <t>ZAMARRIPA SANCHEZ LUIS ALBERTO</t>
  </si>
  <si>
    <t>MH03689</t>
  </si>
  <si>
    <t>LUIS.ZAMARRIPA@BBVA.COM</t>
  </si>
  <si>
    <t>REYNOSO VALLECILLO SEBASTIAN ALFREDO</t>
  </si>
  <si>
    <t>M56126</t>
  </si>
  <si>
    <t>ALFREDO.REYNOSO@BBVA.COM</t>
  </si>
  <si>
    <t>GONZALEZ MARTIN ANA GABRIELA</t>
  </si>
  <si>
    <t>M913332</t>
  </si>
  <si>
    <t>ANA.GONZALEZ.3@BBVA.COM</t>
  </si>
  <si>
    <t>NAVARRETE LOPEZ MACIEL</t>
  </si>
  <si>
    <t>MB58562</t>
  </si>
  <si>
    <t>MACIEL.NAVARRETE@BBVA.COM</t>
  </si>
  <si>
    <t>GARCIA SOLIS OMAR</t>
  </si>
  <si>
    <t>M910540</t>
  </si>
  <si>
    <t>OMAR.GARCIA.4@BBVA.COM</t>
  </si>
  <si>
    <t>FERNANDEZ GONZALEZ RAUL ALBERTO</t>
  </si>
  <si>
    <t>MB36408</t>
  </si>
  <si>
    <t>RAULALBERTO.FERNANDEZ@BBVA.COM</t>
  </si>
  <si>
    <t>GONZALEZ TREJO RAUL</t>
  </si>
  <si>
    <t>M191360</t>
  </si>
  <si>
    <t>R.GONZALEZ16@BBVA.COM</t>
  </si>
  <si>
    <t>REYES MARTINEZ SUSANA DALILA</t>
  </si>
  <si>
    <t>MB00767</t>
  </si>
  <si>
    <t>SUSANA.REYESM@BBVA.COM</t>
  </si>
  <si>
    <t>SANCHEZ RANGEL MONICA</t>
  </si>
  <si>
    <t>MB63893</t>
  </si>
  <si>
    <t>MONICA.SANCHEZ.RANGEL@BBVA.COM</t>
  </si>
  <si>
    <t>ALVAREZ MARTINEZ GABRIELA</t>
  </si>
  <si>
    <t>MB58084</t>
  </si>
  <si>
    <t>GABRIELA.ALVAREZ.MARTINEZ@BBVA.COM</t>
  </si>
  <si>
    <t>CUEVAS RIOS GERARDO</t>
  </si>
  <si>
    <t>MB06086</t>
  </si>
  <si>
    <t>GERARDO.CUEVAS@BBVA.COM</t>
  </si>
  <si>
    <t>TREJO ARMENTA ANGEL</t>
  </si>
  <si>
    <t>M903551</t>
  </si>
  <si>
    <t>ANGEL.TREJO@BBVA.COM</t>
  </si>
  <si>
    <t>VERA VEGA SOFIA</t>
  </si>
  <si>
    <t>M841569</t>
  </si>
  <si>
    <t>S.VERA@BBVA.COM</t>
  </si>
  <si>
    <t>MONTANO PENA JOSE DANIEL</t>
  </si>
  <si>
    <t>MB05464</t>
  </si>
  <si>
    <t>JOSEDANIEL.MONTANO@BBVA.COM</t>
  </si>
  <si>
    <t>TELLEZ GARCIA LORENA GUADALUPE</t>
  </si>
  <si>
    <t>MB40607</t>
  </si>
  <si>
    <t>LORENAGUADALUPE.TELLEZ@BBVA.COM</t>
  </si>
  <si>
    <t>VELAZQUEZ IBARRA ANGEL</t>
  </si>
  <si>
    <t>M54902</t>
  </si>
  <si>
    <t>A.VELAZQUEZ4@BBVA.COM</t>
  </si>
  <si>
    <t>ALVAREZ RAMOS ALEJANDRO</t>
  </si>
  <si>
    <t>MH03454</t>
  </si>
  <si>
    <t>ALEJANDRO.ALVAREZ.2@BBVA.COM</t>
  </si>
  <si>
    <t>BRIONES MORENO CARLA JANETH</t>
  </si>
  <si>
    <t>MB34658</t>
  </si>
  <si>
    <t>CARLAJANETH.BRIONES@BBVA.COM</t>
  </si>
  <si>
    <t>BONIFACIO RUIZ QUISAY</t>
  </si>
  <si>
    <t>M8155</t>
  </si>
  <si>
    <t>QUISAY@BBVA.COM</t>
  </si>
  <si>
    <t>CASTANEDA ALVAREZ LUIS ROBERTO</t>
  </si>
  <si>
    <t>M292470</t>
  </si>
  <si>
    <t>LUIS.CASTANEDA@BBVA.COM</t>
  </si>
  <si>
    <t>GONZALEZ PEREZ RURI</t>
  </si>
  <si>
    <t>M12419</t>
  </si>
  <si>
    <t>RURI.GONZALEZ@BBVA.COM</t>
  </si>
  <si>
    <t>CERVANTES VELAZQUEZ INOCENCIO</t>
  </si>
  <si>
    <t>M12440</t>
  </si>
  <si>
    <t>INOCENCIO.CERVANTES@BBVA.COM</t>
  </si>
  <si>
    <t>HERNANDEZ LEYVA CRISTOBAL</t>
  </si>
  <si>
    <t>M441332</t>
  </si>
  <si>
    <t>C.HERNANDEZL@BBVA.COM</t>
  </si>
  <si>
    <t>NAVARRETE RODRIGUEZ CARLOS</t>
  </si>
  <si>
    <t>M51956</t>
  </si>
  <si>
    <t>C.NAVARRETE@BBVA.COM</t>
  </si>
  <si>
    <t>CAMACHO CORONA JOSE</t>
  </si>
  <si>
    <t>M823671</t>
  </si>
  <si>
    <t>J.CAMACHO2@BBVA.COM</t>
  </si>
  <si>
    <t>PALAZUELOS URIAS MARISOL</t>
  </si>
  <si>
    <t>M825369</t>
  </si>
  <si>
    <t>M.PALAZUELOS@BBVA.COM</t>
  </si>
  <si>
    <t>MERA JARERO DANIELA</t>
  </si>
  <si>
    <t>MB05446</t>
  </si>
  <si>
    <t>DANIELA.MERA@BBVA.COM</t>
  </si>
  <si>
    <t>MARTINEZ MARTINEZ MIGUEL ANGEL</t>
  </si>
  <si>
    <t>MB36262</t>
  </si>
  <si>
    <t>MIGUELANGEL.MARTINEZ.MARTINEZ@BBVA.COM</t>
  </si>
  <si>
    <t>CARRETO RODRIGUEZ ANGEL ULISES</t>
  </si>
  <si>
    <t>MB58677</t>
  </si>
  <si>
    <t>ANGELULISES.CARRETO@BBVA.COM</t>
  </si>
  <si>
    <t>PANTOJA BARBA JOSE ALBERTO</t>
  </si>
  <si>
    <t>M125179</t>
  </si>
  <si>
    <t>JA.PANTOJA@BBVA.COM</t>
  </si>
  <si>
    <t>RODRIGUEZ VALENZUELA MARCO ANTONIO</t>
  </si>
  <si>
    <t>M113760</t>
  </si>
  <si>
    <t>MARCO.RODRIGUEZ@BBVA.COM</t>
  </si>
  <si>
    <t>ORTIZ SANJUAN EDMUNDO DANIEL</t>
  </si>
  <si>
    <t>M825017</t>
  </si>
  <si>
    <t>EDMUNDO.ORTIZ@BBVA.COM</t>
  </si>
  <si>
    <t>RUAN RIVERA RICARDO</t>
  </si>
  <si>
    <t>M819869</t>
  </si>
  <si>
    <t>RICARDO.RUAN@BBVA.COM</t>
  </si>
  <si>
    <t>ROMERO DAVILA BIANCA</t>
  </si>
  <si>
    <t>MB44777</t>
  </si>
  <si>
    <t>BIANCA.ROMERO@BBVA.COM</t>
  </si>
  <si>
    <t>HUERTA MONROY JUAN</t>
  </si>
  <si>
    <t>M212648</t>
  </si>
  <si>
    <t>J.HUERTA@BBVA.COM</t>
  </si>
  <si>
    <t>SCHMIDT RAMIREZ MARIO</t>
  </si>
  <si>
    <t>MB05434</t>
  </si>
  <si>
    <t>MARIO.SCHMIDT@BBVA.COM</t>
  </si>
  <si>
    <t>SOLIS ROMANO MARIA CECILIA</t>
  </si>
  <si>
    <t>MB04539</t>
  </si>
  <si>
    <t>MARIACECILIA.SOLIS@BBVA.COM</t>
  </si>
  <si>
    <t>TIRADO GAXIOLA ANABELLA</t>
  </si>
  <si>
    <t>MB05466</t>
  </si>
  <si>
    <t>ANABELLA.TIRADO@BBVA.COM</t>
  </si>
  <si>
    <t>CASTILLO TRUCIOS MARTHA ISABEL</t>
  </si>
  <si>
    <t>MB41950</t>
  </si>
  <si>
    <t>MARTHAISABEL.CASTILLO@BBVA.COM</t>
  </si>
  <si>
    <t>ARANDA BRETON EVERARDO</t>
  </si>
  <si>
    <t>MB60961</t>
  </si>
  <si>
    <t>EVERARDO.ARANDA@BBVA.COM</t>
  </si>
  <si>
    <t>HERNANDEZ RUBIO JAIME ALBERTO</t>
  </si>
  <si>
    <t>MB19764</t>
  </si>
  <si>
    <t>JAIME.HERNANDEZ.3@BBVA.COM</t>
  </si>
  <si>
    <t>VARGAS MENDIOLA JUAN ANTONIO</t>
  </si>
  <si>
    <t>MB61387</t>
  </si>
  <si>
    <t>JUANANTONIO.VARGAS.MENDIOLA@BBVA.COM</t>
  </si>
  <si>
    <t>ARELLANO CHAVEZ ABEL</t>
  </si>
  <si>
    <t>M403820</t>
  </si>
  <si>
    <t>A.ARELLANO@BBVA.COM</t>
  </si>
  <si>
    <t>LOPEZ CAMPOS VIOLETA LAURA</t>
  </si>
  <si>
    <t>M845383</t>
  </si>
  <si>
    <t>V.LOPEZC@BBVA.COM</t>
  </si>
  <si>
    <t>LUCIO DAVILA HUMBERTO</t>
  </si>
  <si>
    <t>M525786</t>
  </si>
  <si>
    <t>HUMBERTO.LUCIO@BBVA.COM</t>
  </si>
  <si>
    <t>CASTILLO PEREZ JOSE FRANCISCO</t>
  </si>
  <si>
    <t>M62389</t>
  </si>
  <si>
    <t>JF.CASTILLO@BBVA.COM</t>
  </si>
  <si>
    <t>ESCAMILLA ESCAMILLA JESUS HECTOR</t>
  </si>
  <si>
    <t>M523746</t>
  </si>
  <si>
    <t>JH.ESCAMILLA1@BBVA.COM</t>
  </si>
  <si>
    <t>RUBIO DELGADILLO JESUS</t>
  </si>
  <si>
    <t>M62314</t>
  </si>
  <si>
    <t>JESUS.RUBIO@BBVA.COM</t>
  </si>
  <si>
    <t>REYNA GAMBOA ELVIA</t>
  </si>
  <si>
    <t>M9017</t>
  </si>
  <si>
    <t>E.REYNA@BBVA.COM</t>
  </si>
  <si>
    <t>QUISTIAN PEREZ THELMA KATIA</t>
  </si>
  <si>
    <t>MB77205</t>
  </si>
  <si>
    <t>THELMAKATIA.QUISTIAN@BBVA.COM</t>
  </si>
  <si>
    <t>SALINAS RODRIGUEZ MARTHA DEYANIRA</t>
  </si>
  <si>
    <t>MB69158</t>
  </si>
  <si>
    <t>MARTHADEYANIRA.SALINAS@BBVA.COM</t>
  </si>
  <si>
    <t>JIMENEZ CELIS GERARDO</t>
  </si>
  <si>
    <t>MB46652</t>
  </si>
  <si>
    <t>GERARDO.JIMENEZ.CELIS@BBVA.COM</t>
  </si>
  <si>
    <t>REYNA RODRIGUEZ RUTH ARIADNA</t>
  </si>
  <si>
    <t>MB81198</t>
  </si>
  <si>
    <t>RUTHARIADNA.REYNA@BBVA.COM</t>
  </si>
  <si>
    <t>GUERRA MARTINEZ HECTOR GERARDO</t>
  </si>
  <si>
    <t>M524149</t>
  </si>
  <si>
    <t>HG.GUERRA@BBVA.COM</t>
  </si>
  <si>
    <t>RODRIGUEZ HERRERA JESSICA KARINA</t>
  </si>
  <si>
    <t>M54353</t>
  </si>
  <si>
    <t>JK.RODRIGUEZ@BBVA.COM</t>
  </si>
  <si>
    <t>SIERES GARCIA JULIO</t>
  </si>
  <si>
    <t>M9445</t>
  </si>
  <si>
    <t>JULIO.SIERES@BBVA.COM</t>
  </si>
  <si>
    <t>MEJIA GARCIA OMAR</t>
  </si>
  <si>
    <t>M82548</t>
  </si>
  <si>
    <t>OMAR.MEJIA@BBVA.COM</t>
  </si>
  <si>
    <t>PARRA CORDOVA LUIS GILBERTO</t>
  </si>
  <si>
    <t>MB07944</t>
  </si>
  <si>
    <t>LUISGILBERTO.PARRA@BBVA.COM</t>
  </si>
  <si>
    <t>SALINAS REYES MARIA DE LOS ANGELES</t>
  </si>
  <si>
    <t>M55948</t>
  </si>
  <si>
    <t>MARIADELOSANGELES.SALINAS@BBVA.COM</t>
  </si>
  <si>
    <t>GOMEZ ROJAS ARIADNA</t>
  </si>
  <si>
    <t>M839981</t>
  </si>
  <si>
    <t>ARIADNA.GOMEZ.2@BBVA.COM</t>
  </si>
  <si>
    <t>CASTILLO BARRERA MARGARITA</t>
  </si>
  <si>
    <t>M56978</t>
  </si>
  <si>
    <t>M.CASTILLOB@BBVA.COM</t>
  </si>
  <si>
    <t>SANCHEZ OCANA EDGAR ALAN</t>
  </si>
  <si>
    <t>M49688</t>
  </si>
  <si>
    <t>EA.SANCHEZ@BBVA.COM</t>
  </si>
  <si>
    <t>ZALDIVAR RUIZ PAULINA</t>
  </si>
  <si>
    <t>M909932</t>
  </si>
  <si>
    <t>PAULINA.ZALDIVAR@BBVA.COM</t>
  </si>
  <si>
    <t>PANIAGUA JUAREZ MARTHA VELIA</t>
  </si>
  <si>
    <t>MB61794</t>
  </si>
  <si>
    <t>MARTHAVELIA.PANIAGUA@BBVA.COM</t>
  </si>
  <si>
    <t>CALECO OSORIO FANNY</t>
  </si>
  <si>
    <t>MB63606</t>
  </si>
  <si>
    <t>FANNY.CALECO@BBVA.COM</t>
  </si>
  <si>
    <t>VARGAS ARROYO GEORGINA</t>
  </si>
  <si>
    <t>M8273</t>
  </si>
  <si>
    <t>GEORGINA.VARGAS@BBVA.COM</t>
  </si>
  <si>
    <t>LEMUS LEAL ESTEBAN MARTIN</t>
  </si>
  <si>
    <t>MB75092</t>
  </si>
  <si>
    <t>ESTEBANMARTIN.LEMUS@BBVA.COM</t>
  </si>
  <si>
    <t>CASTANEDA CASTRO JESUS</t>
  </si>
  <si>
    <t>M34289</t>
  </si>
  <si>
    <t>JESUS.CASTANEDA@BBVA.COM</t>
  </si>
  <si>
    <t>ORTEGA ARREDONDO LEONARDO MANUEL</t>
  </si>
  <si>
    <t>M37031</t>
  </si>
  <si>
    <t>LEONARDO.ORTEGA@BBVA.COM</t>
  </si>
  <si>
    <t>PULIDO VILLASENOR EDGAR RENE</t>
  </si>
  <si>
    <t>M6167</t>
  </si>
  <si>
    <t>EDGAR.PULIDOV@BBVA.COM</t>
  </si>
  <si>
    <t>CAMARA ZARAGOZA JUAN CARLOS</t>
  </si>
  <si>
    <t>MB44652</t>
  </si>
  <si>
    <t>JUANCARLOS.CAMARA@BBVA.COM</t>
  </si>
  <si>
    <t>UZARRAGA GUTIERREZ IGNACIO</t>
  </si>
  <si>
    <t>M49838</t>
  </si>
  <si>
    <t>I.UZARRAGA@BBVA.COM</t>
  </si>
  <si>
    <t>BAEZ CERVANTES CARLOS MARTIN</t>
  </si>
  <si>
    <t>M39472</t>
  </si>
  <si>
    <t>CARLOS.BAEZ@BBVA.COM</t>
  </si>
  <si>
    <t>CHAVEZ SOLIS ADRIANA</t>
  </si>
  <si>
    <t>MB85452</t>
  </si>
  <si>
    <t>GAFFARE MACIAS SAYURI</t>
  </si>
  <si>
    <t>MB48551</t>
  </si>
  <si>
    <t>SAYURI.GAFFARE@BBVA.COM</t>
  </si>
  <si>
    <t>TOUSSAINT MARTINEZ DE CASTRO BERNARDO</t>
  </si>
  <si>
    <t>M100840</t>
  </si>
  <si>
    <t>B.TOUSSAINT@BBVA.COM</t>
  </si>
  <si>
    <t>MARTINEZ MARTINEZ JUAN LUIS</t>
  </si>
  <si>
    <t>M28893</t>
  </si>
  <si>
    <t>JUAN.MARTINEZ.10@BBVA.COM</t>
  </si>
  <si>
    <t>PALACIOS VERA CLAUDIA ANGELICA</t>
  </si>
  <si>
    <t>MB46751</t>
  </si>
  <si>
    <t>CLAUDIAANGELICA.PALACIOS@BBVA.COM</t>
  </si>
  <si>
    <t>ESQUIVEL PEREZ DE LEON JESUS</t>
  </si>
  <si>
    <t>M824238</t>
  </si>
  <si>
    <t>JESUS.ESQUIVEL@BBVA.COM</t>
  </si>
  <si>
    <t>TUZ CORRAL VIANEY</t>
  </si>
  <si>
    <t>M431143</t>
  </si>
  <si>
    <t>VIANEY.TUZ@BBVA.COM</t>
  </si>
  <si>
    <t>MARTINEZ MARTINEZ JAIRO ANTONIO</t>
  </si>
  <si>
    <t>MB39405</t>
  </si>
  <si>
    <t>JAIROANTONIO.MARTINEZ@BBVA.COM</t>
  </si>
  <si>
    <t>PUC RUIZ MAURA ANGELICA</t>
  </si>
  <si>
    <t>M33804</t>
  </si>
  <si>
    <t>MA.PUC@BBVA.COM</t>
  </si>
  <si>
    <t>GONZALEZ ALMANZA DANIEL</t>
  </si>
  <si>
    <t>DANIEL.GONZALEZ.5@BBVA.COM</t>
  </si>
  <si>
    <t>AGONIZANTE HUERTA ELSA VIVIANA</t>
  </si>
  <si>
    <t>MB09577</t>
  </si>
  <si>
    <t>ELSA.AGONIZANTE@BBVA.COM</t>
  </si>
  <si>
    <t>BARRERA ARENAS JUAN MANUEL</t>
  </si>
  <si>
    <t>MB84258</t>
  </si>
  <si>
    <t>JUANMANUEL.BARRERA@BBVA.COM</t>
  </si>
  <si>
    <t>SANDOVAL LOZOYA ADRIANA</t>
  </si>
  <si>
    <t>MH02056</t>
  </si>
  <si>
    <t>A.SANDOVAL@BBVA.COM</t>
  </si>
  <si>
    <t>CRUZ CERON CYNTHIA ITZELL</t>
  </si>
  <si>
    <t>MB65673</t>
  </si>
  <si>
    <t>CYNTHIAITZELL.CRUZ@BBVA.COM</t>
  </si>
  <si>
    <t>CABRERA RAMOS JUAN MANUEL</t>
  </si>
  <si>
    <t>MB84271</t>
  </si>
  <si>
    <t>JUANMANUEL.CABRERA@BBVA.COM</t>
  </si>
  <si>
    <t>PARADA CARMONA ALAN</t>
  </si>
  <si>
    <t>MB12197</t>
  </si>
  <si>
    <t>ALAN.PARADA@BBVA.COM</t>
  </si>
  <si>
    <t>RODRIGUEZ ROJAS FAUSTINO</t>
  </si>
  <si>
    <t>MB64470</t>
  </si>
  <si>
    <t>FAUSTINO.RODRIGUEZ.ROJAS@BBVA.COM</t>
  </si>
  <si>
    <t>VALENTINI REYES VIOLETTE</t>
  </si>
  <si>
    <t>M907893</t>
  </si>
  <si>
    <t>VIOLETTE.VALENTINI@BBVA.COM</t>
  </si>
  <si>
    <t>CABALLERO VAZQUEZ GUILLERMO FERNANDO</t>
  </si>
  <si>
    <t>M51018</t>
  </si>
  <si>
    <t>F.CABALLERO@BBVA.COM</t>
  </si>
  <si>
    <t>RIVERA SANDOVAL GUILLERMO</t>
  </si>
  <si>
    <t>M55240</t>
  </si>
  <si>
    <t>GUILLERMO.RIVERA@BBVA.COM</t>
  </si>
  <si>
    <t>RODA CARRASCO CHRISTOPHER ALFREDO</t>
  </si>
  <si>
    <t>MB67155</t>
  </si>
  <si>
    <t>CHRISTOPHERALFREDO.RODA@BBVA.COM</t>
  </si>
  <si>
    <t>ORNELAS ZAMBRANO MARIANA CATALINA</t>
  </si>
  <si>
    <t>M840926</t>
  </si>
  <si>
    <t>MC.ORNELAS@BBVA.COM</t>
  </si>
  <si>
    <t>MOLLEDA HERNANDEZ LUIS FRANCISCO</t>
  </si>
  <si>
    <t>MB45032</t>
  </si>
  <si>
    <t>LUISFRANCISCO.MOLLEDA@BBVA.COM</t>
  </si>
  <si>
    <t>PELAEZ VAZQUEZ ANTONIO</t>
  </si>
  <si>
    <t>MB58998</t>
  </si>
  <si>
    <t>ANTONIO.PELAEZ@BBVA.COM</t>
  </si>
  <si>
    <t>RENOUD VIRGEN HAZARAEL JESUS</t>
  </si>
  <si>
    <t>MB31068</t>
  </si>
  <si>
    <t>HAZARAELJESUS.RENOUD@BBVA.COM</t>
  </si>
  <si>
    <t>RIVERA GARCIA ORLANDO</t>
  </si>
  <si>
    <t>MB31066</t>
  </si>
  <si>
    <t>ORLANDO.RIVERA@BBVA.COM</t>
  </si>
  <si>
    <t>ESCUDERO IBARRA OCTAVIO</t>
  </si>
  <si>
    <t>MB06564</t>
  </si>
  <si>
    <t>OCTAVIO.ESCUDERO@BBVA.COM</t>
  </si>
  <si>
    <t>HERNANDEZ SANDOVAL MIGUEL ANGEL</t>
  </si>
  <si>
    <t>MB00726</t>
  </si>
  <si>
    <t>MIGUEL.HERNANDEZ.4@BBVA.COM</t>
  </si>
  <si>
    <t>GARCIA DE PRESNO GARCIA MARIA DEL PILAR</t>
  </si>
  <si>
    <t>M822009</t>
  </si>
  <si>
    <t>MARIADELPILAR.GARCIADEPRESNO@BBVA.COM</t>
  </si>
  <si>
    <t>PACHECO DOMINGUEZ MARIA CECILIA</t>
  </si>
  <si>
    <t>M37250</t>
  </si>
  <si>
    <t>MACECILIA.PACHECO@BBVA.COM</t>
  </si>
  <si>
    <t>REYES BASTIDA JULIO CESAR</t>
  </si>
  <si>
    <t>MH03636</t>
  </si>
  <si>
    <t>JULIO.REYES@BBVA.COM</t>
  </si>
  <si>
    <t>NAJERA RODRIGUEZ BENJAMIN ANTONIO</t>
  </si>
  <si>
    <t>MB76685</t>
  </si>
  <si>
    <t>BENJAMINANTONIO.NAJERA@BBVA.COM</t>
  </si>
  <si>
    <t>PREZA MORA JOSE DE JESUS</t>
  </si>
  <si>
    <t>JOSE.PREZA@BBVA.COM</t>
  </si>
  <si>
    <t>VILLANUEVA LEMUS MICHELE</t>
  </si>
  <si>
    <t>MH01066</t>
  </si>
  <si>
    <t>M.VILLANUEVA@BBVA.COM</t>
  </si>
  <si>
    <t>AVENDANO GONZALEZ ALBERTO</t>
  </si>
  <si>
    <t>MH02099</t>
  </si>
  <si>
    <t>ALBERTO.AVENDANO@BBVA.COM</t>
  </si>
  <si>
    <t>SALAZAR CAPISTRAN FERNANDO</t>
  </si>
  <si>
    <t>MH00772</t>
  </si>
  <si>
    <t>FERNANDO.SALAZAR@BBVA.COM</t>
  </si>
  <si>
    <t>LOPEZ ALFARO JOSE ANTONIO</t>
  </si>
  <si>
    <t>MH03138</t>
  </si>
  <si>
    <t>JOSEANTONIO.LOPEZ.1@BBVA.COM</t>
  </si>
  <si>
    <t>GONZALEZ RAMIREZ CONCEPCION ADRIANA</t>
  </si>
  <si>
    <t>MH01460</t>
  </si>
  <si>
    <t>CONCEPCIONAD.GONZALEZ@BBVA.COM</t>
  </si>
  <si>
    <t>MORENO SANCHEZ LUIS MANUEL</t>
  </si>
  <si>
    <t>MH03721</t>
  </si>
  <si>
    <t>LUIS.MORENO@BBVA.COM</t>
  </si>
  <si>
    <t>RAMIREZ RINCON JOSE ESTEBAN</t>
  </si>
  <si>
    <t>M818306</t>
  </si>
  <si>
    <t>ESTEBAN.RAMIREZ@BBVA.COM</t>
  </si>
  <si>
    <t>RUFINO APASEO CECILIA VERONICA</t>
  </si>
  <si>
    <t>MH00522</t>
  </si>
  <si>
    <t>C.RUFINO@BBVA.COM</t>
  </si>
  <si>
    <t>ALQUICIRA JIMENEZ GRECI NABILE</t>
  </si>
  <si>
    <t>MB83625</t>
  </si>
  <si>
    <t>GRECINABILE.ALQUICIRA@BBVA.COM</t>
  </si>
  <si>
    <t>ESTRADA BERNAL PATRICIA</t>
  </si>
  <si>
    <t>MB75096</t>
  </si>
  <si>
    <t>PATRICIA.ESTRADA@BBVA.COM</t>
  </si>
  <si>
    <t>TORICES VIVERO EDGAR ALBERTO</t>
  </si>
  <si>
    <t>MB75179</t>
  </si>
  <si>
    <t>EDGARALBERTO.TORICES@BBVA.COM</t>
  </si>
  <si>
    <t>RAYGOZA MEDINA FRANCISCO JAVIER</t>
  </si>
  <si>
    <t>MH01858</t>
  </si>
  <si>
    <t>F.RAYGOZA@BBVA.COM</t>
  </si>
  <si>
    <t>LOPEZ LOPEZ HUGO</t>
  </si>
  <si>
    <t>MB21304</t>
  </si>
  <si>
    <t>HUGO.LOPEZ.4@BBVA.COM</t>
  </si>
  <si>
    <t>GONZALEZ VELAZQUEZ EDUARDO</t>
  </si>
  <si>
    <t>MB84066</t>
  </si>
  <si>
    <t>EDUARDO.GONZALEZ.VELAZQUEZ@BBVA.COM</t>
  </si>
  <si>
    <t>JAQUEZ CORRALES JOSE RAMON</t>
  </si>
  <si>
    <t>MH03657</t>
  </si>
  <si>
    <t>JOSERAMON.JAQUEZ@BBVA.COM</t>
  </si>
  <si>
    <t>ENRIQUEZ OCAMPO KARLA IMELDA</t>
  </si>
  <si>
    <t>MB14022</t>
  </si>
  <si>
    <t>KARLAIMELDA.ENRIQUEZ@BBVA.COM</t>
  </si>
  <si>
    <t>ARMENDARIZ ROSALES SERGIO OCTAVIO</t>
  </si>
  <si>
    <t>MB20978</t>
  </si>
  <si>
    <t>S.ARMENDARIZ@BBVA.COM</t>
  </si>
  <si>
    <t>HERNANDEZ RAMIREZ MARTIN</t>
  </si>
  <si>
    <t>MH00262</t>
  </si>
  <si>
    <t>M.HERNANDEZR@BBVA.COM</t>
  </si>
  <si>
    <t>LOPEZ FLORES RAFAEL ALBERTO</t>
  </si>
  <si>
    <t>MB15207</t>
  </si>
  <si>
    <t>RAFAELALBERT.LOPEZ@BBVA.COM</t>
  </si>
  <si>
    <t>ORTEGA HERNANDEZ MARIA DEL ROSARIO</t>
  </si>
  <si>
    <t>MH00116</t>
  </si>
  <si>
    <t>R.ORTEGA1@BBVA.COM</t>
  </si>
  <si>
    <t>MORALES ZEMPOALTECATL DIANA KAREN</t>
  </si>
  <si>
    <t>MB74081</t>
  </si>
  <si>
    <t>DIANAKAREN.MORALES@BBVA.COM</t>
  </si>
  <si>
    <t>NOCHEBUENA HERNANDEZ YAZMIN</t>
  </si>
  <si>
    <t>MB82165</t>
  </si>
  <si>
    <t>yazmin.nochebuena@bbva.com</t>
  </si>
  <si>
    <t>INIGUEZ GONZALEZ RAFAEL</t>
  </si>
  <si>
    <t>M373044</t>
  </si>
  <si>
    <t>RAFAEL.INIGUEZ@BBVA.COM</t>
  </si>
  <si>
    <t>PEREZ SOTO JORGE ARTURO</t>
  </si>
  <si>
    <t>M251859</t>
  </si>
  <si>
    <t>JORGE.PEREZ2@BBVA.COM</t>
  </si>
  <si>
    <t>CRUZ CANTORAL FRANCISCO</t>
  </si>
  <si>
    <t>F.CRUZ@BBVA.COM</t>
  </si>
  <si>
    <t>VAZQUEZ AVILA JUAN JOSE</t>
  </si>
  <si>
    <t>M330689</t>
  </si>
  <si>
    <t>JUAN.VAZQUEZ.4@BBVA.COM</t>
  </si>
  <si>
    <t>IRETA PEREZ LESLY YITSSEL</t>
  </si>
  <si>
    <t>MB66146</t>
  </si>
  <si>
    <t>LESLYYITSSEL.IRETA@BBVA.COM</t>
  </si>
  <si>
    <t>GARDUNO SOBERANES RICARDO MANUEL</t>
  </si>
  <si>
    <t>M905517</t>
  </si>
  <si>
    <t>RICARDO.GARDUNO.2@BBVA.COM</t>
  </si>
  <si>
    <t>RUIZ RODRIGUEZ ALEJANDRO</t>
  </si>
  <si>
    <t>MB84791</t>
  </si>
  <si>
    <t>JIMENEZ RIVAS LILIANA DOLORES</t>
  </si>
  <si>
    <t>M56227</t>
  </si>
  <si>
    <t>LD.JIMENEZ@BBVA.COM</t>
  </si>
  <si>
    <t>CHAVEZ RUIZ CESAR AUGUSTO</t>
  </si>
  <si>
    <t>MB45478</t>
  </si>
  <si>
    <t>CESARAUGUSTO.CHAVEZ@BBVA.COM</t>
  </si>
  <si>
    <t>MONTANO RENTERIA IVETH</t>
  </si>
  <si>
    <t>MB47165</t>
  </si>
  <si>
    <t>IVETH.MONTANO.RENTERIA@BBVA.COM</t>
  </si>
  <si>
    <t>LEON PARTIDA ANA ELVIRA</t>
  </si>
  <si>
    <t>MB61455</t>
  </si>
  <si>
    <t xml:space="preserve"> ANAELVIRA.LEON@BBVA.COM</t>
  </si>
  <si>
    <t>BUSTOS OSORIO ISRAEL</t>
  </si>
  <si>
    <t>MB63510</t>
  </si>
  <si>
    <t>ISRAEL.BUSTOS@BBVA.COM</t>
  </si>
  <si>
    <t>ZEPEDA ARELLANO RICARDO ARTURO</t>
  </si>
  <si>
    <t>RICARDO.ZEPEDA@BBVA.COM</t>
  </si>
  <si>
    <t>ARANA ZETINA MARIO ALBERTO</t>
  </si>
  <si>
    <t>M45116</t>
  </si>
  <si>
    <t>MARIO.ARANA@BBVA.COM</t>
  </si>
  <si>
    <t>RIVERA GRANADOS STEVEN ALFREDO</t>
  </si>
  <si>
    <t>MB74698</t>
  </si>
  <si>
    <t>DELGADO RODRIGUEZ RENATO</t>
  </si>
  <si>
    <t>MA29871</t>
  </si>
  <si>
    <t>RENATO.DELGADO@BBVA.COM</t>
  </si>
  <si>
    <t>SOTO JIMENEZ MARIA FERNANDA</t>
  </si>
  <si>
    <t>M907603</t>
  </si>
  <si>
    <t>MARIAFERNANDA.SOTO@BBVA.COM</t>
  </si>
  <si>
    <t>JIMENEZ SANCHEZ VANIA MARIA</t>
  </si>
  <si>
    <t>MB21708</t>
  </si>
  <si>
    <t>VANIAMARIA.JIMENEZ@BBVA.COM</t>
  </si>
  <si>
    <t>RAMIREZ RODRIGUEZ OTHON BENITO</t>
  </si>
  <si>
    <t>M47963</t>
  </si>
  <si>
    <t>B.RAMIREZ6@BBVA.COM</t>
  </si>
  <si>
    <t>SANTISTEVAN MIRANDA JUAN CARLOS</t>
  </si>
  <si>
    <t>MB07203</t>
  </si>
  <si>
    <t>JUANCARLOS.SANTISTEVAN@BBVA.COM</t>
  </si>
  <si>
    <t>MARTINEZ PEREZ VICTOR</t>
  </si>
  <si>
    <t>M27992</t>
  </si>
  <si>
    <t>VICTOR.MARTINEZP@BBVA.COM</t>
  </si>
  <si>
    <t>SALDANA ORTIZ CARLOS RODRIGO</t>
  </si>
  <si>
    <t>MB72796</t>
  </si>
  <si>
    <t>carlosrodrigo.saldana@bbva.com</t>
  </si>
  <si>
    <t>HERNANDEZ CORREA VERONICA NATALI</t>
  </si>
  <si>
    <t>MB73421</t>
  </si>
  <si>
    <t>VERONICANATALI.HERNANDEZ@BBVA.COM</t>
  </si>
  <si>
    <t>REYES RODRIGUEZ ARTURO</t>
  </si>
  <si>
    <t>MH00954</t>
  </si>
  <si>
    <t>A.REYES1@BBVA.COM</t>
  </si>
  <si>
    <t>OSTOA SALOMA ALEJANDRO MARTIN</t>
  </si>
  <si>
    <t>M75975</t>
  </si>
  <si>
    <t>ALEJANDRO.OSTOA@BBVA.COM</t>
  </si>
  <si>
    <t>GUILLEN JACOME RAMON</t>
  </si>
  <si>
    <t>M4690</t>
  </si>
  <si>
    <t>R.GUILLEN@BBVA.COM</t>
  </si>
  <si>
    <t>BELLO SALINAS LUIS ANTONIO</t>
  </si>
  <si>
    <t>MB70025</t>
  </si>
  <si>
    <t>LUISANTONIO.BELLO@BBVA.COM</t>
  </si>
  <si>
    <t>PEREZ HERNANDEZ MIGUEL ANGEL</t>
  </si>
  <si>
    <t>M844394</t>
  </si>
  <si>
    <t>MIGUEL.PEREZH@BBVA.COM</t>
  </si>
  <si>
    <t>MURILLO MARTINEZ MARIANA PAOLA</t>
  </si>
  <si>
    <t>MB85454</t>
  </si>
  <si>
    <t>SANCHEZ MONTIEL MARIA TERESITA</t>
  </si>
  <si>
    <t>MB63078</t>
  </si>
  <si>
    <t>MARIATERESITA.SANCHEZ@BBVA.COM</t>
  </si>
  <si>
    <t>BERISTAIN GUZMAN ROBERTO</t>
  </si>
  <si>
    <t>M827619</t>
  </si>
  <si>
    <t>R.BERISTAIN@BBVA.COM</t>
  </si>
  <si>
    <t>VALLE MANILLA LILIA JULIETA</t>
  </si>
  <si>
    <t>MB72791</t>
  </si>
  <si>
    <t>liliajulieta.valle@bbva.com</t>
  </si>
  <si>
    <t>CHAVEZ BELLO JUAN CARLOS</t>
  </si>
  <si>
    <t>M8047</t>
  </si>
  <si>
    <t>JCARLOS.CHAVEZ@BBVA.COM</t>
  </si>
  <si>
    <t>NEQUIZ GOMEZ BERNARDINO</t>
  </si>
  <si>
    <t>M818133</t>
  </si>
  <si>
    <t>BERNARDINO.NEQUIZ@BBVA.COM</t>
  </si>
  <si>
    <t>RODRIGUEZ GUTIERREZ PABLO ARTURO</t>
  </si>
  <si>
    <t>MB85490</t>
  </si>
  <si>
    <t>GONZALEZ REYES MARTHA ALICIA</t>
  </si>
  <si>
    <t>MB54826</t>
  </si>
  <si>
    <t>MARTHAALICIA.GONZALEZ@BBVA.COM</t>
  </si>
  <si>
    <t>LOPEZ LOPEZ JOSE LUIS</t>
  </si>
  <si>
    <t>M843600</t>
  </si>
  <si>
    <t>JLUIS.LOPEZ@BBVA.COM</t>
  </si>
  <si>
    <t>NAVA OSORIO MONICA</t>
  </si>
  <si>
    <t>MB61008</t>
  </si>
  <si>
    <t>MONICA.NAVA.OSORIO@BBVA.COM</t>
  </si>
  <si>
    <t>LOPEZ FLORES EDUARDO ALEJANDRO</t>
  </si>
  <si>
    <t>MB39196</t>
  </si>
  <si>
    <t>EDUARDOALEJANDRO.LOPEZ@BBVA.COM</t>
  </si>
  <si>
    <t>RIVERA RAMIREZ FRANCISCO JAVIER</t>
  </si>
  <si>
    <t>MB84542</t>
  </si>
  <si>
    <t>AMADOR NERI IMELDA</t>
  </si>
  <si>
    <t>M911896</t>
  </si>
  <si>
    <t>IMELDA.AMADOR@BBVA.COM</t>
  </si>
  <si>
    <t>LOPEZ CLARO ANA LILIA</t>
  </si>
  <si>
    <t>MB67019</t>
  </si>
  <si>
    <t>ANALILIA.LOPEZ@BBVA.COM</t>
  </si>
  <si>
    <t>VASCONCELOS PALACIOS PAOLA</t>
  </si>
  <si>
    <t>MA23901</t>
  </si>
  <si>
    <t>PAOLA.VASCONCELOS@BBVA.COM</t>
  </si>
  <si>
    <t>CHAVEZ NAVA BUENDIA LAURA EDUWIGIS</t>
  </si>
  <si>
    <t>M38935</t>
  </si>
  <si>
    <t>LAURA.CHAVEZ@BBVA.COM</t>
  </si>
  <si>
    <t>VARGAS TELLEZ MARIA CAROLINA</t>
  </si>
  <si>
    <t>MH00697</t>
  </si>
  <si>
    <t>C.VARGAS@BBVA.COM</t>
  </si>
  <si>
    <t>OLIVIER FALCON EDUARDO</t>
  </si>
  <si>
    <t>MH03607</t>
  </si>
  <si>
    <t>EDUARDO.OLIVER@BBVA.COM</t>
  </si>
  <si>
    <t>CORTES LUGO CESAR</t>
  </si>
  <si>
    <t>MB12873</t>
  </si>
  <si>
    <t>CESAR.CORTES@BBVA.COM</t>
  </si>
  <si>
    <t>CASTANEDA ESCALANTE RODRIGO</t>
  </si>
  <si>
    <t>MH03684</t>
  </si>
  <si>
    <t>RODRIGO.CASTANEDA@BBVA.COM</t>
  </si>
  <si>
    <t>BARRIENTOS NAVAR ARLETH ASTRID</t>
  </si>
  <si>
    <t>MB43280</t>
  </si>
  <si>
    <t>ARLETHASTRID.BARRIENTOS@BBVA.COM</t>
  </si>
  <si>
    <t>VAZQUEZ MUNOZ MARIA IVONNE</t>
  </si>
  <si>
    <t>MH01782</t>
  </si>
  <si>
    <t>MARIAIVONNE.VAZQUEZ@BBVA.COM</t>
  </si>
  <si>
    <t>ZENON ARROYO VICTOR EMMANUEL</t>
  </si>
  <si>
    <t>MB70256</t>
  </si>
  <si>
    <t>VICTOREMMANUEL.ZENON@BBVA.COM</t>
  </si>
  <si>
    <t>CAMACHO CERVANTES MISAEL HUMBERTO</t>
  </si>
  <si>
    <t>M838996</t>
  </si>
  <si>
    <t>MISAEL.CAMACHO@BBVA.COM</t>
  </si>
  <si>
    <t>BAUTISTA SOLIS ALFONSO</t>
  </si>
  <si>
    <t>MB54252</t>
  </si>
  <si>
    <t>ALFONSO.BAUTISTA@BBVA.COM</t>
  </si>
  <si>
    <t>TORRES BRIONES MARTHA PATRICIA</t>
  </si>
  <si>
    <t>M50283</t>
  </si>
  <si>
    <t>MARTHA.TORRES.1@BBVA.COM</t>
  </si>
  <si>
    <t>MARTINEZ SANTOYO RAMON OCTAVIO</t>
  </si>
  <si>
    <t>M47256</t>
  </si>
  <si>
    <t>OCTAVIO.MARTINEZ@BBVA.COM</t>
  </si>
  <si>
    <t>OLMOS MENDOZA ZULEMA</t>
  </si>
  <si>
    <t>M900467</t>
  </si>
  <si>
    <t>ZULEMA.OLMOS@BBVA.COM</t>
  </si>
  <si>
    <t>RIVERA HERNANDEZ ESTEFANIA CAROLINA</t>
  </si>
  <si>
    <t>MB61006</t>
  </si>
  <si>
    <t>ESTEFANIACAROLINA.RIVERA@BBVA.COM</t>
  </si>
  <si>
    <t>MORENO JUAREZ CORAL</t>
  </si>
  <si>
    <t>MB80263</t>
  </si>
  <si>
    <t>CORAL.MORENO@BBVA.COM</t>
  </si>
  <si>
    <t>LOZANO MERCADO ELOISA IRENE</t>
  </si>
  <si>
    <t>M55502</t>
  </si>
  <si>
    <t>ELOISA.LOZANO@BBVA.COM</t>
  </si>
  <si>
    <t>ARENAS ARENAS BRENDA DEL CARMEN</t>
  </si>
  <si>
    <t>M102553</t>
  </si>
  <si>
    <t>BRENDA.ARENAS@BBVA.COM</t>
  </si>
  <si>
    <t>CARDOZO RAMON CRISTIAN</t>
  </si>
  <si>
    <t>MB75162</t>
  </si>
  <si>
    <t>CRISTIAN.CARDOZO@BBVA.COM</t>
  </si>
  <si>
    <t>SANTANA ROSAS JULIO ALEJANDRO</t>
  </si>
  <si>
    <t>MB75178</t>
  </si>
  <si>
    <t>JULIOALEJANDRO.SANTANA@BBVA.COM</t>
  </si>
  <si>
    <t>DELGADILLO PAEZ ROSALIA</t>
  </si>
  <si>
    <t>MB78880</t>
  </si>
  <si>
    <t>ROSALIA.DELGADILLO@BBVA.COM</t>
  </si>
  <si>
    <t>VAZQUEZ MARTINEZ LUIS LEONARDO</t>
  </si>
  <si>
    <t>MB75174</t>
  </si>
  <si>
    <t>LUISLEONARDO.VAZQUEZ@BBVA.COM</t>
  </si>
  <si>
    <t>MARTINEZ GARCIA BRENDA GUADALUPE</t>
  </si>
  <si>
    <t>MB75160</t>
  </si>
  <si>
    <t>BRENDAGUADALUPE.MARTINEZ@BBVA.COM</t>
  </si>
  <si>
    <t>CID CASTRO IRMA LUCERO</t>
  </si>
  <si>
    <t>MB75173</t>
  </si>
  <si>
    <t>IRMALUCERO.CID.CASTRO@BBVA.COM</t>
  </si>
  <si>
    <t>MIXTECATL CASTRO CHRISTIAN</t>
  </si>
  <si>
    <t>MB75146</t>
  </si>
  <si>
    <t>CHRISTIAN.MIXTECATL@BBVA.COM</t>
  </si>
  <si>
    <t>ROSAS AVENDANO PEDRO GUADALUPE</t>
  </si>
  <si>
    <t>MB75188</t>
  </si>
  <si>
    <t>PEDROGUADALUPE.ROSAS@BBVA.COM</t>
  </si>
  <si>
    <t>CASTILLO GUTIERREZ CESAR OMAR</t>
  </si>
  <si>
    <t>mb75432</t>
  </si>
  <si>
    <t>cesaromar.castillo@bbva.com</t>
  </si>
  <si>
    <t>PATLAN MARTINEZ JOADA ANDREA</t>
  </si>
  <si>
    <t>MB75147</t>
  </si>
  <si>
    <t>JOADAANDREA.PATLAN@BBVA.COM</t>
  </si>
  <si>
    <t>RUIZ CHAVEZ ALEJANDRA</t>
  </si>
  <si>
    <t>MB75177</t>
  </si>
  <si>
    <t>ALEJANDRA.RUIZ.CHAVEZ@BBVA.COM</t>
  </si>
  <si>
    <t>GUERRERO FUENTES EFRAIN</t>
  </si>
  <si>
    <t>MB75185</t>
  </si>
  <si>
    <t>EFRAIN.GUERRERO@BBVA.COM</t>
  </si>
  <si>
    <t>NAVA HERNANDEZ CARLOS ALBERTO</t>
  </si>
  <si>
    <t>MB75161</t>
  </si>
  <si>
    <t>CARLOSALBERTO.NAVA@BBVA.COM</t>
  </si>
  <si>
    <t>LUNA CRUZ ALBERTO</t>
  </si>
  <si>
    <t>MB75176</t>
  </si>
  <si>
    <t>ALBERTO.LUNA@BBVA.COM</t>
  </si>
  <si>
    <t>MONTERO REYNA LUIS ALFREDO</t>
  </si>
  <si>
    <t>MB75148</t>
  </si>
  <si>
    <t>LUISALFREDO.MONTERO@BBVA.COM</t>
  </si>
  <si>
    <t>MONTANEZ ARCE MIGUEL ANGEL</t>
  </si>
  <si>
    <t>M40230</t>
  </si>
  <si>
    <t>MIGUEL.MONTANEZ@BBVA.COM</t>
  </si>
  <si>
    <t>CAZARES MANZANO BRENDA</t>
  </si>
  <si>
    <t>MB75156</t>
  </si>
  <si>
    <t>BRENDA.CAZARES@BBVA.COM</t>
  </si>
  <si>
    <t>SORIANO SORIANO CHRISTOPHER PAUL</t>
  </si>
  <si>
    <t>mb75433</t>
  </si>
  <si>
    <t>christopherpaul.soriano@bbva.com</t>
  </si>
  <si>
    <t>GARCIA MERIDA YARELI GUADALUPE</t>
  </si>
  <si>
    <t>MB75159</t>
  </si>
  <si>
    <t>YARELIGUADALUPE.GARCIA@BBVA.COM</t>
  </si>
  <si>
    <t>VALENCIA GONZALEZ MARIO ALBERTO</t>
  </si>
  <si>
    <t>mb75434</t>
  </si>
  <si>
    <t>marioalberto.valencia@bbva.com</t>
  </si>
  <si>
    <t>GOMEZ PEREZ MARIA LETICIA</t>
  </si>
  <si>
    <t>M39647</t>
  </si>
  <si>
    <t>ML.GOMEZ@BBVA.COM</t>
  </si>
  <si>
    <t>RODRIGUEZ INCAPIE CARLOS ALBERTO</t>
  </si>
  <si>
    <t>M8432</t>
  </si>
  <si>
    <t>CA.RODRIGUEZ@BBVA.COM</t>
  </si>
  <si>
    <t>LOPEZ GALEANA SERGIO</t>
  </si>
  <si>
    <t>M812345</t>
  </si>
  <si>
    <t>SERGIO.LOPEZ@BBVA.COM</t>
  </si>
  <si>
    <t>OROPEZA ISLAS MARIA ALEJANDRA</t>
  </si>
  <si>
    <t>M6368</t>
  </si>
  <si>
    <t>MARIAALEJANDRA.OROPEZA@BBVA.COM</t>
  </si>
  <si>
    <t>MERLIN ROMERO MARIA ISABEL</t>
  </si>
  <si>
    <t>MH03159</t>
  </si>
  <si>
    <t>MARIAISABEL.MERLIN@BBVA.COM</t>
  </si>
  <si>
    <t>CANALES MARTINEZ ARELI IVONNE</t>
  </si>
  <si>
    <t>MB61007</t>
  </si>
  <si>
    <t>ARELIIVONNE.CANALES@BBVA.COM</t>
  </si>
  <si>
    <t>REYES ISLAS MARCO ANTONIO</t>
  </si>
  <si>
    <t>MB55505</t>
  </si>
  <si>
    <t>MARCOANTONIO.REYES@BBVA.COM</t>
  </si>
  <si>
    <t>MORENO GUERRERO IRMA</t>
  </si>
  <si>
    <t>M37537</t>
  </si>
  <si>
    <t>I.MORENO2@BBVA.COM</t>
  </si>
  <si>
    <t>ORTIZ MARISCAL SERGIO ALFREDO</t>
  </si>
  <si>
    <t>M35536</t>
  </si>
  <si>
    <t>SERGIO.ORTIZ@BBVA.COM</t>
  </si>
  <si>
    <t>HERNANDEZ CONTRERAS MANUEL ALEJANDRO</t>
  </si>
  <si>
    <t>MB45964</t>
  </si>
  <si>
    <t>MA.HERNANDEZ.CONTRERAS@BBVA.COM</t>
  </si>
  <si>
    <t>ALARCON ALARCON IRASEMA</t>
  </si>
  <si>
    <t>M57577</t>
  </si>
  <si>
    <t>IRASEMA.ALARCON@BBVA.COM</t>
  </si>
  <si>
    <t>VARGAS TEJEDA IRMA ANGELICA</t>
  </si>
  <si>
    <t>MB60771</t>
  </si>
  <si>
    <t>IRMAANGELICA.VARGAS.TEJEDA@BBVA.COM</t>
  </si>
  <si>
    <t>PINEDA ROMERO MARIA DEL CARMEN</t>
  </si>
  <si>
    <t>M35817</t>
  </si>
  <si>
    <t>MARIADELCARMEN.PINEDA@BBVA.COM</t>
  </si>
  <si>
    <t>DEL RIO ORTIZ ARTURO</t>
  </si>
  <si>
    <t>MB72790</t>
  </si>
  <si>
    <t>arturo.delrio@bbva.com</t>
  </si>
  <si>
    <t>BAUTISTA ROMERO MARCO ANTONIO</t>
  </si>
  <si>
    <t>MARCO.BAUTISTA@BBVA.COM</t>
  </si>
  <si>
    <t>CHAINE ANGULO CARLOS AXEL</t>
  </si>
  <si>
    <t>MH03285</t>
  </si>
  <si>
    <t>AXEL.CHAINE@BBVA.COM</t>
  </si>
  <si>
    <t>AYALA SORIANO MARIO GERMAN</t>
  </si>
  <si>
    <t>MH03267</t>
  </si>
  <si>
    <t>MARIO.AYALA@BBVA.COM</t>
  </si>
  <si>
    <t>MORALES RAMIREZ DANIEL</t>
  </si>
  <si>
    <t>MB47536</t>
  </si>
  <si>
    <t>DANIEL.MORALES.RAMIREZ@BBVA.COM</t>
  </si>
  <si>
    <t>RAMIREZ BAUTISTA ROSA ESTHER</t>
  </si>
  <si>
    <t>MB65473</t>
  </si>
  <si>
    <t>ROSAESTHER.RAMIREZ.BAUTISTA@BBVA.COM</t>
  </si>
  <si>
    <t>VEGA RANGEL IRIS ANAHI</t>
  </si>
  <si>
    <t>MB74085</t>
  </si>
  <si>
    <t>IRISANAHI.VEGA@BBVA.COM</t>
  </si>
  <si>
    <t>RIOS GUTIERREZ LILIANA</t>
  </si>
  <si>
    <t>MH03291</t>
  </si>
  <si>
    <t>L.RIOSG@BBVA.COM</t>
  </si>
  <si>
    <t>NAVA MEDINA MONICA</t>
  </si>
  <si>
    <t>MH02762</t>
  </si>
  <si>
    <t>MONICA.NAVA@BBVA.COM</t>
  </si>
  <si>
    <t>VEGA ALDAMA ADRIANA</t>
  </si>
  <si>
    <t>MB80282</t>
  </si>
  <si>
    <t>ADRIANA.VEGA@BBVA.COM</t>
  </si>
  <si>
    <t>ARREOLA MONTIEL JUAN CARLOS</t>
  </si>
  <si>
    <t>mb74808</t>
  </si>
  <si>
    <t>juancarlos.arreola@bbva.com</t>
  </si>
  <si>
    <t>ALVAREZ JUAREZ CARLOS ARMANDO</t>
  </si>
  <si>
    <t>MB60752</t>
  </si>
  <si>
    <t>CARLOSARMANDO.ALVAREZ.JUAREZ@BBVA.COM</t>
  </si>
  <si>
    <t>AGUIRRE NIEVES YUNUEN</t>
  </si>
  <si>
    <t>MB60772</t>
  </si>
  <si>
    <t>YUNUEN.AGUIRRE.NIEVES@BBVA.COM</t>
  </si>
  <si>
    <t>CARRILLO CITALAN LUCIA JANE</t>
  </si>
  <si>
    <t>MB76925</t>
  </si>
  <si>
    <t>LUCIAJANE.CARRILLO@BBVA.COM</t>
  </si>
  <si>
    <t>TOVAR LASTIRI ALAN</t>
  </si>
  <si>
    <t>MB83656</t>
  </si>
  <si>
    <t>ALAN.TOVAR@BBVA.COM</t>
  </si>
  <si>
    <t>LOMELI MORA RUBEN</t>
  </si>
  <si>
    <t>MH00464</t>
  </si>
  <si>
    <t>RUBEN.LOMELI.MORA@BBVA.COM</t>
  </si>
  <si>
    <t>FAJARDO ALVA EDGAR</t>
  </si>
  <si>
    <t>MB47889</t>
  </si>
  <si>
    <t>EDGAR.FAJARDO@BBVA.COM</t>
  </si>
  <si>
    <t>OSORNIO CORREA GRISELDA ALICIA</t>
  </si>
  <si>
    <t>MH03407</t>
  </si>
  <si>
    <t>GRISELDA.OSORNIO@BBVA.COM</t>
  </si>
  <si>
    <t>CHAIRES HIDALGO MAGDALENA</t>
  </si>
  <si>
    <t>MH03823</t>
  </si>
  <si>
    <t>MAGDALENA.CHAIRES.1@BBVA.COM</t>
  </si>
  <si>
    <t>GUDINO VALENCIA FEDERICO JESUS MIGUEL</t>
  </si>
  <si>
    <t>MB45019</t>
  </si>
  <si>
    <t>FEDERICOJESUSMIGUEL.GUDINO@BBVA.COM</t>
  </si>
  <si>
    <t>RENDON GARCIA LILIANA</t>
  </si>
  <si>
    <t>M76297</t>
  </si>
  <si>
    <t>L.RENDON@BBVA.COM</t>
  </si>
  <si>
    <t>MARTINEZ ROJAS JESUS</t>
  </si>
  <si>
    <t>M49447</t>
  </si>
  <si>
    <t>J.MARTINEZ14@BBVA.COM</t>
  </si>
  <si>
    <t>ARELLANO RAFAEL FRANCISCO JAVIER</t>
  </si>
  <si>
    <t>MH01147</t>
  </si>
  <si>
    <t>FRANCISCO.ARELLANO@BBVA.COM</t>
  </si>
  <si>
    <t>PEREZ GONZALEZ MIGUEL ANGEL</t>
  </si>
  <si>
    <t>MB61927</t>
  </si>
  <si>
    <t>MIGUELANGEL.PEREZ.GONZALEZ@BBVA.COM</t>
  </si>
  <si>
    <t>GALLEGOS VEGA ETNA ITZU</t>
  </si>
  <si>
    <t>MH03559</t>
  </si>
  <si>
    <t>ETNA.GALLEGOS@BBVA.COM</t>
  </si>
  <si>
    <t>MARENTES FLORES MARIO IVAN</t>
  </si>
  <si>
    <t>MB38441</t>
  </si>
  <si>
    <t>MARIOIVAN.MARENTES@BBVA.COM</t>
  </si>
  <si>
    <t>CHAVEZ PEREZ GUSTAVO</t>
  </si>
  <si>
    <t>MB55445</t>
  </si>
  <si>
    <t>GUSTAVO.CHAVEZ@BBVA.COM</t>
  </si>
  <si>
    <t>POSADAS TELLEZ MARIA SILVIA</t>
  </si>
  <si>
    <t>M41822</t>
  </si>
  <si>
    <t>MARIASILVIA.POSADAS@BBVA.COM</t>
  </si>
  <si>
    <t>VENTURA RIVERA OSKAR MANUEL</t>
  </si>
  <si>
    <t>MH02892</t>
  </si>
  <si>
    <t>O.VENTURA@BBVA.COM</t>
  </si>
  <si>
    <t>MONTES DE OCA BARRON MARIA DE LOS ANGELES</t>
  </si>
  <si>
    <t>MH03843</t>
  </si>
  <si>
    <t>MARIADELOSANGELES.MONTESDEOCA@BBVA.COM</t>
  </si>
  <si>
    <t>GONZALEZ ALVAREZ YOLANDA</t>
  </si>
  <si>
    <t>M6113</t>
  </si>
  <si>
    <t>YOLANDA.GONZALEZA@BBVA.COM</t>
  </si>
  <si>
    <t>HUERTA VALTIERRA LUIS ALEJANDRO</t>
  </si>
  <si>
    <t>MB71662</t>
  </si>
  <si>
    <t>LUISALEJANDRO.HUERTA@BBVA.COM</t>
  </si>
  <si>
    <t>JUAREZ MORALES ANA GABRIELA</t>
  </si>
  <si>
    <t>MB71001</t>
  </si>
  <si>
    <t>anagabriela.juarez@bbva.com</t>
  </si>
  <si>
    <t>CASTILLO HERNANDEZ VICTORIA</t>
  </si>
  <si>
    <t>MB47345</t>
  </si>
  <si>
    <t>VICTORIA.CASTILLO.HERNANDEZ@BBVA.COM</t>
  </si>
  <si>
    <t>CANCHOLA OCHOA BRENDA ESTELA</t>
  </si>
  <si>
    <t>MB76684</t>
  </si>
  <si>
    <t>BRENDAESTELA.CANCHOLA@BBVA.COM</t>
  </si>
  <si>
    <t>BELTRAN NIETO JOSE ANTONIO</t>
  </si>
  <si>
    <t>MB83295</t>
  </si>
  <si>
    <t>JOSEANTONIO.BELTRAN.NIETO@BBVA.COM</t>
  </si>
  <si>
    <t>ARTEAGA SANTOS ABRAHAM ARTURO</t>
  </si>
  <si>
    <t>MB72771</t>
  </si>
  <si>
    <t>abrahamarturo.arteaga@bbva.com</t>
  </si>
  <si>
    <t>CERVANTES EUROZA JENNIFER VANESSA</t>
  </si>
  <si>
    <t>MB70035</t>
  </si>
  <si>
    <t>JENNIFERVANESSA.CERVANTES@BBVA.COM</t>
  </si>
  <si>
    <t>VILLALPANDO BLAS ERIK EDUARDO</t>
  </si>
  <si>
    <t>MH02965</t>
  </si>
  <si>
    <t>EE.VILLALPANDO@BBVA.COM</t>
  </si>
  <si>
    <t>MORALES ALVARADO JOSE</t>
  </si>
  <si>
    <t>MB13320</t>
  </si>
  <si>
    <t>JOSE.MORALES@BBVA.COM</t>
  </si>
  <si>
    <t>ZAPATA CAMACHO JOSE ERNESTO</t>
  </si>
  <si>
    <t>MH03322</t>
  </si>
  <si>
    <t>JOSE.ZAPATA@BBVA.COM</t>
  </si>
  <si>
    <t>FARRERA RODRIGUEZ LUIS DANIEL</t>
  </si>
  <si>
    <t>MB76927</t>
  </si>
  <si>
    <t>LUISDANIEL.FARRERA@BBVA.COM</t>
  </si>
  <si>
    <t>MOLINA JIMENEZ OSCAR</t>
  </si>
  <si>
    <t>MB55365</t>
  </si>
  <si>
    <t>OSCAR.MOLINA@BBVA.COM</t>
  </si>
  <si>
    <t>PARENT MARTINEZ DAVID</t>
  </si>
  <si>
    <t>MB41524</t>
  </si>
  <si>
    <t>david.parent@bbva.com</t>
  </si>
  <si>
    <t>UVENCE CHAIRES RICARDO</t>
  </si>
  <si>
    <t>MB60559</t>
  </si>
  <si>
    <t>RICARDO.UVENCE@BBVA.COM</t>
  </si>
  <si>
    <t>SEANEZ BELTRAN ALEJANDRO</t>
  </si>
  <si>
    <t>MH00902</t>
  </si>
  <si>
    <t>A.SEANEZ@BBVA.COM</t>
  </si>
  <si>
    <t>TREJO ESCUADRA ISRAEL ANTONIO</t>
  </si>
  <si>
    <t>MB72706</t>
  </si>
  <si>
    <t>israelantonio.trejo@bbva.com</t>
  </si>
  <si>
    <t>MORA ALVAREZ ANTONIO BISMARCK</t>
  </si>
  <si>
    <t>MH02408</t>
  </si>
  <si>
    <t>ANTONIOBISMA.MORA@BBVA.COM</t>
  </si>
  <si>
    <t>CARRERA SOTO GABRIEL</t>
  </si>
  <si>
    <t>MH01583</t>
  </si>
  <si>
    <t>GABRIEL.CARRERA@BBVA.COM</t>
  </si>
  <si>
    <t>MEDINA FLORES JUAN ANTONIO</t>
  </si>
  <si>
    <t>MH01422</t>
  </si>
  <si>
    <t>J.MEDINA2@BBVA.COM</t>
  </si>
  <si>
    <t>MARTINEZ MARTINEZ JESUS NOEL</t>
  </si>
  <si>
    <t>MH03568</t>
  </si>
  <si>
    <t>JESUS.MARTINEZ@BBVA.COM</t>
  </si>
  <si>
    <t>AVELINO TOLEDO VICTOR HUGO</t>
  </si>
  <si>
    <t>MH01145</t>
  </si>
  <si>
    <t>VICTOR.AVELINO@BBVA.COM</t>
  </si>
  <si>
    <t>MARCIAL JIMENEZ LUCILA ESTRELLA</t>
  </si>
  <si>
    <t>MH02021</t>
  </si>
  <si>
    <t>LUCILA.MARCIAL@BBVA.COM</t>
  </si>
  <si>
    <t>AGUIRRE LOPEZ JUAN NICANOR JOSE</t>
  </si>
  <si>
    <t>MB65282</t>
  </si>
  <si>
    <t>JUANNICANORJOSE.AGUIRRE@BBVA.COM</t>
  </si>
  <si>
    <t>ZAMUDIO BLASQUEZ LUIS MANUEL</t>
  </si>
  <si>
    <t>MB50500</t>
  </si>
  <si>
    <t>LUISMANUEL.ZAMUDIO@BBVA.COM</t>
  </si>
  <si>
    <t>CORONA TEPETLA HECTOR</t>
  </si>
  <si>
    <t>MH02856</t>
  </si>
  <si>
    <t>HECTOR.CORONA@BBVA.COM</t>
  </si>
  <si>
    <t>BAUTISTA CORONA ANGEL</t>
  </si>
  <si>
    <t>MH02502</t>
  </si>
  <si>
    <t>ANGEL.BAUTISTA@BBVA.COM</t>
  </si>
  <si>
    <t>ALVAREZ COLUNGA MIGUEL ANGEL</t>
  </si>
  <si>
    <t>MH01727</t>
  </si>
  <si>
    <t>M.ALVAREZC@BBVA.COM</t>
  </si>
  <si>
    <t>FLORES MORALES NANCY GUADALUPE</t>
  </si>
  <si>
    <t>MH03113</t>
  </si>
  <si>
    <t>N.FLORES@BBVA.COM</t>
  </si>
  <si>
    <t>PONCE COLORADO JOSE ENRIQUE</t>
  </si>
  <si>
    <t>MB38417</t>
  </si>
  <si>
    <t>JOSEENRIQUE.PONCE@BBVA.COM</t>
  </si>
  <si>
    <t>NAJERA NEVAREZ FRANCISCO ARTURO</t>
  </si>
  <si>
    <t>MH02110</t>
  </si>
  <si>
    <t>F.NAJERA@BBVA.COM</t>
  </si>
  <si>
    <t>CARRILLO RUVALCABA JOSE EDUARDO</t>
  </si>
  <si>
    <t>MH00112</t>
  </si>
  <si>
    <t>E.CARRILLO@BBVA.COM</t>
  </si>
  <si>
    <t>VARGAS AVALOS XAVIER ARMANDO</t>
  </si>
  <si>
    <t>MB09532</t>
  </si>
  <si>
    <t>XAVIER.VARGAS@BBVA.COM</t>
  </si>
  <si>
    <t>GARCIA GALVAN ROSA ALEJANDRA</t>
  </si>
  <si>
    <t>MH02830</t>
  </si>
  <si>
    <t>R.GARCIA3@BBVA.COM</t>
  </si>
  <si>
    <t>MELGAREJO RAMOS FELIPE ISRAEL</t>
  </si>
  <si>
    <t>MB46878</t>
  </si>
  <si>
    <t>FELIPEISRAEL.MELGAREJO@BBVA.COM</t>
  </si>
  <si>
    <t>RIVERA LOPEZ ADAN EDGARDO</t>
  </si>
  <si>
    <t>MH01391</t>
  </si>
  <si>
    <t>ADAN.RIVERA@BBVA.COM</t>
  </si>
  <si>
    <t>CAMACHO SALAZAR JAVIER</t>
  </si>
  <si>
    <t>MH01302</t>
  </si>
  <si>
    <t>JAVIER.CAMACHO@BBVA.COM</t>
  </si>
  <si>
    <t>OLEA HERNANDEZ REYNA ISABEL</t>
  </si>
  <si>
    <t>MH03483</t>
  </si>
  <si>
    <t>REYNA.OLEA@BBVA.COM</t>
  </si>
  <si>
    <t>LOPEZ VALENZUELA JOSE MIGUEL</t>
  </si>
  <si>
    <t>MH02849</t>
  </si>
  <si>
    <t>JOSEMIGUEL.LOPEZ@BBVA.COM</t>
  </si>
  <si>
    <t>ESCALANTE APODACA EMMANUEL</t>
  </si>
  <si>
    <t>MB09439</t>
  </si>
  <si>
    <t>EMMANUEL.ESCALANTE@BBVA.COM</t>
  </si>
  <si>
    <t>CORELLA FIGUEROA JUAN MANUEL</t>
  </si>
  <si>
    <t>MB72141</t>
  </si>
  <si>
    <t>juanmanuel.corella@bbva.com</t>
  </si>
  <si>
    <t>MOSS CASTRO EDGAR</t>
  </si>
  <si>
    <t>MB71528</t>
  </si>
  <si>
    <t>EDGAR.MOSS@BBVA.COM</t>
  </si>
  <si>
    <t>URIZA ALARID AXEL</t>
  </si>
  <si>
    <t>MH02544</t>
  </si>
  <si>
    <t>A.URIZA@BBVA.COM</t>
  </si>
  <si>
    <t>CABRERA DAVILA CONCEPCION GABRIELA</t>
  </si>
  <si>
    <t>MH01600</t>
  </si>
  <si>
    <t>GABRIELA.CABRERA@BBVA.COM</t>
  </si>
  <si>
    <t>CHI AGUILAR LUIS JESUS</t>
  </si>
  <si>
    <t>MB64813</t>
  </si>
  <si>
    <t>LUISJESUS.CHI@BBVA.COM</t>
  </si>
  <si>
    <t>DOMINGUEZ CRUZ JOSE JOAQUIN</t>
  </si>
  <si>
    <t>MB60751</t>
  </si>
  <si>
    <t>JOSEJOAQUIN.DOMINGUEZ@BBVA.COM</t>
  </si>
  <si>
    <t>MARTINEZ GUILLEN HEYBERT ALEXANDER</t>
  </si>
  <si>
    <t>MB81004</t>
  </si>
  <si>
    <t>HEYBERTALEXANDER.MARTINZ@BBVA.COM</t>
  </si>
  <si>
    <t>GODINEZ ESTRADA EDGAR FRANCISCO</t>
  </si>
  <si>
    <t>MH02835</t>
  </si>
  <si>
    <t>E.GODINEZE@BBVA.COM</t>
  </si>
  <si>
    <t>MONTENEGRO JURADO MONICA MARIA</t>
  </si>
  <si>
    <t>M.MONTENEGRO@BBVA.COM</t>
  </si>
  <si>
    <t>MARTINEZ AYALA CARLOS ERNESTO</t>
  </si>
  <si>
    <t>CE.MARTINEZ1@BBVA.COM</t>
  </si>
  <si>
    <t>HUERTA ORTEGA MISAEL</t>
  </si>
  <si>
    <t>MB63549</t>
  </si>
  <si>
    <t>MISAEL.HUERTA@BBVA.COM</t>
  </si>
  <si>
    <t>CRUZ LONA EDUARDO ALFONSO</t>
  </si>
  <si>
    <t>M53702</t>
  </si>
  <si>
    <t>EDUARDO.CRUZ.1@BBVA.COM</t>
  </si>
  <si>
    <t>SANTILLAN ALVAREZ LUIS MANUEL</t>
  </si>
  <si>
    <t>MB55688</t>
  </si>
  <si>
    <t>LUISMANUEL.SANTILLAN@BBVA.COM</t>
  </si>
  <si>
    <t>RAMIREZ RIVAS MONICA VALERIA</t>
  </si>
  <si>
    <t>M843953</t>
  </si>
  <si>
    <t>MONICA.RAMIREZ.1@BBVA.COM</t>
  </si>
  <si>
    <t>ESQUIVEL HERNANDEZ LOURDES YANINE</t>
  </si>
  <si>
    <t>MB70033</t>
  </si>
  <si>
    <t>LOURDESYANINE.ESQUIVEL@BBVA.COM</t>
  </si>
  <si>
    <t>HERDEZ GONZALEZ AHIEZER</t>
  </si>
  <si>
    <t>MB35959</t>
  </si>
  <si>
    <t>AHIEZER.HERDEZ@BBVA.COM</t>
  </si>
  <si>
    <t>ARRIAGA HERNANDEZ GUILLERMINA</t>
  </si>
  <si>
    <t>M912801</t>
  </si>
  <si>
    <t>GUILLERMINA.ARRIAGA@BBVA.COM</t>
  </si>
  <si>
    <t>BECERRIL REYES ADRIAN</t>
  </si>
  <si>
    <t>M817346</t>
  </si>
  <si>
    <t>A.BECERRIL1@BBVA.COM</t>
  </si>
  <si>
    <t>GRANADOS ZAMORA ISAAC JACOB</t>
  </si>
  <si>
    <t>M40434</t>
  </si>
  <si>
    <t>IE.NARVAEZ@BBVA.COM</t>
  </si>
  <si>
    <t>ALVAREZ DEL CASTILLO MONTOYA DIEGO ANUAR</t>
  </si>
  <si>
    <t>M839469</t>
  </si>
  <si>
    <t>D.ALVAREZDELC@BBVA.COM</t>
  </si>
  <si>
    <t>GARCIA HERNANDEZ JOSE ILDEFONSO</t>
  </si>
  <si>
    <t>M910660</t>
  </si>
  <si>
    <t>JOSEILDEFONSO.GARCIA@BBVA.COM</t>
  </si>
  <si>
    <t>SAAVEDRA PEREZ NORMA PATRICIA</t>
  </si>
  <si>
    <t>M5999</t>
  </si>
  <si>
    <t>NORMA.SAAVEDRA@BBVA.COM</t>
  </si>
  <si>
    <t>DE LA TORRE DESENTIS LILIANA</t>
  </si>
  <si>
    <t>M825234</t>
  </si>
  <si>
    <t>L.DELATORRE@BBVA.COM</t>
  </si>
  <si>
    <t>TORRES VIDALES FERNANDO GILBERTO</t>
  </si>
  <si>
    <t>M57836</t>
  </si>
  <si>
    <t>F.TORRES5@BBVA.COM</t>
  </si>
  <si>
    <t>BERNAL GUTIERREZ DAPHNE AMELIA</t>
  </si>
  <si>
    <t>M905321</t>
  </si>
  <si>
    <t>DAPHNE.BERNAL@BBVA.COM</t>
  </si>
  <si>
    <t>CAZARES QUIROZ GUILLERMO</t>
  </si>
  <si>
    <t>M821588</t>
  </si>
  <si>
    <t>GUILLERMO.CAZARES@BBVA.COM</t>
  </si>
  <si>
    <t>Tema 4 SB, diapositiva 33</t>
  </si>
  <si>
    <t>Tema 1 SB, diapositiva 7</t>
  </si>
  <si>
    <t>Tema 4 SB, diapositiva 37</t>
  </si>
  <si>
    <t>Tema 2 SB, diapositiva 13</t>
  </si>
  <si>
    <t>Tema 5 SB, diapostiva 42</t>
  </si>
  <si>
    <t>Tema 5 SB, diapostiva 44</t>
  </si>
  <si>
    <t> ¿Qué es un dato?</t>
  </si>
  <si>
    <t>¿Qué busca la estrategia de datos de BBVA?</t>
  </si>
  <si>
    <t>¿Por qué ser un banco Data -Driven?</t>
  </si>
  <si>
    <t>Modelo de Data Governance</t>
  </si>
  <si>
    <t>Implementación del Modelo Data Governance</t>
  </si>
  <si>
    <t>Tema 5 SB, diapostiva 48</t>
  </si>
  <si>
    <t>Ubicación</t>
  </si>
  <si>
    <t>Tema 4 GV2, diapostiva 4</t>
  </si>
  <si>
    <t>Tema 4 GV2, diapostiva 5</t>
  </si>
  <si>
    <t>Tema 4 GV1, diapostiva 5</t>
  </si>
  <si>
    <t>Tema 4 GV1, diapostiva 6</t>
  </si>
  <si>
    <r>
      <t xml:space="preserve">Tema 4 GV1, diapostiva 5, </t>
    </r>
    <r>
      <rPr>
        <b/>
        <sz val="10"/>
        <rFont val="Arial"/>
        <family val="2"/>
      </rPr>
      <t>no se encuentra la información textual</t>
    </r>
  </si>
  <si>
    <t>Tema 4 GV2, diapostiva 6</t>
  </si>
  <si>
    <t>Tema 4 GV2, diapostiva 7</t>
  </si>
  <si>
    <t>Tema 5 SB, diapostiva 49</t>
  </si>
  <si>
    <r>
      <t>Tema 5 SB, diapostiva 49,</t>
    </r>
    <r>
      <rPr>
        <b/>
        <sz val="10"/>
        <rFont val="Arial"/>
        <family val="2"/>
      </rPr>
      <t xml:space="preserve"> la información no es textual</t>
    </r>
  </si>
  <si>
    <t>Tema 4 GV1, diapostiva 10</t>
  </si>
  <si>
    <r>
      <t xml:space="preserve">Tema 4 GV1, diapostiva 9, </t>
    </r>
    <r>
      <rPr>
        <b/>
        <sz val="10"/>
        <rFont val="Arial"/>
        <family val="2"/>
      </rPr>
      <t>no se encuentra la información textual</t>
    </r>
  </si>
  <si>
    <r>
      <t xml:space="preserve">Tema 4 GV1, diapostiva 7, </t>
    </r>
    <r>
      <rPr>
        <b/>
        <sz val="10"/>
        <rFont val="Arial"/>
        <family val="2"/>
      </rPr>
      <t>no se encuentra la información textual</t>
    </r>
  </si>
  <si>
    <r>
      <t xml:space="preserve">Tema 4 GV2, diapostiva 5, </t>
    </r>
    <r>
      <rPr>
        <b/>
        <sz val="10"/>
        <rFont val="Arial"/>
        <family val="2"/>
      </rPr>
      <t>no se encuentra la información textual</t>
    </r>
  </si>
  <si>
    <t>Tema 5 SB, diapostiva 50</t>
  </si>
  <si>
    <r>
      <t xml:space="preserve">Tema 4 GV2, diapostiva 4, </t>
    </r>
    <r>
      <rPr>
        <b/>
        <sz val="10"/>
        <rFont val="Arial"/>
        <family val="2"/>
      </rPr>
      <t>no se encuentra la información textual</t>
    </r>
  </si>
  <si>
    <t>Tema 4 GV2, diapositiva 7</t>
  </si>
  <si>
    <t>Tema 4 GV2, diapositiva 8</t>
  </si>
  <si>
    <r>
      <t xml:space="preserve">Tema 4 GV2, diapositiva 8 </t>
    </r>
    <r>
      <rPr>
        <b/>
        <sz val="10"/>
        <rFont val="Arial"/>
        <family val="2"/>
      </rPr>
      <t>Pregunta incompleta</t>
    </r>
  </si>
  <si>
    <t>Tema 4 GV2, diapositiva 9</t>
  </si>
  <si>
    <t>Información contenida en cada guión de video o en SB dispositiva 33 sin ser textual</t>
  </si>
  <si>
    <t>Tema 4 GV1, diapositiva 5</t>
  </si>
  <si>
    <t xml:space="preserve">Tema 4 GV2, diapositiva 8 </t>
  </si>
  <si>
    <r>
      <t xml:space="preserve">Tema 5 SB, diapostiva 52
</t>
    </r>
    <r>
      <rPr>
        <b/>
        <sz val="10"/>
        <rFont val="Arial"/>
        <family val="2"/>
      </rPr>
      <t>La  información textual</t>
    </r>
  </si>
  <si>
    <t>topico</t>
  </si>
  <si>
    <t>tema</t>
  </si>
  <si>
    <t>pregunta</t>
  </si>
  <si>
    <t>opcion_1</t>
  </si>
  <si>
    <t>retro_bien</t>
  </si>
  <si>
    <t>retro_mal</t>
  </si>
  <si>
    <t>tipo</t>
  </si>
  <si>
    <t>core</t>
  </si>
  <si>
    <t>correcta</t>
  </si>
  <si>
    <t>opcion_2</t>
  </si>
  <si>
    <t>opcion_3</t>
  </si>
  <si>
    <t>opcion_4</t>
  </si>
  <si>
    <t>opcion_5</t>
  </si>
  <si>
    <t>opcion_6</t>
  </si>
  <si>
    <t>bd_preguntas</t>
  </si>
  <si>
    <t>rol1</t>
  </si>
  <si>
    <t>rol2</t>
  </si>
  <si>
    <t>rol3</t>
  </si>
  <si>
    <t>1,2</t>
  </si>
  <si>
    <t>opcion_multiple</t>
  </si>
  <si>
    <t>Mensual</t>
  </si>
  <si>
    <t>Tener un mapeo completo de las iniciativas de datos</t>
  </si>
  <si>
    <t>Asignar recursos necesarios para ejecutar temas de datos</t>
  </si>
  <si>
    <t>Mejorar progresivamente el gobierno de los datos del dominio</t>
  </si>
  <si>
    <t>Cuantificable, Auditable, Produtivizable</t>
  </si>
  <si>
    <t>Certificable, Auditable, Verificable</t>
  </si>
  <si>
    <t>Verificable, Auditable, Productivizable</t>
  </si>
  <si>
    <t>Executive WG</t>
  </si>
  <si>
    <t>Management WG</t>
  </si>
  <si>
    <t>WG Operativo</t>
  </si>
  <si>
    <t>Tactical WG</t>
  </si>
  <si>
    <t>Cualquier soporte en el que el usuario mantiene, modifica, transforma y/o calcula datos, considerando desde una herramienta ofimática hasta aplicativos corporativos</t>
  </si>
  <si>
    <t>Fuente de datos universalmente conocida, válida y fiable para obtener un dato concreto</t>
  </si>
  <si>
    <t>Fuente o sistema de aprovisionamiento considerado como el origen de los datos</t>
  </si>
  <si>
    <t>Es la dictaminada por Data Hub</t>
  </si>
  <si>
    <t>Es la validad por el SubDomain y Domain Owner</t>
  </si>
  <si>
    <t>Es la documentada en la herramienta de Governance</t>
  </si>
  <si>
    <t xml:space="preserve">Es la marcada por el Data Owner como la Data Source válida y fiable </t>
  </si>
  <si>
    <t>Conjunto de valores que sirven para determinar si el grado de cumplimiento (resultado) de una regla de calidad es o no satisfactorio</t>
  </si>
  <si>
    <t>Conjunto de atributos que forman parte de la definición de la regla de calidad</t>
  </si>
  <si>
    <t>Cuando no se productivizó correctamente una regla de calidad</t>
  </si>
  <si>
    <t>Cuando se documentan entidades de explotación sin una regla de calidad asociada</t>
  </si>
  <si>
    <t>Cuando se incumple los umbrales definidos para una regla y sus parámetros</t>
  </si>
  <si>
    <t>Cuando se ingestan campos físicos en DATIO sin reglas de calidad</t>
  </si>
  <si>
    <t>Iniciativas</t>
  </si>
  <si>
    <t>Roadmap de Reglas de Calidad</t>
  </si>
  <si>
    <t>Casos de Uso</t>
  </si>
  <si>
    <t>Modelo de Certificación</t>
  </si>
  <si>
    <t>2,3</t>
  </si>
  <si>
    <t>Facilitador (Domain Lead)</t>
  </si>
  <si>
    <t>Data Hub</t>
  </si>
  <si>
    <t>Subject Matter Expert (SME)</t>
  </si>
  <si>
    <t>Mensualmente</t>
  </si>
  <si>
    <t>Trimestralmente</t>
  </si>
  <si>
    <t>Semestralmente</t>
  </si>
  <si>
    <t>Anualmente</t>
  </si>
  <si>
    <t>Portal de Calidad</t>
  </si>
  <si>
    <t>Sophia</t>
  </si>
  <si>
    <t>Site de Data Governance</t>
  </si>
  <si>
    <t>DATIO</t>
  </si>
  <si>
    <t>Disponibilidad</t>
  </si>
  <si>
    <t>Validez</t>
  </si>
  <si>
    <t>Completitud</t>
  </si>
  <si>
    <t>Precisión</t>
  </si>
  <si>
    <t>Integridad</t>
  </si>
  <si>
    <t>Consistencia</t>
  </si>
  <si>
    <t xml:space="preserve">Precisión </t>
  </si>
  <si>
    <t>SubDominio</t>
  </si>
  <si>
    <t>Ownership</t>
  </si>
  <si>
    <t>Los umbrales de tolerancia no sirven para nada, no hace falta definirlos</t>
  </si>
  <si>
    <t>Son valores definidos por el data owner a comparar con el % de cumplimiento de la regla. Si % cumplimiento es inferior al umbral mínimo, el resultado es insatisfactorio</t>
  </si>
  <si>
    <t>Son valores definidos por el data owner a comparar con el % de cumplimiento de la regla. Si % cumplimiento es superior al umbral mínimo e inferior al objetivo, el resultado es mejorable</t>
  </si>
  <si>
    <t>Son valores definidos por el data owner a comparar con el % de cumplimiento de la regla. Si % cumplimiento es superior al umbral objetivo, el resultado es satisfactorio</t>
  </si>
  <si>
    <t>Para cumplir con el requerimiento de Data</t>
  </si>
  <si>
    <t>Para cumplir con Auditores y Supervisores</t>
  </si>
  <si>
    <t>No sirve para nada</t>
  </si>
  <si>
    <t>Para tomar mejores decisiones, mejorar el día a día (menor limpieza de datos) y generar confianza en la organización</t>
  </si>
  <si>
    <t>Hay que determinar cúal es el punto más óptimo</t>
  </si>
  <si>
    <t>Con medirlo al final del proceso es suficiente</t>
  </si>
  <si>
    <t>En todos los puntos en los que haya transformación</t>
  </si>
  <si>
    <t>Iniciativas prioritarias para el Dominio; impulsadas por Holding o localmente por el Domain Owner o SubDomain Owner</t>
  </si>
  <si>
    <t>Iniciativas prioritarias que requieren apoyo de más de un Dominio para su ejecución</t>
  </si>
  <si>
    <t>Iniciativas identificadas por Data Portfolio Manager (DPM)</t>
  </si>
  <si>
    <t>Iniciativas cuyo objetivo es migrar información a DATIO</t>
  </si>
  <si>
    <t>Iniciativas prioritarias para el Dominio; impulsadas por Holding o localmente por el Domain Owner o SubDomain Owne</t>
  </si>
  <si>
    <t>Validar la calidad de la información documentada</t>
  </si>
  <si>
    <t>Validar completitud en el llenado</t>
  </si>
  <si>
    <t>Validar la validez desde el punto de vista del negocio</t>
  </si>
  <si>
    <t>Todos los anteriores</t>
  </si>
  <si>
    <t>Data Portfolio Manager (DPM)</t>
  </si>
  <si>
    <t xml:space="preserve">Lo importante es medir la calidad de los datos
</t>
  </si>
  <si>
    <t>No sólo es importante medir calidad sino implantar controles - CORRECTA</t>
  </si>
  <si>
    <t>La calidad de los datos sólo importa para datos regulatorios</t>
  </si>
  <si>
    <t>multiple</t>
  </si>
  <si>
    <t>1,3</t>
  </si>
  <si>
    <t>Head of Data</t>
  </si>
  <si>
    <t>Situaciones en las que se genera un alto volumen de entidades de explotación derivado de la diversidad de información requerida</t>
  </si>
  <si>
    <t>Cuando las entidades de explotación son generadas por diferentes usuarios (estén dentro del mismo dominio o en dominios diferentes)</t>
  </si>
  <si>
    <t>Cuando la generación de las entidades de explotación requiera de un expertise específico</t>
  </si>
  <si>
    <t>Todas las anteriores</t>
  </si>
  <si>
    <t>Engineering</t>
  </si>
  <si>
    <t>Data Specialist</t>
  </si>
  <si>
    <t>Data Scientist</t>
  </si>
  <si>
    <t>Data Developer</t>
  </si>
  <si>
    <t>Operativización y evolución estratégica de la nueva plataforma</t>
  </si>
  <si>
    <t>Gestión y ejecución de Ingestas</t>
  </si>
  <si>
    <t>Asignación de campos físicos con deuda de gobierno a cada Dominio</t>
  </si>
  <si>
    <t>Documentación del Content y Quality de una entidad conceptual</t>
  </si>
  <si>
    <t xml:space="preserve">Domain Owner
</t>
  </si>
  <si>
    <t xml:space="preserve">Data Owner </t>
  </si>
  <si>
    <t xml:space="preserve">Domain Owner
</t>
  </si>
  <si>
    <t>Subdomain Owner</t>
  </si>
  <si>
    <t xml:space="preserve">Facilitador (Domain Lead) </t>
  </si>
  <si>
    <t>System Owner</t>
  </si>
  <si>
    <t>Data Owner Global</t>
  </si>
  <si>
    <t>Data Owner Local</t>
  </si>
  <si>
    <t>Engineering Lead (Data Hub)</t>
  </si>
  <si>
    <t>1,4</t>
  </si>
  <si>
    <t xml:space="preserve">SubDomain Owner </t>
  </si>
  <si>
    <t>Solutions Architect</t>
  </si>
  <si>
    <t>Subject Matter expert (SME)</t>
  </si>
  <si>
    <t>Equipos Scrum de Ingestas</t>
  </si>
  <si>
    <t>Data Owner Primario</t>
  </si>
  <si>
    <t>Data Owner Relacionado</t>
  </si>
  <si>
    <t>Facilitadores (Domain Leads)</t>
  </si>
  <si>
    <t xml:space="preserve">Domain Owners </t>
  </si>
  <si>
    <t>SubDomain Owners</t>
  </si>
  <si>
    <t>Trimestral</t>
  </si>
  <si>
    <t>Semestral</t>
  </si>
  <si>
    <t>Anual</t>
  </si>
  <si>
    <t>Business Glossary</t>
  </si>
  <si>
    <t>Data Dictionary</t>
  </si>
  <si>
    <t>Data Sources</t>
  </si>
  <si>
    <t>Mejorar la calidad de datos</t>
  </si>
  <si>
    <t>Automatizar cálculos y procesos</t>
  </si>
  <si>
    <t>Disponibilizar información</t>
  </si>
  <si>
    <t>Implementar Modelo de Gobierno</t>
  </si>
  <si>
    <t>Data Architect - Es la figura que provee la arquitectura e infraestructura de datos requerida para soportar las necesidades del negocio, coordinando los equipos de Engineering</t>
  </si>
  <si>
    <t>Engineering Lead - Es la figura de referencia que actúa como coordinador de los distintos roles de Engineering</t>
  </si>
  <si>
    <t>System Owner - Responsable de completar el content con los metadatos físicos definidos por el data owner, de las DS que están bajo su responsabilidad</t>
  </si>
  <si>
    <t>Solutions Architect - Proporcionará la solución de arquitectura a las necesidades tecnológicas</t>
  </si>
  <si>
    <t>Data Developer - Se encargará del aprovisionamiento de datos, desarrollar soluciones e implantarlas en producción</t>
  </si>
  <si>
    <t>Local - Dato generado únicamente en el ámbito local</t>
  </si>
  <si>
    <t>Holding - Dato generado únicamente en ámbito Holding</t>
  </si>
  <si>
    <t>Global - Dato definido desde Holding y solicitado para su generación en el ámbito local</t>
  </si>
  <si>
    <t xml:space="preserve">Data Domains </t>
  </si>
  <si>
    <t xml:space="preserve"> Data Dictionary</t>
  </si>
  <si>
    <t xml:space="preserve">Data Content </t>
  </si>
  <si>
    <t>Data Domains</t>
  </si>
  <si>
    <t>Son válidas las respuestas b, c y d</t>
  </si>
  <si>
    <t xml:space="preserve">Tema 5 SB dispositiva 13, no esta textual </t>
  </si>
  <si>
    <t>Tema 2 SB</t>
  </si>
  <si>
    <t xml:space="preserve">Tema 5 SB dispositiva 42, no esta textual </t>
  </si>
  <si>
    <t>Tema 5 SB</t>
  </si>
  <si>
    <t>Tema 4 SB</t>
  </si>
  <si>
    <t>¿A qué principio de calidad corresponde la siguiente regla?...</t>
  </si>
  <si>
    <t>¿A qué principio de calidad corresponde la siguiente regla?... Completitud de perímetro requerido</t>
  </si>
  <si>
    <t>¿A qué principio de calidad corresponde la siguiente regla?... Comprobación del valor de dato nulo (NULL)</t>
  </si>
  <si>
    <t>¿A qué principio de calidad corresponde la siguiente regla?... Comprobación del formato del campo</t>
  </si>
  <si>
    <t>¿A qué principio de calidad corresponde la siguiente regla?... Comprobación de valores no permitidos</t>
  </si>
  <si>
    <t>¿A qué principio de calidad corresponde la siguiente regla?... Comprobación del valor del dato dentro del rango esperado</t>
  </si>
  <si>
    <t>¿A qué principio de calidad corresponde la siguiente regla?... Comprobación del valor del dato en catálogo</t>
  </si>
  <si>
    <t>¿A qué principio de calidad corresponde la siguiente regla?... Transferencia de datos origen - destino</t>
  </si>
  <si>
    <t>¿A qué principio de calidad corresponde la siguiente regla?... Duplicidad de registros para un mismo dato</t>
  </si>
  <si>
    <t>¿A qué principio de calidad corresponde la siguiente regla?... Réplica de cálculos</t>
  </si>
  <si>
    <t xml:space="preserve">¿A qué principio de calidad corresponde la siguiente regla?... Comparativa entre diferentes valores de datos relacionados entre sí </t>
  </si>
  <si>
    <t>¿A qué principio de calidad corresponde la siguiente regla?... Concentración de valores del mismo dato en un catálogo</t>
  </si>
  <si>
    <t>¿A qué principio de calidad corresponde la siguiente regla?... Comprobación de la sensibilidad del valor de un dato a un umbral</t>
  </si>
  <si>
    <t>¿A qué principio de calidad corresponde la siguiente regla?... Comparativa de la evolución de diferentes valores de datos relacionados entre sí en el mismo momento del tiempo</t>
  </si>
  <si>
    <t>¿A qué principio de calidad corresponde la siguiente regla?... Comparativa del valor del mismo dato entre periodos</t>
  </si>
  <si>
    <t xml:space="preserve">¿A qué principio de calidad corresponde la siguiente regla?... Correlación del valor de un dato en las últimas observaciones </t>
  </si>
  <si>
    <t>¿A qué principio de calidad corresponde la siguiente regla?... Comparativa entre valores de datos distintos entre periodos</t>
  </si>
  <si>
    <t>¿A qué principio de calidad corresponde la siguiente regla?... Coincidencia con base de datos externa</t>
  </si>
  <si>
    <t>Lo importante es medir la calidad de los datos</t>
  </si>
  <si>
    <t>No sólo es importante medir calidad sino implantar controles</t>
  </si>
  <si>
    <t>Ingestar información en DATIO</t>
  </si>
  <si>
    <t>Data Owner previo</t>
  </si>
  <si>
    <t>1,2,3</t>
  </si>
  <si>
    <t>4,5,6</t>
  </si>
  <si>
    <t>Dimensiones de Explotación | Contrato / País / Tipo de Riesgo / Grupo empresarial</t>
  </si>
  <si>
    <t>Entidades de Explotación | APRs por contrato / APRs por país de procedencia / APRs por tipo de riesgo / APRs por grupo empresarial</t>
  </si>
  <si>
    <t>Disponibilidad | Valores de los datos deben estar actualizados / refrescados / presentes en el repositorio que los almacena según lo acordado</t>
  </si>
  <si>
    <t>Validez | Valores de los datos son los adecuados para su uso: formato, longitud, valores permitidos, etc.</t>
  </si>
  <si>
    <t>Consistencia | Valores de un mismo dato son coherentes entre sí, en un determinado momento del tiempo, tanto en el propio repositorio que lo almacena como respecto al resto de sistemas involucrados</t>
  </si>
  <si>
    <t>Precisión | Valores de los datos corresponden al valor esperado con un alto nivel de certeza</t>
  </si>
  <si>
    <t>Quality | mejorar la calidad de los datos que se generan, gestionan y usan en el Grupo</t>
  </si>
  <si>
    <t>Availability | promover la accesibilidad de los datos utilizados por cada Data owner, impulsando que todos ellos se encuentren disponibles para el resto de la organización en infraestructuras corporativas</t>
  </si>
  <si>
    <t>Content | Que el dato sea Entendible</t>
  </si>
  <si>
    <t xml:space="preserve"> Lineage | Que el dato sea Encontrable</t>
  </si>
  <si>
    <t>Entidad Conceptual | Concepto asociado a los datos que la organización usa/genera en sus procesos de negocio y que requiere el establecimiento de un responsable</t>
  </si>
  <si>
    <t>Entidad Física | Representación de la entidad de explotación en los diferentes aplicativos en los que reside, es decir, en qué sistema, en qué tablas y en qué campos físicos de los mismos se encuentra</t>
  </si>
  <si>
    <t>Holding | Dato definido desde Holding y solicitado para su generación en el ámbito local</t>
  </si>
  <si>
    <t>Local | Dato generado únicamente en ámbito Holding</t>
  </si>
  <si>
    <t>Global | Dato generado únicamente en el ámbito local</t>
  </si>
  <si>
    <t>3,1,2</t>
  </si>
  <si>
    <t>Lineage | Asegurar que todas las entidades conceptuales, dimensiones, entidades de explotación (usos), y entidades físicas asociadas, cuentan con una adecuada definición en un diccionario de datos homogéneos</t>
  </si>
  <si>
    <t>Content | documentar la localización y trazabilidad de los datos, a través del conocimiento de sus procesos de transformación y usos de los mismos</t>
  </si>
  <si>
    <t>3,2,1,4</t>
  </si>
  <si>
    <t>1,4,3,2</t>
  </si>
  <si>
    <t>Availability | Que el dato sea Confiable</t>
  </si>
  <si>
    <t>Quality | Que el dato sea Accesible</t>
  </si>
  <si>
    <t>Entidad Explotación | Formas/visiones en las que la organización expresa y explica sus datos</t>
  </si>
  <si>
    <t>Dimensión de Explotación | Uso relevante de los datos, que se generan utilizando una o varias dimensiones</t>
  </si>
  <si>
    <t>1,3,2,4</t>
  </si>
  <si>
    <t>Integridad | Valores de los datos deben estar informados (tener un valor) para la totalidad del perímetro requerido (número de registros apropiados)</t>
  </si>
  <si>
    <t>Completitud | Valores de los datos relacionados entre sí cumplen las reglas de negocio relativas a los mismos en un determinado momento del tiempo (comparaciones entre datos relacionados)</t>
  </si>
  <si>
    <t>1,5,3,4,2,6</t>
  </si>
  <si>
    <t>Tema5</t>
  </si>
  <si>
    <t>Tema4</t>
  </si>
  <si>
    <t>tema5</t>
  </si>
  <si>
    <t>tema4</t>
  </si>
  <si>
    <t>tema2</t>
  </si>
  <si>
    <t>tema1</t>
  </si>
  <si>
    <t>En el siguiente ejemplo, identifica cuáles son las entidades de explotación y cuáles las dimensiones de explotación. Haz clic sobre la opción que consideres correcta de la columna izquierda y seguido da clic sobre la respuesta de la columna derecha para relacionarlas.</t>
  </si>
  <si>
    <t>Relaciona los 6 principios de calidad con sus definiciones. Haz clic sobre la opción que consideres correcta de la columna izquierda y seguido da clic sobre la respuesta de la columna derecha para relacionarlas.</t>
  </si>
  <si>
    <t>Relaciona el tipo de entidad de acuerdo con su alcance geográfico y con su definición. Haz clic sobre la opción que consideres correcta de la columna izquierda y seguido da clic sobre la respuesta de la columna derecha para relacionarlas.</t>
  </si>
  <si>
    <t>Relaciona los 4 conceptos del Modelo de Data Governance con sus definiciones. Haz clic sobre la opción que consideres correcta de la columna izquierda y seguido da clic sobre la respuesta de la columna derecha para relacionarlas.</t>
  </si>
  <si>
    <t>Relaciona los 4 conceptos del Modelo de Data Governance y qué es lo que buscan. Haz clic sobre la opción que consideres correcta de la columna izquierda y seguido da clic sobre la respuesta de la columna derecha para relacionarlas.</t>
  </si>
  <si>
    <t>Relaciona los siguientes conceptos de entidades con su definición. Haz clic sobre la opción que consideres correcta de la columna izquierda y seguido da clic sobre la respuesta de la columna derecha para relacionarlas.</t>
  </si>
  <si>
    <t>Es la piedra angular de la organización para la correcta implantación de un gobierno de los datos adecuado</t>
  </si>
  <si>
    <t>¡Muy bien! La piedra angular de la organización para la correcta implantación de un gobierno de los datos adecuado es el Data Owner.</t>
  </si>
  <si>
    <t>¡Oh no! Recuerda que la piedra angular de la organización para la correcta implantación de un gobierno de los datos adecuado es el Data Owner.</t>
  </si>
  <si>
    <t>¡Muy bien! Un Data Owner Relacionado es el responsable de las entidades de explotación de una entidad conceptual que se generan y aplican en su ámbito.</t>
  </si>
  <si>
    <t>¡Muy bien! Un Dominio de datos es una agrupación lógica de datos relacionados que puede abarcar un área completa o un conjunto de datos específicos.</t>
  </si>
  <si>
    <t>¡Oh no! Un Data Owner Relacionado es el responsable de las entidades de explotación de una entidad conceptual que se generan y aplican en su ámbito.</t>
  </si>
  <si>
    <t>¡Oh no! Un Dominio de datos es una agrupación lógica de datos relacionados que puede abarcar un área completa o un conjunto de datos específicos.</t>
  </si>
  <si>
    <t>¡Oh no! Un Dominio de datos no es una estructura alineada a la jerarquía organizacional de un área.</t>
  </si>
  <si>
    <t>¡Muy bien! Un Dominio de datos no es una estructura alineada a la jerarquía organizacional de un área.</t>
  </si>
  <si>
    <t>¡Muy bien! Una entidad de explotación puede estar disponible en varias Data Sources y entidades físicas.</t>
  </si>
  <si>
    <t>¡Oh no! Una entidad de explotación puede estar disponible en varias Data Sources y entidades físicas.</t>
  </si>
  <si>
    <t>¡Muy bien! Todas las dimensiones de explotación originan entidades de explotación.</t>
  </si>
  <si>
    <t>¡Oh no! Todas las dimensiones de explotación originan entidades de explotación.</t>
  </si>
  <si>
    <t>¡Oh no! Las reglas de calidad expertas son aquéllas que requieren del expertise del Data Owner.</t>
  </si>
  <si>
    <t>¡Muy bien! Las reglas de calidad expertas son aquéllas que requieren del expertise del Data Owner.</t>
  </si>
  <si>
    <t>¡Muy bien! Una regla de calidad experta es necesaria para incorporar la lógica funcional y la definición intrínseca de los datos.</t>
  </si>
  <si>
    <t>¡Oh no! Una regla de calidad experta es necesaria para incorporar la lógica funcional y la definición intrínseca de los datos.</t>
  </si>
  <si>
    <t>¡Oh no! Una regla de calidad es un control definido y operativizado que contribuye a que el dato cumpla con la calidad requerida.</t>
  </si>
  <si>
    <t>¡Muy bien! Una regla de calidad es un control definido y operativizado que contribuye a que el dato cumpla con la calidad requerida.</t>
  </si>
  <si>
    <t>¡Muy bien! El muestreo de calidad es una responsabilidad del SubDomain y Domain Owner.</t>
  </si>
  <si>
    <t>¡Oh no! El muestreo de calidad es una responsabilidad del SubDomain y Domain Owner.</t>
  </si>
  <si>
    <t>¡Muy bien! Una misma entidad de explotación puede tener una representación física en varias tablas/aplicativos.</t>
  </si>
  <si>
    <t>¡Oh no! Una misma entidad de explotación puede tener una representación física en varias tablas/aplicativos.</t>
  </si>
  <si>
    <t>¡Muy bien! El Data Owner de la entidad conceptual, será el responsable de impulsar que estas entidades físicas se identifiquen y progresivamente se gobiernen, contando para ello con la ayuda de los equipo de Engineering.</t>
  </si>
  <si>
    <t>¡Oh no! El Data Owner de la entidad conceptual, será el responsable de impulsar que estas entidades físicas se identifiquen y progresivamente se gobiernen, contando para ello con la ayuda de los equipo de Engineering.</t>
  </si>
  <si>
    <t>¡Oh no! Cada TDS puede tener más de un SoR.</t>
  </si>
  <si>
    <t>¡Muy bien! Cada TDS puede tener más de un SoR.</t>
  </si>
  <si>
    <t>¡Muy bien! Un SubDomain Owner puede ser Owner de más de un SubDomain.</t>
  </si>
  <si>
    <t>¡Oh no! Un SubDomain Owner puede ser Owner de más de un SubDomain.</t>
  </si>
  <si>
    <t>¡Muy bien! Un Data Owner puede ser Owner de más de un ownership.</t>
  </si>
  <si>
    <t>¡Oh no! Un Data Owner puede ser Owner de más de un ownership.</t>
  </si>
  <si>
    <t>¡Muy bien! Los Subject Matter Expert (SMEs) representan a los SubDomain Owners.</t>
  </si>
  <si>
    <t>¡Oh no! Los Subject Matter Expert (SMEs) representan a los SubDomain Owners.</t>
  </si>
  <si>
    <t>¡Muy bien! La función de Data Governance define e implementa los estándares, controles y mejores prácticas relativos a la gestión de datos, garantizando su alineación con la estrategia del Grupo.</t>
  </si>
  <si>
    <t>¡Oh no! La función de Data Governance define e implementa los estándares, controles y mejores prácticas relativos a la gestión de datos, garantizando su alineación con la estrategia del Grupo.</t>
  </si>
  <si>
    <t>¡Muy bien! Lo habitual es que para cada entidad conceptual existan varias entidades de explotación.</t>
  </si>
  <si>
    <t>¡Oh no! Lo habitual es que para cada entidad conceptual existan varias entidades de explotación.</t>
  </si>
  <si>
    <t>¡Muy bien! Una entidad puede tener alcance geográfico Holding, global, local.</t>
  </si>
  <si>
    <t>¡Oh no! Una entidad puede tener alcance geográfico Holding, global, local.</t>
  </si>
  <si>
    <t>¡Muy bien! Las reglas de calidad son definidas para las entidades de explotación.</t>
  </si>
  <si>
    <t>¡Oh no! Las reglas de calidad son definidas para las entidades de explotación.</t>
  </si>
  <si>
    <t>¡Muy bien! La definición funcional de una entidad se documenta en Sophia en el Business Glossary.</t>
  </si>
  <si>
    <t>¡Oh no! La definición funcional de una entidad se documenta en Sophia en el Business Glossary.</t>
  </si>
  <si>
    <t>¡Muy bien! Una Data Source corporativa es aquella que es mantenida por Ingeniería.</t>
  </si>
  <si>
    <t>¡Oh no! Una Data Source corporativa es aquella que es mantenida por Ingeniería.</t>
  </si>
  <si>
    <t>¡Muy bien! Data Owner identifica y levanta pain points relacionados con procesos de datos y la operativa diaria.</t>
  </si>
  <si>
    <t>¡Oh no! Data Owner identifica y levanta pain points relacionados con procesos de datos y la operativa diaria.</t>
  </si>
  <si>
    <t>¡Muy bien! Las reglas de calidad básicas proporcionan el mínimo nivel de control requerido para un dato.</t>
  </si>
  <si>
    <t>¡Oh no! Las reglas de calidad básicas proporcionan el mínimo nivel de control requerido para un dato.</t>
  </si>
  <si>
    <t>¡Muy bien! Las reglas de calidad expertas son necesarias para incorporar la lógica funcional y la definición intrínseca de los datos</t>
  </si>
  <si>
    <t>¡Oh no! Las reglas de calidad expertas son necesarias para incorporar la lógica funcional y la definición intrínseca de los datos</t>
  </si>
  <si>
    <t>¡Muy bien! El SubDomain Owner evalua el hand-over realizado al nuevo Data Owner.</t>
  </si>
  <si>
    <t>¡Oh no! El SubDomain Owner evalua el hand-over realizado al nuevo Data Owner.</t>
  </si>
  <si>
    <t>¡Muy bien! En la Herramienta de Gobierno es posible exportar toda la información documentada en el Data Content y en el Data Dictionary.</t>
  </si>
  <si>
    <t>¡Oh no! En la Herramienta de Gobierno es posible exportar toda la información documentada en el Data Content y en el Data Dictionary.</t>
  </si>
  <si>
    <t>¡Muy bien! Desde el apartado Data Content de la Herramienta de Gobierno se puede crear una regla de calidad asociada.</t>
  </si>
  <si>
    <t>¡Muy bien! Desde el apartado Data Quality se pueden consultar los tipos de reglas asociadas a los principios de calidad.</t>
  </si>
  <si>
    <t>¡Oh no! Desde el apartado Data Quality se pueden consultar los tipos de reglas asociadas a los principios de calidad.</t>
  </si>
  <si>
    <t>¡Muy bien! En la Herramienta de Gobierno sí existe la posibilidad de duplicar la información de una regla de calidad para crear otra nueva.</t>
  </si>
  <si>
    <t>¡Oh no! En la Herramienta de Gobierno sí existe la posibilidad de duplicar la información de una regla de calidad para crear otra nueva.</t>
  </si>
  <si>
    <t>¡Muy bien! En la Herramienta de Gobierno, a la hora de crear una regla de calidad siempre se completa, entre otros, el principio y tipo de regla.</t>
  </si>
  <si>
    <t>¡Oh no! En la Herramienta de Gobierno, a la hora de crear una regla de calidad siempre se completa, entre otros, el principio y tipo de regla.</t>
  </si>
  <si>
    <t>¡Muy bien! Es posible modificar la descripción de una entidad global para adaptarla a particularidades locales.</t>
  </si>
  <si>
    <t>¡Oh no! Es posible modificar la descripción de una entidad global para adaptarla a particularidades locales.</t>
  </si>
  <si>
    <t>¡Muy bien! En el apartado Data Dictionary de la Herramienta de Gobierno, se puede consultar la información a nivel campo y a nivel objeto.</t>
  </si>
  <si>
    <t>¡Oh no! En el apartado Data Dictionary de la Herramienta de Gobierno, se puede consultar la información a nivel campo y a nivel objeto.</t>
  </si>
  <si>
    <t>¡Muy bien! Las definiciones y nombres de las entidades conceptuales tienen que declararse también en inglés.</t>
  </si>
  <si>
    <t>¡Oh no! Las definiciones y nombres de las entidades conceptuales tienen que declararse también en inglés.</t>
  </si>
  <si>
    <t>¡Muy bien! En la Herramienta de Gobierno, los filtros de búsqueda no se encuentran exclusivamente a nivel EC.</t>
  </si>
  <si>
    <t>¡Oh no! En la Herramienta de Gobierno, los filtros de búsqueda no se encuentran exclusivamente a nivel EC.</t>
  </si>
  <si>
    <t>¡Muy bien! El 'Global related term' del Business Glossary,  se informará si la Entidad Conceptual es 'Global' y se informará si la Entidad Conceptual es 'Local'.</t>
  </si>
  <si>
    <t>¡Oh no! El 'Global related term' del Business Glossary,  se informará si la Entidad Conceptual es 'Global' y se informará si la Entidad Conceptual es 'Local'.</t>
  </si>
  <si>
    <t>¡Muy bien! La herramienta de gobierno es un apoyo para todos los miembros de la comunidad de Governance (Domain Owners, SubDomain Owners, Data Owners, Facilitadores, SMEs, DPM, Equipos de Ingeniería y de Arquitectura, etc.)</t>
  </si>
  <si>
    <t>¡Oh no! La herramienta de gobierno es un apoyo para todos los miembros de la comunidad de Governance (Domain Owners, SubDomain Owners, Data Owners, Facilitadores, SMEs, DPM, Equipos de Ingeniería y de Arquitectura, etc.)</t>
  </si>
  <si>
    <t>¡Muy bien! El Domain Owner es responsable de validad la información documentada; y el SubDomain Owner es responsable de realizar muestreos de calidad de lo documentado.</t>
  </si>
  <si>
    <t>¡Oh no! El Domain Owner es responsable de validad la información documentada; y el SubDomain Owner es responsable de realizar muestreos de calidad de lo documentado.</t>
  </si>
  <si>
    <t>¡Muy bien! A la hora de completar el campo 'CONCEPTUAL ENTITY DESCRIPTION' es necesario describir una definición clara que contega el detalle suficiente para que sea entendible para el resto.</t>
  </si>
  <si>
    <t>¡Oh no! A la hora de completar el campo 'CONCEPTUAL ENTITY DESCRIPTION' es necesario describir una definición clara que contega el detalle suficiente para que sea entendible para el resto.</t>
  </si>
  <si>
    <t>¡Muy bien! El Facilitador (Domain Lead) es responsable de canalizar los campos físicos con deuda de gobierno. El Data Owner de aquellos campos físicos con deuda de gobierno es el responsable de solventarlas.</t>
  </si>
  <si>
    <t>¡Oh no! El Facilitador (Domain Lead) es responsable de canalizar los campos físicos con deuda de gobierno. El Data Owner de aquellos campos físicos con deuda de gobierno es el responsable de solventarlas.</t>
  </si>
  <si>
    <t>¡Muy bien! El Head of Data es el responsable de asesorar a los responsables de negocio en su ámbito de responsabilidad, sobre los desafíos y oportunidades en materia de datos relacionados con sus objetivos comerciales.</t>
  </si>
  <si>
    <t>¡Oh no! El Head of Data es el responsable de asesorar a los responsables de negocio en su ámbito de responsabilidad, sobre los desafíos y oportunidades en materia de datos relacionados con sus objetivos comerciales.</t>
  </si>
  <si>
    <t>¡Muy bien! El Domain Owner es el responsable de garantizar el cumplimiento del modelo de gobierno dentro del dominio, asegurando el alineamiento con la estrategia global de datos.</t>
  </si>
  <si>
    <t>¡Oh no! El Domain Owner es el responsable de garantizar el cumplimiento del modelo de gobierno dentro del dominio, asegurando el alineamiento con la estrategia global de datos.</t>
  </si>
  <si>
    <t>¡Muy bien! El Domain Owner es responsable de nombrar a los SubDomain Owners y Data Owners de su Dominio.</t>
  </si>
  <si>
    <t>¡Oh no! El Domain Owner es responsable de nombrar a los SubDomain Owners y Data Owners de su Dominio.</t>
  </si>
  <si>
    <t>¡Muy bien! DPM es responsable de establecer e implementar los Working Group del DOM en la geografía.</t>
  </si>
  <si>
    <t>¡Oh no! DPM es responsable de establecer e implementar los Working Group del DOM en la geografía.</t>
  </si>
  <si>
    <t>¡Muy bien! En las búsquedas en la Herramienta de Gobierno sí te permite seleccionar el idioma de búsqueda.</t>
  </si>
  <si>
    <t>¡Oh no! En las búsquedas en la Herramienta de Gobierno sí te permite seleccionar el idioma de búsqueda.</t>
  </si>
  <si>
    <t>¡Muy bien! Desde un objeto del Data Dictionary se pueden visualizar los campos físicos asociados.</t>
  </si>
  <si>
    <t>¡Oh no! Desde un objeto del Data Dictionary se pueden visualizar los campos físicos asociados.</t>
  </si>
  <si>
    <t>¡Muy bien! Si una de tus entidades se ha modificado y no fuiste tú,  sí hay manera de comprobar quién ha sido la persona, así como la fecha en que se modificó.</t>
  </si>
  <si>
    <t>¡Oh no! Si una de tus entidades se ha modificado y no fuiste tú,  sí hay manera de comprobar quién ha sido la persona, así como la fecha en que se modificó.</t>
  </si>
  <si>
    <t>¡Muy bien! Desde el detalle de una EC se puede lanzar la búsqueda de tus reglas de calidad o entidades físicas relacionadas.</t>
  </si>
  <si>
    <t>¡Oh no! Desde el detalle de una EC se puede lanzar la búsqueda de tus reglas de calidad o entidades físicas relacionadas.</t>
  </si>
  <si>
    <t>¡Muy bien! Cada entidad conceptual dentro de un país debe de tener un nombre único.</t>
  </si>
  <si>
    <t>¡Oh no! Cada entidad conceptual dentro de un país debe de tener un nombre único.</t>
  </si>
  <si>
    <t>¡Muy bien! Si realizas filtros en la pantalla de búsqueda y accedes al detalle de la entidad, y quieres volver atrás, sí se mantienen los filtros aplicados.</t>
  </si>
  <si>
    <t>¡Oh no! Si realizas filtros en la pantalla de búsqueda y accedes al detalle de la entidad, y quieres volver atrás, sí se mantienen los filtros aplicados.</t>
  </si>
  <si>
    <t>¡Muy bien! En la Herramienta, sí tienes disponibles todos los templates necesarios para realizar cargas masivas.</t>
  </si>
  <si>
    <t>¡Oh no! En la Herramienta, sí tienes disponibles todos los templates necesarios para realizar cargas masivas.</t>
  </si>
  <si>
    <t>¡Muy bien! En la Herramienta, sí tienes disponible algún manual de uso de la misma.</t>
  </si>
  <si>
    <t>¡Oh no! En la Herramienta, sí tienes disponible algún manual de uso de la misma.</t>
  </si>
  <si>
    <t>¡Muy bien! En la Herramienta, sí puedes ordenar alfabéticamente las búsquedas.</t>
  </si>
  <si>
    <t>¡Oh no! En la Herramienta, sí puedes ordenar alfabéticamente las búsquedas.</t>
  </si>
  <si>
    <t>¡Muy bien! Sí es posible seleccionar más de una dimensión a una misma EC.</t>
  </si>
  <si>
    <t>¡Oh no! Sí es posible seleccionar más de una dimensión a una misma EC.</t>
  </si>
  <si>
    <t>¡Muy bien! El Domain Owner solamente puede validar en la herramienta de gobierno de aquellas entidades previamente validadas por su Data Owner.</t>
  </si>
  <si>
    <t>¡Oh no! El Domain Owner solamente puede validar en la herramienta de gobierno de aquellas entidades previamente validadas por su Data Owner.</t>
  </si>
  <si>
    <t>¡Muy bien! Sí es posible asociar una DS de holding a mi entidad local.</t>
  </si>
  <si>
    <t>¡Oh no! Sí es posible asociar una DS de holding a mi entidad local.</t>
  </si>
  <si>
    <t>¡Muy bien! Sí, al dar de alta una EC en un ownership concreto, se autocompletan los campos 'data owner' y 'data owner contact'.</t>
  </si>
  <si>
    <t>¡Oh no! Sí, al dar de alta una EC en un ownership concreto, se autocompletan los campos 'data owner' y 'data owner contact'.</t>
  </si>
  <si>
    <t>¡Muy bien! Sí, en Sophia, puedes consultar entidades de otros dominios.</t>
  </si>
  <si>
    <t>¡Oh no! Sí, en Sophia, puedes consultar entidades de otros dominios.</t>
  </si>
  <si>
    <t>¡Muy bien! Sí se pueden copiar reglas de calidad.</t>
  </si>
  <si>
    <t>¡Oh no! Sí se pueden copiar reglas de calidad.</t>
  </si>
  <si>
    <t>¡Muy bien! Es responsabilidad del SubDomain Owner identificar, nombrar y coordinar a los Data Owners de su SubDominio.</t>
  </si>
  <si>
    <t>¡Oh no! Es responsabilidad del SubDomain Owner identificar, nombrar y coordinar a los Data Owners de su SubDominio.</t>
  </si>
  <si>
    <t>¡Muy bien! El Data Owner es quién debe definir el contenido, calidad, linaje y disponibilidad de sus entidades de datos.</t>
  </si>
  <si>
    <t>¡Oh no! El Data Owner es quién debe definir el contenido, calidad, linaje y disponibilidad de sus entidades de datos.</t>
  </si>
  <si>
    <t>¡Muy bien! Un dato es cualquier concepto del cual, la organización requiere almacenar información para su negocio.</t>
  </si>
  <si>
    <t>¡Oh no! Un dato es cualquier concepto del cual, la organización requiere almacenar información para su negocio.</t>
  </si>
  <si>
    <t>¡Muy bien! El Data Owner es responsable de identificar el Trusted Data Source de los datos.</t>
  </si>
  <si>
    <t>¡Oh no! El Data Owner es responsable de identificar el Trusted Data Source de los datos.</t>
  </si>
  <si>
    <t>¡Muy bien! El Domain Owner debe asistir al Country / Management Working Group mensual.</t>
  </si>
  <si>
    <t>¡Oh no! El Domain Owner debe asistir al Country / Management Working Group mensual.</t>
  </si>
  <si>
    <t>¡Muy bien! El SubDomain Owner designa al Subject Matter Expert (SME).</t>
  </si>
  <si>
    <t>¡Oh no! El SubDomain Owner designa al Subject Matter Expert (SME).</t>
  </si>
  <si>
    <t>¡Muy bien! El Data Owner debe identificar y documentar nuevas entidades conceptuales y de explotación post-W1 y W2.</t>
  </si>
  <si>
    <t>¡Oh no! El Data Owner debe identificar y documentar nuevas entidades conceptuales y de explotación post-W1 y W2.</t>
  </si>
  <si>
    <t>¡Muy bien! El Facilitador (Domain Lead) coordina la elaboración del Master Plan del Dominio.</t>
  </si>
  <si>
    <t>¡Oh no! El Facilitador (Domain Lead) coordina la elaboración del Master Plan del Dominio.</t>
  </si>
  <si>
    <t>¡Muy bien! El Data Owner debe cerrar deudas de gobierno en la herramienta Data governance.</t>
  </si>
  <si>
    <t>¡Oh no! El Data Owner debe cerrar deudas de gobierno en la herramienta Data governance.</t>
  </si>
  <si>
    <t>¡Muy bien! El SubDomain Owner es quién debe priorizar los pain points e iniciativas de su SubDominio en el Master Plan.</t>
  </si>
  <si>
    <t>¡Oh no! El SubDomain Owner es quién debe priorizar los pain points e iniciativas de su SubDominio en el Master Plan.</t>
  </si>
  <si>
    <t>¡Muy bien! Un excel no es un DS productivo.</t>
  </si>
  <si>
    <t>¡Oh no! Un excel no es un DS productivo ya que no está mantenido por Engineering.</t>
  </si>
  <si>
    <t>¡Muy bien! El Data Owner Primario es responsable de garantizar que los Data Owners Relacionados cuenten con planes de actuación robustos para cubrir progresivamente los gaps identificados.</t>
  </si>
  <si>
    <t>¡Oh no! El Data Owner Primario es responsable de garantizar que los Data Owners Relacionados cuenten con planes de actuación robustos para cubrir progresivamente los gaps identificados.</t>
  </si>
  <si>
    <t>¡Muy bien! El Data Owner Primario deberá alinearse con el Data Owner Relacionado de sus entidades de explotación para garantizar la homogeneidad y alineamiento tanto de la definición conceptual como de las reglas de calidad.</t>
  </si>
  <si>
    <t>¡Oh no! El Data Owner Primario deberá alinearse con el Data Owner Relacionado de sus entidades de explotación para garantizar la homogeneidad y alineamiento tanto de la definición conceptual como de las reglas de calidad.</t>
  </si>
  <si>
    <t>¡Muy bien! El Data Hub no puede operativizar reglas expertas de Data Quality en Datio sin que el Data Owner (u otro responsable de Negocio) las haya definido/solicitado.</t>
  </si>
  <si>
    <t>¡Oh no! El Data Hub no puede operativizar reglas expertas de Data Quality en Datio sin que el Data Owner (u otro responsable de Negocio) las haya definido/solicitado.</t>
  </si>
  <si>
    <t>¡Muy bien! Una entidad conceptual en zona gris ya tiene identificados los posibles Dominios pero aún no hay acuerdo entre ellos sobre quién es dueño de esa entidad.</t>
  </si>
  <si>
    <t>¡Oh no! Una entidad conceptual en zona gris ya tiene identificados los posibles Dominios pero aún no hay acuerdo entre ellos sobre quién es dueño de esa entidad.</t>
  </si>
  <si>
    <t>¡Muy bien!  Se debe asignar un Data Owner que la gobierne en la herramienta de Gobierno.</t>
  </si>
  <si>
    <t>¡Oh no! Se debe asignar un Data Owner que la gobierne en la herramienta de Gobierno.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</si>
</sst>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0"/>
      <color rgb="FF000000"/>
      <name val="Arial"/>
    </font>
    <font>
      <sz val="10"/>
      <name val="Arial"/>
      <family val="2"/>
    </font>
    <font>
      <b/>
      <sz val="10"/>
      <color rgb="FFFFFFFF"/>
      <name val="Arial"/>
      <family val="2"/>
    </font>
    <font>
      <b/>
      <sz val="10"/>
      <color rgb="FFFFFFFF"/>
      <name val="Arial"/>
      <family val="2"/>
    </font>
    <font>
      <sz val="10"/>
      <color rgb="FF000000"/>
      <name val="Arial"/>
      <family val="2"/>
    </font>
    <font>
      <b/>
      <sz val="10"/>
      <color rgb="FF000000"/>
      <name val="Arial"/>
      <family val="2"/>
    </font>
    <font>
      <sz val="10"/>
      <color rgb="FFFFFFFF"/>
      <name val="Arial"/>
      <family val="2"/>
    </font>
    <font>
      <sz val="10"/>
      <name val="Arial"/>
      <family val="2"/>
    </font>
    <font>
      <b/>
      <sz val="10"/>
      <color rgb="FF000000"/>
      <name val="Arial"/>
      <family val="2"/>
    </font>
    <font>
      <sz val="10"/>
      <color rgb="FF833C0B"/>
      <name val="Arial"/>
      <family val="2"/>
    </font>
    <font>
      <sz val="10"/>
      <color rgb="FF000000"/>
      <name val="Roboto"/>
    </font>
    <font>
      <sz val="10"/>
      <color rgb="FF222222"/>
      <name val="Arial"/>
      <family val="2"/>
    </font>
    <font>
      <sz val="11"/>
      <color rgb="FF3C4043"/>
      <name val="Roboto"/>
    </font>
    <font>
      <sz val="11"/>
      <color rgb="FF833C0B"/>
      <name val="Roboto"/>
    </font>
    <font>
      <b/>
      <sz val="10"/>
      <color rgb="FFFFFFFF"/>
      <name val="Calibri"/>
      <family val="2"/>
    </font>
    <font>
      <sz val="10"/>
      <color rgb="FF000000"/>
      <name val="Calibri"/>
      <family val="2"/>
    </font>
    <font>
      <sz val="11"/>
      <name val="Calibri"/>
      <family val="2"/>
    </font>
    <font>
      <u/>
      <sz val="10"/>
      <color rgb="FF000000"/>
      <name val="Calibri"/>
      <family val="2"/>
    </font>
    <font>
      <u/>
      <sz val="10"/>
      <color rgb="FF000000"/>
      <name val="Calibri"/>
      <family val="2"/>
    </font>
    <font>
      <sz val="12"/>
      <color rgb="FF222222"/>
      <name val="Arial"/>
      <family val="2"/>
    </font>
    <font>
      <b/>
      <sz val="10"/>
      <name val="Arial"/>
      <family val="2"/>
    </font>
    <font>
      <u/>
      <sz val="10"/>
      <name val="Arial"/>
      <family val="2"/>
    </font>
  </fonts>
  <fills count="26">
    <fill>
      <patternFill patternType="none"/>
    </fill>
    <fill>
      <patternFill patternType="gray125"/>
    </fill>
    <fill>
      <patternFill patternType="solid">
        <fgColor rgb="FF0000FF"/>
        <bgColor rgb="FF0000FF"/>
      </patternFill>
    </fill>
    <fill>
      <patternFill patternType="solid">
        <fgColor rgb="FFFFFF00"/>
        <bgColor rgb="FFFFFF00"/>
      </patternFill>
    </fill>
    <fill>
      <patternFill patternType="solid">
        <fgColor rgb="FF073763"/>
        <bgColor rgb="FF073763"/>
      </patternFill>
    </fill>
    <fill>
      <patternFill patternType="solid">
        <fgColor rgb="FFFFFFFF"/>
        <bgColor rgb="FFFFFFFF"/>
      </patternFill>
    </fill>
    <fill>
      <patternFill patternType="solid">
        <fgColor rgb="FF00FF00"/>
        <bgColor rgb="FF00FF00"/>
      </patternFill>
    </fill>
    <fill>
      <patternFill patternType="solid">
        <fgColor rgb="FFFF9900"/>
        <bgColor rgb="FFFF9900"/>
      </patternFill>
    </fill>
    <fill>
      <patternFill patternType="solid">
        <fgColor rgb="FF9900FF"/>
        <bgColor rgb="FF9900FF"/>
      </patternFill>
    </fill>
    <fill>
      <patternFill patternType="solid">
        <fgColor rgb="FFD9EAD3"/>
        <bgColor rgb="FFD9EAD3"/>
      </patternFill>
    </fill>
    <fill>
      <patternFill patternType="solid">
        <fgColor rgb="FFF4B083"/>
        <bgColor rgb="FFF4B083"/>
      </patternFill>
    </fill>
    <fill>
      <patternFill patternType="solid">
        <fgColor rgb="FFF4CCCC"/>
        <bgColor rgb="FFF4CCCC"/>
      </patternFill>
    </fill>
    <fill>
      <patternFill patternType="solid">
        <fgColor rgb="FFDEEAF6"/>
        <bgColor rgb="FFDEEAF6"/>
      </patternFill>
    </fill>
    <fill>
      <patternFill patternType="solid">
        <fgColor rgb="FFD8D8D8"/>
        <bgColor rgb="FFD8D8D8"/>
      </patternFill>
    </fill>
    <fill>
      <patternFill patternType="solid">
        <fgColor rgb="FFF7CAAC"/>
        <bgColor rgb="FFF7CAAC"/>
      </patternFill>
    </fill>
    <fill>
      <patternFill patternType="solid">
        <fgColor rgb="FF548DD4"/>
        <bgColor rgb="FF548DD4"/>
      </patternFill>
    </fill>
    <fill>
      <patternFill patternType="solid">
        <fgColor rgb="FF006EC1"/>
        <bgColor rgb="FF006EC1"/>
      </patternFill>
    </fill>
    <fill>
      <patternFill patternType="solid">
        <fgColor rgb="FFE4EBF4"/>
        <bgColor rgb="FFE4EBF4"/>
      </patternFill>
    </fill>
    <fill>
      <patternFill patternType="solid">
        <fgColor rgb="FFDDEBF7"/>
        <bgColor rgb="FFDDEBF7"/>
      </patternFill>
    </fill>
    <fill>
      <patternFill patternType="solid">
        <fgColor rgb="FFDBE5F1"/>
        <bgColor rgb="FFDBE5F1"/>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FF0000"/>
        <bgColor rgb="FFFFFF00"/>
      </patternFill>
    </fill>
    <fill>
      <patternFill patternType="solid">
        <fgColor rgb="FFFF0000"/>
        <bgColor rgb="FFD9EAD3"/>
      </patternFill>
    </fill>
    <fill>
      <patternFill patternType="solid">
        <fgColor theme="5"/>
        <bgColor indexed="64"/>
      </patternFill>
    </fill>
  </fills>
  <borders count="1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bottom/>
      <diagonal/>
    </border>
    <border>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1">
    <xf numFmtId="0" fontId="0" fillId="0" borderId="0"/>
  </cellStyleXfs>
  <cellXfs count="130">
    <xf numFmtId="0" fontId="0" fillId="0" borderId="0" xfId="0" applyFont="1" applyAlignment="1"/>
    <xf numFmtId="0" fontId="1" fillId="0" borderId="0" xfId="0" applyFont="1" applyAlignment="1"/>
    <xf numFmtId="0" fontId="7" fillId="0" borderId="0" xfId="0" applyFont="1" applyAlignment="1">
      <alignment wrapText="1"/>
    </xf>
    <xf numFmtId="0" fontId="7" fillId="0" borderId="3" xfId="0" applyFont="1" applyBorder="1" applyAlignment="1">
      <alignment wrapText="1"/>
    </xf>
    <xf numFmtId="0" fontId="7" fillId="5" borderId="4" xfId="0" applyFont="1" applyFill="1" applyBorder="1" applyAlignment="1">
      <alignment wrapText="1"/>
    </xf>
    <xf numFmtId="0" fontId="7" fillId="9" borderId="4" xfId="0" applyFont="1" applyFill="1" applyBorder="1" applyAlignment="1">
      <alignment wrapText="1"/>
    </xf>
    <xf numFmtId="0" fontId="4" fillId="9" borderId="4" xfId="0" applyFont="1" applyFill="1" applyBorder="1" applyAlignment="1">
      <alignment wrapText="1"/>
    </xf>
    <xf numFmtId="0" fontId="7" fillId="0" borderId="4" xfId="0" applyFont="1" applyBorder="1" applyAlignment="1">
      <alignment wrapText="1"/>
    </xf>
    <xf numFmtId="0" fontId="10" fillId="5" borderId="0" xfId="0" applyFont="1" applyFill="1" applyAlignment="1"/>
    <xf numFmtId="0" fontId="7" fillId="3" borderId="4" xfId="0" applyFont="1" applyFill="1" applyBorder="1" applyAlignment="1">
      <alignment wrapText="1"/>
    </xf>
    <xf numFmtId="0" fontId="7" fillId="0" borderId="6" xfId="0" applyFont="1" applyBorder="1" applyAlignment="1">
      <alignment wrapText="1"/>
    </xf>
    <xf numFmtId="0" fontId="1" fillId="3" borderId="0" xfId="0" applyFont="1" applyFill="1" applyAlignment="1">
      <alignment wrapText="1"/>
    </xf>
    <xf numFmtId="0" fontId="1" fillId="0" borderId="0" xfId="0" applyFont="1" applyAlignment="1">
      <alignment wrapText="1"/>
    </xf>
    <xf numFmtId="0" fontId="3" fillId="2" borderId="0" xfId="0" applyFont="1" applyFill="1" applyAlignment="1">
      <alignment wrapText="1"/>
    </xf>
    <xf numFmtId="0" fontId="6" fillId="2" borderId="0" xfId="0" applyFont="1" applyFill="1" applyAlignment="1">
      <alignment wrapText="1"/>
    </xf>
    <xf numFmtId="0" fontId="5" fillId="3" borderId="0" xfId="0" applyFont="1" applyFill="1" applyAlignment="1">
      <alignment wrapText="1"/>
    </xf>
    <xf numFmtId="0" fontId="1" fillId="0" borderId="0" xfId="0" applyFont="1" applyAlignment="1">
      <alignment wrapText="1"/>
    </xf>
    <xf numFmtId="0" fontId="7" fillId="11" borderId="4" xfId="0" applyFont="1" applyFill="1" applyBorder="1" applyAlignment="1">
      <alignment wrapText="1"/>
    </xf>
    <xf numFmtId="0" fontId="7" fillId="3" borderId="3" xfId="0" applyFont="1" applyFill="1" applyBorder="1" applyAlignment="1">
      <alignment wrapText="1"/>
    </xf>
    <xf numFmtId="0" fontId="1" fillId="3" borderId="0" xfId="0" applyFont="1" applyFill="1" applyAlignment="1">
      <alignment wrapText="1"/>
    </xf>
    <xf numFmtId="0" fontId="7" fillId="0" borderId="0" xfId="0" applyFont="1" applyAlignment="1"/>
    <xf numFmtId="0" fontId="2" fillId="2" borderId="5" xfId="0" applyFont="1" applyFill="1" applyBorder="1" applyAlignment="1">
      <alignment wrapText="1"/>
    </xf>
    <xf numFmtId="0" fontId="2" fillId="2" borderId="4" xfId="0" applyFont="1" applyFill="1" applyBorder="1" applyAlignment="1">
      <alignment wrapText="1"/>
    </xf>
    <xf numFmtId="0" fontId="8" fillId="3" borderId="4" xfId="0" applyFont="1" applyFill="1" applyBorder="1" applyAlignment="1">
      <alignment wrapText="1"/>
    </xf>
    <xf numFmtId="0" fontId="2" fillId="7" borderId="4" xfId="0" applyFont="1" applyFill="1" applyBorder="1" applyAlignment="1">
      <alignment wrapText="1"/>
    </xf>
    <xf numFmtId="0" fontId="2" fillId="8" borderId="0" xfId="0" applyFont="1" applyFill="1" applyAlignment="1">
      <alignment wrapText="1"/>
    </xf>
    <xf numFmtId="0" fontId="7" fillId="0" borderId="6" xfId="0" applyFont="1" applyBorder="1" applyAlignment="1"/>
    <xf numFmtId="0" fontId="7" fillId="0" borderId="3" xfId="0" applyFont="1" applyBorder="1" applyAlignment="1"/>
    <xf numFmtId="0" fontId="9" fillId="0" borderId="4" xfId="0" applyFont="1" applyBorder="1" applyAlignment="1">
      <alignment wrapText="1"/>
    </xf>
    <xf numFmtId="0" fontId="12" fillId="5" borderId="4" xfId="0" applyFont="1" applyFill="1" applyBorder="1" applyAlignment="1">
      <alignment wrapText="1"/>
    </xf>
    <xf numFmtId="0" fontId="9" fillId="0" borderId="6" xfId="0" applyFont="1" applyBorder="1" applyAlignment="1">
      <alignment wrapText="1"/>
    </xf>
    <xf numFmtId="0" fontId="7" fillId="10" borderId="4" xfId="0" applyFont="1" applyFill="1" applyBorder="1" applyAlignment="1">
      <alignment wrapText="1"/>
    </xf>
    <xf numFmtId="0" fontId="10" fillId="5" borderId="4" xfId="0" applyFont="1" applyFill="1" applyBorder="1" applyAlignment="1"/>
    <xf numFmtId="0" fontId="7" fillId="3" borderId="0" xfId="0" applyFont="1" applyFill="1" applyAlignment="1">
      <alignment wrapText="1"/>
    </xf>
    <xf numFmtId="0" fontId="7" fillId="3" borderId="6" xfId="0" applyFont="1" applyFill="1" applyBorder="1" applyAlignment="1">
      <alignment wrapText="1"/>
    </xf>
    <xf numFmtId="0" fontId="9" fillId="0" borderId="0" xfId="0" applyFont="1" applyAlignment="1">
      <alignment wrapText="1"/>
    </xf>
    <xf numFmtId="0" fontId="13" fillId="5" borderId="4" xfId="0" applyFont="1" applyFill="1" applyBorder="1" applyAlignment="1">
      <alignment wrapText="1"/>
    </xf>
    <xf numFmtId="0" fontId="9" fillId="3" borderId="6" xfId="0" applyFont="1" applyFill="1" applyBorder="1" applyAlignment="1">
      <alignment wrapText="1"/>
    </xf>
    <xf numFmtId="0" fontId="7" fillId="9" borderId="4" xfId="0" applyFont="1" applyFill="1" applyBorder="1" applyAlignment="1">
      <alignment horizontal="center" wrapText="1"/>
    </xf>
    <xf numFmtId="0" fontId="7" fillId="5" borderId="5" xfId="0" applyFont="1" applyFill="1" applyBorder="1" applyAlignment="1">
      <alignment wrapText="1"/>
    </xf>
    <xf numFmtId="0" fontId="7" fillId="14" borderId="4" xfId="0" applyFont="1" applyFill="1" applyBorder="1" applyAlignment="1">
      <alignment wrapText="1"/>
    </xf>
    <xf numFmtId="0" fontId="7" fillId="13" borderId="4" xfId="0" applyFont="1" applyFill="1" applyBorder="1" applyAlignment="1">
      <alignment wrapText="1"/>
    </xf>
    <xf numFmtId="0" fontId="7" fillId="12" borderId="4" xfId="0" applyFont="1" applyFill="1" applyBorder="1" applyAlignment="1">
      <alignment wrapText="1"/>
    </xf>
    <xf numFmtId="0" fontId="11" fillId="5" borderId="4" xfId="0" applyFont="1" applyFill="1" applyBorder="1" applyAlignment="1"/>
    <xf numFmtId="0" fontId="4" fillId="3" borderId="4" xfId="0" applyFont="1" applyFill="1" applyBorder="1" applyAlignment="1">
      <alignment wrapText="1"/>
    </xf>
    <xf numFmtId="0" fontId="6" fillId="2" borderId="0" xfId="0" applyFont="1" applyFill="1" applyAlignment="1">
      <alignment vertical="center" wrapText="1"/>
    </xf>
    <xf numFmtId="0" fontId="1" fillId="0" borderId="0" xfId="0" applyFont="1" applyAlignment="1">
      <alignment vertical="center" wrapText="1"/>
    </xf>
    <xf numFmtId="0" fontId="14" fillId="15" borderId="7" xfId="0" applyFont="1" applyFill="1" applyBorder="1" applyAlignment="1">
      <alignment horizontal="center" wrapText="1"/>
    </xf>
    <xf numFmtId="49" fontId="14" fillId="16" borderId="2" xfId="0" applyNumberFormat="1" applyFont="1" applyFill="1" applyBorder="1" applyAlignment="1">
      <alignment horizontal="center" wrapText="1"/>
    </xf>
    <xf numFmtId="0" fontId="14" fillId="16" borderId="8" xfId="0" applyFont="1" applyFill="1" applyBorder="1" applyAlignment="1">
      <alignment horizontal="center" wrapText="1"/>
    </xf>
    <xf numFmtId="0" fontId="15" fillId="17" borderId="7" xfId="0" applyFont="1" applyFill="1" applyBorder="1"/>
    <xf numFmtId="49" fontId="15" fillId="18" borderId="2" xfId="0" applyNumberFormat="1" applyFont="1" applyFill="1" applyBorder="1" applyAlignment="1">
      <alignment horizontal="center"/>
    </xf>
    <xf numFmtId="0" fontId="15" fillId="18" borderId="2" xfId="0" applyFont="1" applyFill="1" applyBorder="1" applyAlignment="1">
      <alignment horizontal="center"/>
    </xf>
    <xf numFmtId="0" fontId="15" fillId="17" borderId="5" xfId="0" applyFont="1" applyFill="1" applyBorder="1"/>
    <xf numFmtId="49" fontId="15" fillId="18" borderId="4" xfId="0" applyNumberFormat="1" applyFont="1" applyFill="1" applyBorder="1" applyAlignment="1">
      <alignment horizontal="center"/>
    </xf>
    <xf numFmtId="0" fontId="15" fillId="18" borderId="4" xfId="0" applyFont="1" applyFill="1" applyBorder="1" applyAlignment="1">
      <alignment horizontal="center"/>
    </xf>
    <xf numFmtId="0" fontId="16" fillId="18" borderId="4" xfId="0" applyFont="1" applyFill="1" applyBorder="1"/>
    <xf numFmtId="0" fontId="12" fillId="5" borderId="0" xfId="0" applyFont="1" applyFill="1" applyAlignment="1">
      <alignment horizontal="left" vertical="center" wrapText="1"/>
    </xf>
    <xf numFmtId="0" fontId="17" fillId="18" borderId="4" xfId="0" applyFont="1" applyFill="1" applyBorder="1" applyAlignment="1">
      <alignment horizontal="center"/>
    </xf>
    <xf numFmtId="0" fontId="16" fillId="0" borderId="3" xfId="0" applyFont="1" applyBorder="1" applyAlignment="1"/>
    <xf numFmtId="0" fontId="1" fillId="0" borderId="0" xfId="0" applyFont="1" applyAlignment="1">
      <alignment vertical="center"/>
    </xf>
    <xf numFmtId="0" fontId="1" fillId="0" borderId="0" xfId="0" applyFont="1" applyAlignment="1">
      <alignment vertical="center"/>
    </xf>
    <xf numFmtId="0" fontId="15" fillId="17" borderId="9" xfId="0" applyFont="1" applyFill="1" applyBorder="1"/>
    <xf numFmtId="49" fontId="15" fillId="18" borderId="10" xfId="0" applyNumberFormat="1" applyFont="1" applyFill="1" applyBorder="1" applyAlignment="1">
      <alignment horizontal="center"/>
    </xf>
    <xf numFmtId="0" fontId="15" fillId="18" borderId="10" xfId="0" applyFont="1" applyFill="1" applyBorder="1" applyAlignment="1">
      <alignment horizontal="center"/>
    </xf>
    <xf numFmtId="0" fontId="15" fillId="17" borderId="11" xfId="0" applyFont="1" applyFill="1" applyBorder="1"/>
    <xf numFmtId="49" fontId="15" fillId="18" borderId="12" xfId="0" applyNumberFormat="1" applyFont="1" applyFill="1" applyBorder="1" applyAlignment="1">
      <alignment horizontal="center"/>
    </xf>
    <xf numFmtId="0" fontId="15" fillId="18" borderId="12" xfId="0" applyFont="1" applyFill="1" applyBorder="1" applyAlignment="1">
      <alignment horizontal="center"/>
    </xf>
    <xf numFmtId="49" fontId="15" fillId="19" borderId="10" xfId="0" applyNumberFormat="1" applyFont="1" applyFill="1" applyBorder="1" applyAlignment="1">
      <alignment horizontal="center"/>
    </xf>
    <xf numFmtId="0" fontId="18" fillId="18" borderId="12" xfId="0" applyFont="1" applyFill="1" applyBorder="1" applyAlignment="1">
      <alignment horizontal="center"/>
    </xf>
    <xf numFmtId="0" fontId="7" fillId="20" borderId="0" xfId="0" applyFont="1" applyFill="1" applyAlignment="1">
      <alignment wrapText="1"/>
    </xf>
    <xf numFmtId="0" fontId="2" fillId="2" borderId="7" xfId="0" applyFont="1" applyFill="1" applyBorder="1" applyAlignment="1">
      <alignment wrapText="1"/>
    </xf>
    <xf numFmtId="0" fontId="7" fillId="0" borderId="7" xfId="0" applyFont="1" applyBorder="1" applyAlignment="1">
      <alignment wrapText="1"/>
    </xf>
    <xf numFmtId="0" fontId="1" fillId="20" borderId="0" xfId="0" applyFont="1" applyFill="1" applyAlignment="1">
      <alignment wrapText="1"/>
    </xf>
    <xf numFmtId="0" fontId="7" fillId="20" borderId="6" xfId="0" applyFont="1" applyFill="1" applyBorder="1" applyAlignment="1">
      <alignment wrapText="1"/>
    </xf>
    <xf numFmtId="0" fontId="1" fillId="20" borderId="7" xfId="0" applyFont="1" applyFill="1" applyBorder="1" applyAlignment="1">
      <alignment wrapText="1"/>
    </xf>
    <xf numFmtId="0" fontId="1" fillId="0" borderId="6" xfId="0" applyFont="1" applyBorder="1" applyAlignment="1">
      <alignment wrapText="1"/>
    </xf>
    <xf numFmtId="0" fontId="19" fillId="0" borderId="0" xfId="0" applyFont="1" applyAlignment="1"/>
    <xf numFmtId="0" fontId="1" fillId="9" borderId="4" xfId="0" applyFont="1" applyFill="1" applyBorder="1" applyAlignment="1">
      <alignment wrapText="1"/>
    </xf>
    <xf numFmtId="0" fontId="7" fillId="21" borderId="6" xfId="0" applyFont="1" applyFill="1" applyBorder="1" applyAlignment="1">
      <alignment wrapText="1"/>
    </xf>
    <xf numFmtId="0" fontId="4" fillId="0" borderId="0" xfId="0" applyFont="1" applyAlignment="1"/>
    <xf numFmtId="0" fontId="7" fillId="21" borderId="0" xfId="0" applyFont="1" applyFill="1" applyAlignment="1">
      <alignment wrapText="1"/>
    </xf>
    <xf numFmtId="0" fontId="0" fillId="0" borderId="0" xfId="0" applyFont="1" applyAlignment="1">
      <alignment wrapText="1"/>
    </xf>
    <xf numFmtId="0" fontId="7" fillId="22" borderId="0" xfId="0" applyFont="1" applyFill="1" applyAlignment="1">
      <alignment wrapText="1"/>
    </xf>
    <xf numFmtId="0" fontId="7" fillId="22" borderId="6" xfId="0" applyFont="1" applyFill="1" applyBorder="1" applyAlignment="1">
      <alignment wrapText="1"/>
    </xf>
    <xf numFmtId="0" fontId="7" fillId="23" borderId="4" xfId="0" applyFont="1" applyFill="1" applyBorder="1" applyAlignment="1">
      <alignment wrapText="1"/>
    </xf>
    <xf numFmtId="0" fontId="1" fillId="0" borderId="3" xfId="0" applyFont="1" applyBorder="1" applyAlignment="1">
      <alignment wrapText="1"/>
    </xf>
    <xf numFmtId="0" fontId="1" fillId="22" borderId="6" xfId="0" applyFont="1" applyFill="1" applyBorder="1" applyAlignment="1">
      <alignment wrapText="1"/>
    </xf>
    <xf numFmtId="0" fontId="7" fillId="23" borderId="6" xfId="0" applyFont="1" applyFill="1" applyBorder="1" applyAlignment="1">
      <alignment wrapText="1"/>
    </xf>
    <xf numFmtId="0" fontId="7" fillId="24" borderId="4" xfId="0" applyFont="1" applyFill="1" applyBorder="1" applyAlignment="1">
      <alignment wrapText="1"/>
    </xf>
    <xf numFmtId="0" fontId="20" fillId="20" borderId="0" xfId="0" applyFont="1" applyFill="1" applyAlignment="1">
      <alignment wrapText="1"/>
    </xf>
    <xf numFmtId="0" fontId="7" fillId="25" borderId="0" xfId="0" applyFont="1" applyFill="1" applyAlignment="1">
      <alignment wrapText="1"/>
    </xf>
    <xf numFmtId="0" fontId="6" fillId="2" borderId="4" xfId="0" applyFont="1" applyFill="1" applyBorder="1" applyAlignment="1">
      <alignment wrapText="1"/>
    </xf>
    <xf numFmtId="0" fontId="5" fillId="6" borderId="4" xfId="0" applyFont="1" applyFill="1" applyBorder="1" applyAlignment="1">
      <alignment wrapText="1"/>
    </xf>
    <xf numFmtId="0" fontId="7" fillId="0" borderId="1" xfId="0" applyFont="1" applyBorder="1" applyAlignment="1">
      <alignment wrapText="1"/>
    </xf>
    <xf numFmtId="0" fontId="7" fillId="0" borderId="2" xfId="0" applyFont="1" applyBorder="1" applyAlignment="1">
      <alignment wrapText="1"/>
    </xf>
    <xf numFmtId="0" fontId="7" fillId="5" borderId="2" xfId="0" applyFont="1" applyFill="1" applyBorder="1" applyAlignment="1">
      <alignment wrapText="1"/>
    </xf>
    <xf numFmtId="0" fontId="10" fillId="5" borderId="4" xfId="0" applyFont="1" applyFill="1" applyBorder="1" applyAlignment="1">
      <alignment wrapText="1"/>
    </xf>
    <xf numFmtId="0" fontId="0" fillId="22" borderId="0" xfId="0" applyFont="1" applyFill="1" applyAlignment="1">
      <alignment wrapText="1"/>
    </xf>
    <xf numFmtId="0" fontId="11" fillId="5" borderId="4" xfId="0" applyFont="1" applyFill="1" applyBorder="1" applyAlignment="1">
      <alignment wrapText="1"/>
    </xf>
    <xf numFmtId="0" fontId="11" fillId="23" borderId="4" xfId="0" applyFont="1" applyFill="1" applyBorder="1" applyAlignment="1">
      <alignment wrapText="1"/>
    </xf>
    <xf numFmtId="0" fontId="7" fillId="5" borderId="7" xfId="0" applyFont="1" applyFill="1" applyBorder="1" applyAlignment="1">
      <alignment wrapText="1"/>
    </xf>
    <xf numFmtId="0" fontId="1" fillId="9" borderId="7" xfId="0" applyFont="1" applyFill="1" applyBorder="1" applyAlignment="1">
      <alignment wrapText="1"/>
    </xf>
    <xf numFmtId="0" fontId="7" fillId="9" borderId="7" xfId="0" applyFont="1" applyFill="1" applyBorder="1" applyAlignment="1">
      <alignment wrapText="1"/>
    </xf>
    <xf numFmtId="0" fontId="7" fillId="3" borderId="7" xfId="0" applyFont="1" applyFill="1" applyBorder="1" applyAlignment="1">
      <alignment wrapText="1"/>
    </xf>
    <xf numFmtId="0" fontId="7" fillId="23" borderId="7" xfId="0" applyFont="1" applyFill="1" applyBorder="1" applyAlignment="1">
      <alignment wrapText="1"/>
    </xf>
    <xf numFmtId="0" fontId="1" fillId="0" borderId="7" xfId="0" applyFont="1" applyBorder="1" applyAlignment="1">
      <alignment wrapText="1"/>
    </xf>
    <xf numFmtId="0" fontId="7" fillId="11" borderId="7" xfId="0" applyFont="1" applyFill="1" applyBorder="1" applyAlignment="1">
      <alignment wrapText="1"/>
    </xf>
    <xf numFmtId="0" fontId="7" fillId="9" borderId="7" xfId="0" applyFont="1" applyFill="1" applyBorder="1" applyAlignment="1">
      <alignment horizontal="center" wrapText="1"/>
    </xf>
    <xf numFmtId="0" fontId="4" fillId="9" borderId="7" xfId="0" applyFont="1" applyFill="1" applyBorder="1" applyAlignment="1">
      <alignment wrapText="1"/>
    </xf>
    <xf numFmtId="0" fontId="4" fillId="3" borderId="7" xfId="0" applyFont="1" applyFill="1" applyBorder="1" applyAlignment="1">
      <alignment wrapText="1"/>
    </xf>
    <xf numFmtId="0" fontId="4" fillId="0" borderId="0" xfId="0" applyFont="1" applyAlignment="1">
      <alignment wrapText="1"/>
    </xf>
    <xf numFmtId="0" fontId="1" fillId="3" borderId="4" xfId="0" applyFont="1" applyFill="1" applyBorder="1" applyAlignment="1">
      <alignment wrapText="1"/>
    </xf>
    <xf numFmtId="0" fontId="1" fillId="3" borderId="7" xfId="0" applyFont="1" applyFill="1" applyBorder="1" applyAlignment="1">
      <alignment wrapText="1"/>
    </xf>
    <xf numFmtId="0" fontId="4" fillId="22" borderId="0" xfId="0" applyFont="1" applyFill="1" applyAlignment="1">
      <alignment wrapText="1"/>
    </xf>
    <xf numFmtId="0" fontId="1" fillId="11" borderId="4" xfId="0" applyFont="1" applyFill="1" applyBorder="1" applyAlignment="1">
      <alignment wrapText="1"/>
    </xf>
    <xf numFmtId="0" fontId="1" fillId="11" borderId="7" xfId="0" applyFont="1" applyFill="1" applyBorder="1" applyAlignment="1">
      <alignment wrapText="1"/>
    </xf>
    <xf numFmtId="0" fontId="21" fillId="9" borderId="4" xfId="0" applyFont="1" applyFill="1" applyBorder="1" applyAlignment="1">
      <alignment wrapText="1"/>
    </xf>
    <xf numFmtId="0" fontId="1" fillId="5" borderId="4" xfId="0" applyFont="1" applyFill="1" applyBorder="1" applyAlignment="1">
      <alignment wrapText="1"/>
    </xf>
    <xf numFmtId="0" fontId="1" fillId="5" borderId="7" xfId="0" applyFont="1" applyFill="1" applyBorder="1" applyAlignment="1">
      <alignment wrapText="1"/>
    </xf>
    <xf numFmtId="0" fontId="1" fillId="22" borderId="7" xfId="0" applyFont="1" applyFill="1" applyBorder="1" applyAlignment="1">
      <alignment wrapText="1"/>
    </xf>
    <xf numFmtId="0" fontId="1" fillId="22" borderId="0" xfId="0" applyFont="1" applyFill="1" applyAlignment="1">
      <alignment wrapText="1"/>
    </xf>
    <xf numFmtId="0" fontId="1" fillId="24" borderId="4" xfId="0" applyFont="1" applyFill="1" applyBorder="1" applyAlignment="1">
      <alignment wrapText="1"/>
    </xf>
    <xf numFmtId="0" fontId="1" fillId="3" borderId="6" xfId="0" applyFont="1" applyFill="1" applyBorder="1" applyAlignment="1">
      <alignment wrapText="1"/>
    </xf>
    <xf numFmtId="0" fontId="1" fillId="0" borderId="4" xfId="0" applyFont="1" applyBorder="1" applyAlignment="1">
      <alignment wrapText="1"/>
    </xf>
    <xf numFmtId="0" fontId="1" fillId="0" borderId="6" xfId="0" applyFont="1" applyBorder="1" applyAlignment="1"/>
    <xf numFmtId="0" fontId="1" fillId="23" borderId="6" xfId="0" applyFont="1" applyFill="1" applyBorder="1" applyAlignment="1">
      <alignment wrapText="1"/>
    </xf>
    <xf numFmtId="0" fontId="2" fillId="4" borderId="1" xfId="0" applyFont="1" applyFill="1" applyBorder="1" applyAlignment="1">
      <alignment horizontal="center" wrapText="1"/>
    </xf>
    <xf numFmtId="0" fontId="1" fillId="0" borderId="1" xfId="0" applyFont="1" applyBorder="1" applyAlignment="1">
      <alignment wrapText="1"/>
    </xf>
    <xf numFmtId="0" fontId="1" fillId="0" borderId="2"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704850</xdr:colOff>
          <xdr:row>3</xdr:row>
          <xdr:rowOff>28575</xdr:rowOff>
        </xdr:from>
        <xdr:to>
          <xdr:col>3</xdr:col>
          <xdr:colOff>19050</xdr:colOff>
          <xdr:row>3</xdr:row>
          <xdr:rowOff>304800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1000" b="0" i="0" u="none" strike="noStrike" baseline="0">
                  <a:solidFill>
                    <a:srgbClr val="000000"/>
                  </a:solidFill>
                  <a:latin typeface="Arial"/>
                  <a:cs typeface="Arial"/>
                </a:rPr>
                <a:t>Generar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0</xdr:row>
          <xdr:rowOff>19050</xdr:rowOff>
        </xdr:from>
        <xdr:to>
          <xdr:col>3</xdr:col>
          <xdr:colOff>1428750</xdr:colOff>
          <xdr:row>1</xdr:row>
          <xdr:rowOff>104775</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1000" b="0" i="0" u="none" strike="noStrike" baseline="0">
                  <a:solidFill>
                    <a:srgbClr val="000000"/>
                  </a:solidFill>
                  <a:latin typeface="Arial"/>
                  <a:cs typeface="Arial"/>
                </a:rPr>
                <a:t>Curso1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0</xdr:row>
          <xdr:rowOff>28575</xdr:rowOff>
        </xdr:from>
        <xdr:to>
          <xdr:col>4</xdr:col>
          <xdr:colOff>1162050</xdr:colOff>
          <xdr:row>1</xdr:row>
          <xdr:rowOff>104775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1000" b="0" i="0" u="none" strike="noStrike" baseline="0">
                  <a:solidFill>
                    <a:srgbClr val="000000"/>
                  </a:solidFill>
                  <a:latin typeface="Arial"/>
                  <a:cs typeface="Arial"/>
                </a:rPr>
                <a:t>Curso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0</xdr:row>
          <xdr:rowOff>28575</xdr:rowOff>
        </xdr:from>
        <xdr:to>
          <xdr:col>5</xdr:col>
          <xdr:colOff>1190625</xdr:colOff>
          <xdr:row>1</xdr:row>
          <xdr:rowOff>95250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1000" b="0" i="0" u="none" strike="noStrike" baseline="0">
                  <a:solidFill>
                    <a:srgbClr val="000000"/>
                  </a:solidFill>
                  <a:latin typeface="Arial"/>
                  <a:cs typeface="Arial"/>
                </a:rPr>
                <a:t>Curso 3</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8" Type="http://schemas.openxmlformats.org/officeDocument/2006/relationships/hyperlink" Target="mailto:jonathanandres.martinez@bbva.com" TargetMode="External"/><Relationship Id="rId13" Type="http://schemas.openxmlformats.org/officeDocument/2006/relationships/hyperlink" Target="mailto:GUDALAUPE.VELAZQUEZ.VALENCIA@BBVA.COM" TargetMode="External"/><Relationship Id="rId18" Type="http://schemas.openxmlformats.org/officeDocument/2006/relationships/hyperlink" Target="mailto:DA.DONCEL@BBVA.COM" TargetMode="External"/><Relationship Id="rId3" Type="http://schemas.openxmlformats.org/officeDocument/2006/relationships/hyperlink" Target="mailto:LOURDES.ARELLANO.RODRIGUEZ@BBVA.COM" TargetMode="External"/><Relationship Id="rId21" Type="http://schemas.openxmlformats.org/officeDocument/2006/relationships/hyperlink" Target="mailto:DAVID.RAMIREZ.DELGADO@BBVA.COM" TargetMode="External"/><Relationship Id="rId7" Type="http://schemas.openxmlformats.org/officeDocument/2006/relationships/hyperlink" Target="mailto:JOAQUIN.LARA@BBVA.COM" TargetMode="External"/><Relationship Id="rId12" Type="http://schemas.openxmlformats.org/officeDocument/2006/relationships/hyperlink" Target="mailto:miguelangel.rodriguez.vargas@bbva.com" TargetMode="External"/><Relationship Id="rId17" Type="http://schemas.openxmlformats.org/officeDocument/2006/relationships/hyperlink" Target="mailto:davideduardo.matias.aguilar@bbva.com" TargetMode="External"/><Relationship Id="rId2" Type="http://schemas.openxmlformats.org/officeDocument/2006/relationships/hyperlink" Target="mailto:JESUSLEOBARDO.RIVERA@BBVA.COM" TargetMode="External"/><Relationship Id="rId16" Type="http://schemas.openxmlformats.org/officeDocument/2006/relationships/hyperlink" Target="mailto:ALEJANDRA.HERRERA.GUZMAN@BBVA.COM" TargetMode="External"/><Relationship Id="rId20" Type="http://schemas.openxmlformats.org/officeDocument/2006/relationships/hyperlink" Target="mailto:NICK.SINILOV@BBVA.COM" TargetMode="External"/><Relationship Id="rId1" Type="http://schemas.openxmlformats.org/officeDocument/2006/relationships/hyperlink" Target="mailto:FRANCISCO.FUENTES.MUNOZ@BBVA.COM" TargetMode="External"/><Relationship Id="rId6" Type="http://schemas.openxmlformats.org/officeDocument/2006/relationships/hyperlink" Target="mailto:LETICIA.FLORES2@BBVA.COM" TargetMode="External"/><Relationship Id="rId11" Type="http://schemas.openxmlformats.org/officeDocument/2006/relationships/hyperlink" Target="mailto:ruben.antonio@bbva.com" TargetMode="External"/><Relationship Id="rId24" Type="http://schemas.openxmlformats.org/officeDocument/2006/relationships/hyperlink" Target="mailto:HEYBERTALEXANDER.MARTINZ@BBVA.COM" TargetMode="External"/><Relationship Id="rId5" Type="http://schemas.openxmlformats.org/officeDocument/2006/relationships/hyperlink" Target="mailto:MIGUELALBERTO.LEOS.MALDONADO@BBVA.COM" TargetMode="External"/><Relationship Id="rId15" Type="http://schemas.openxmlformats.org/officeDocument/2006/relationships/hyperlink" Target="mailto:FRANCISCO.HERNANDEZ.8@BBVA.COM" TargetMode="External"/><Relationship Id="rId23" Type="http://schemas.openxmlformats.org/officeDocument/2006/relationships/hyperlink" Target="mailto:taniabeatriz.garcia@bbva.com" TargetMode="External"/><Relationship Id="rId10" Type="http://schemas.openxmlformats.org/officeDocument/2006/relationships/hyperlink" Target="mailto:FRANCISCORICARDO.DIAZ@BBVA.COM" TargetMode="External"/><Relationship Id="rId19" Type="http://schemas.openxmlformats.org/officeDocument/2006/relationships/hyperlink" Target="mailto:bruno.martinez.warnholtz@bbva.com" TargetMode="External"/><Relationship Id="rId4" Type="http://schemas.openxmlformats.org/officeDocument/2006/relationships/hyperlink" Target="mailto:EDGARULISES.PADILLA@BBVA.COM" TargetMode="External"/><Relationship Id="rId9" Type="http://schemas.openxmlformats.org/officeDocument/2006/relationships/hyperlink" Target="mailto:aislinnmarian.rodriguez@bbva.com" TargetMode="External"/><Relationship Id="rId14" Type="http://schemas.openxmlformats.org/officeDocument/2006/relationships/hyperlink" Target="mailto:CLAUDIALIZBETH.REYES@BBVA.COM" TargetMode="External"/><Relationship Id="rId22" Type="http://schemas.openxmlformats.org/officeDocument/2006/relationships/hyperlink" Target="mailto:SERGIOENRIQUE.GUTIERREZ@BBVA.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outlinePr summaryBelow="0" summaryRight="0"/>
  </sheetPr>
  <dimension ref="A1:U207"/>
  <sheetViews>
    <sheetView tabSelected="1" topLeftCell="J204" zoomScale="120" zoomScaleNormal="120" workbookViewId="0">
      <selection activeCell="M207" sqref="M207"/>
    </sheetView>
  </sheetViews>
  <sheetFormatPr baseColWidth="10" defaultColWidth="14.42578125" defaultRowHeight="12.75"/>
  <cols>
    <col min="1" max="1" width="13.42578125" style="82" bestFit="1" customWidth="1"/>
    <col min="2" max="2" width="11.5703125" style="82" customWidth="1"/>
    <col min="3" max="3" width="14.7109375" style="82" customWidth="1"/>
    <col min="4" max="4" width="41.5703125" style="82" customWidth="1"/>
    <col min="5" max="5" width="22.140625" style="82" customWidth="1"/>
    <col min="6" max="6" width="23.5703125" style="82" customWidth="1"/>
    <col min="7" max="7" width="20.5703125" style="82" customWidth="1"/>
    <col min="8" max="8" width="19.42578125" style="82" customWidth="1"/>
    <col min="9" max="9" width="23.42578125" style="82" customWidth="1"/>
    <col min="10" max="10" width="20.5703125" style="82" customWidth="1"/>
    <col min="11" max="11" width="12.5703125" style="82" customWidth="1"/>
    <col min="12" max="12" width="43.28515625" style="82" customWidth="1"/>
    <col min="13" max="13" width="51.42578125" style="82" customWidth="1"/>
    <col min="14" max="14" width="9.28515625" style="82" bestFit="1" customWidth="1"/>
    <col min="15" max="15" width="18.5703125" style="82" bestFit="1" customWidth="1"/>
    <col min="16" max="16" width="34.5703125" style="82" customWidth="1"/>
    <col min="17" max="17" width="15.140625" style="82" customWidth="1"/>
    <col min="18" max="18" width="8" style="82" bestFit="1" customWidth="1"/>
    <col min="19" max="19" width="10.42578125" style="82" bestFit="1" customWidth="1"/>
    <col min="20" max="20" width="12.85546875" style="82" bestFit="1" customWidth="1"/>
    <col min="21" max="21" width="18" style="82" bestFit="1" customWidth="1"/>
    <col min="22" max="27" width="32.7109375" style="82" customWidth="1"/>
    <col min="28" max="16384" width="14.42578125" style="82"/>
  </cols>
  <sheetData>
    <row r="1" spans="1:21">
      <c r="A1" s="111" t="s">
        <v>5317</v>
      </c>
    </row>
    <row r="2" spans="1:21">
      <c r="A2" s="94"/>
      <c r="B2" s="94"/>
      <c r="C2" s="72"/>
      <c r="D2" s="95"/>
      <c r="E2" s="96"/>
      <c r="F2" s="101"/>
      <c r="G2" s="101"/>
      <c r="H2" s="101"/>
      <c r="I2" s="101"/>
      <c r="J2" s="101"/>
      <c r="K2" s="101"/>
      <c r="L2" s="96"/>
      <c r="M2" s="96"/>
      <c r="N2" s="96"/>
      <c r="O2" s="96"/>
      <c r="P2" s="96"/>
      <c r="Q2" s="96"/>
      <c r="R2" s="127" t="s">
        <v>9</v>
      </c>
      <c r="S2" s="128"/>
      <c r="T2" s="129"/>
      <c r="U2" s="2"/>
    </row>
    <row r="3" spans="1:21" ht="25.5">
      <c r="A3" s="21" t="s">
        <v>5303</v>
      </c>
      <c r="B3" s="22" t="s">
        <v>10</v>
      </c>
      <c r="C3" s="71" t="s">
        <v>5304</v>
      </c>
      <c r="D3" s="92" t="s">
        <v>5305</v>
      </c>
      <c r="E3" s="22" t="s">
        <v>5306</v>
      </c>
      <c r="F3" s="22" t="s">
        <v>5312</v>
      </c>
      <c r="G3" s="22" t="s">
        <v>5313</v>
      </c>
      <c r="H3" s="22" t="s">
        <v>5314</v>
      </c>
      <c r="I3" s="22" t="s">
        <v>5315</v>
      </c>
      <c r="J3" s="22" t="s">
        <v>5316</v>
      </c>
      <c r="K3" s="71" t="s">
        <v>5311</v>
      </c>
      <c r="L3" s="22" t="s">
        <v>5307</v>
      </c>
      <c r="M3" s="22" t="s">
        <v>5308</v>
      </c>
      <c r="N3" s="23" t="s">
        <v>12</v>
      </c>
      <c r="O3" s="93" t="s">
        <v>5309</v>
      </c>
      <c r="P3" s="93" t="s">
        <v>14</v>
      </c>
      <c r="Q3" s="93" t="s">
        <v>5310</v>
      </c>
      <c r="R3" s="24" t="s">
        <v>5318</v>
      </c>
      <c r="S3" s="24" t="s">
        <v>5319</v>
      </c>
      <c r="T3" s="24" t="s">
        <v>5320</v>
      </c>
      <c r="U3" s="25" t="s">
        <v>15</v>
      </c>
    </row>
    <row r="4" spans="1:21" ht="51">
      <c r="A4" s="16" t="s">
        <v>180</v>
      </c>
      <c r="B4" s="2" t="s">
        <v>196</v>
      </c>
      <c r="C4" s="2"/>
      <c r="D4" s="35" t="s">
        <v>717</v>
      </c>
      <c r="E4" s="16" t="s">
        <v>5323</v>
      </c>
      <c r="F4" s="16" t="s">
        <v>5430</v>
      </c>
      <c r="G4" s="16" t="s">
        <v>5431</v>
      </c>
      <c r="H4" s="16" t="s">
        <v>5432</v>
      </c>
      <c r="I4" s="2"/>
      <c r="J4" s="2"/>
      <c r="K4" s="2">
        <v>2</v>
      </c>
      <c r="L4" s="2" t="s">
        <v>446</v>
      </c>
      <c r="M4" s="10" t="s">
        <v>447</v>
      </c>
      <c r="N4" s="9" t="s">
        <v>22</v>
      </c>
      <c r="O4" s="2" t="s">
        <v>5322</v>
      </c>
      <c r="P4" s="2"/>
      <c r="Q4" s="2"/>
      <c r="R4" s="2" t="s">
        <v>7</v>
      </c>
      <c r="S4" s="2" t="s">
        <v>7</v>
      </c>
      <c r="T4" s="2" t="s">
        <v>7</v>
      </c>
      <c r="U4" s="2"/>
    </row>
    <row r="5" spans="1:21" ht="51">
      <c r="A5" s="16" t="s">
        <v>193</v>
      </c>
      <c r="B5" s="2" t="s">
        <v>198</v>
      </c>
      <c r="C5" s="2"/>
      <c r="D5" s="30" t="s">
        <v>718</v>
      </c>
      <c r="E5" s="86" t="s">
        <v>5433</v>
      </c>
      <c r="F5" s="106" t="s">
        <v>5434</v>
      </c>
      <c r="G5" s="106" t="s">
        <v>5435</v>
      </c>
      <c r="H5" s="72"/>
      <c r="I5" s="72"/>
      <c r="J5" s="72"/>
      <c r="K5" s="72">
        <v>1</v>
      </c>
      <c r="L5" s="2" t="s">
        <v>461</v>
      </c>
      <c r="M5" s="10" t="s">
        <v>462</v>
      </c>
      <c r="N5" s="9" t="s">
        <v>22</v>
      </c>
      <c r="O5" s="2" t="s">
        <v>5322</v>
      </c>
      <c r="P5" s="2"/>
      <c r="Q5" s="2" t="s">
        <v>24</v>
      </c>
      <c r="R5" s="2" t="s">
        <v>7</v>
      </c>
      <c r="S5" s="2" t="s">
        <v>7</v>
      </c>
      <c r="T5" s="2" t="s">
        <v>7</v>
      </c>
      <c r="U5" s="2"/>
    </row>
    <row r="6" spans="1:21" ht="51">
      <c r="A6" s="16" t="s">
        <v>16</v>
      </c>
      <c r="B6" s="2" t="s">
        <v>26</v>
      </c>
      <c r="C6" s="16" t="s">
        <v>5510</v>
      </c>
      <c r="D6" s="28" t="s">
        <v>110</v>
      </c>
      <c r="E6" s="78" t="s">
        <v>5324</v>
      </c>
      <c r="F6" s="102" t="s">
        <v>5325</v>
      </c>
      <c r="G6" s="102" t="s">
        <v>5326</v>
      </c>
      <c r="H6" s="102"/>
      <c r="I6" s="102"/>
      <c r="J6" s="102"/>
      <c r="K6" s="102">
        <v>3</v>
      </c>
      <c r="L6" s="2" t="s">
        <v>112</v>
      </c>
      <c r="M6" s="10" t="s">
        <v>113</v>
      </c>
      <c r="N6" s="9" t="s">
        <v>22</v>
      </c>
      <c r="O6" s="2" t="s">
        <v>5322</v>
      </c>
      <c r="P6" s="2" t="s">
        <v>4</v>
      </c>
      <c r="Q6" s="2" t="s">
        <v>24</v>
      </c>
      <c r="R6" s="2" t="s">
        <v>22</v>
      </c>
      <c r="S6" s="2" t="s">
        <v>22</v>
      </c>
      <c r="T6" s="2" t="s">
        <v>22</v>
      </c>
      <c r="U6" s="2" t="s">
        <v>26</v>
      </c>
    </row>
    <row r="7" spans="1:21" ht="57">
      <c r="A7" s="2" t="s">
        <v>16</v>
      </c>
      <c r="B7" s="74" t="s">
        <v>17</v>
      </c>
      <c r="C7" s="75" t="s">
        <v>5510</v>
      </c>
      <c r="D7" s="29" t="s">
        <v>172</v>
      </c>
      <c r="E7" s="5" t="s">
        <v>77</v>
      </c>
      <c r="F7" s="102" t="s">
        <v>78</v>
      </c>
      <c r="G7" s="103"/>
      <c r="H7" s="103"/>
      <c r="I7" s="103"/>
      <c r="J7" s="103"/>
      <c r="K7" s="103">
        <v>1</v>
      </c>
      <c r="L7" s="16" t="s">
        <v>5525</v>
      </c>
      <c r="M7" s="76" t="s">
        <v>5527</v>
      </c>
      <c r="N7" s="9" t="s">
        <v>22</v>
      </c>
      <c r="O7" s="2" t="s">
        <v>81</v>
      </c>
      <c r="P7" s="2" t="s">
        <v>4</v>
      </c>
      <c r="Q7" s="2"/>
      <c r="R7" s="2" t="s">
        <v>22</v>
      </c>
      <c r="S7" s="2" t="s">
        <v>22</v>
      </c>
      <c r="T7" s="2" t="s">
        <v>22</v>
      </c>
      <c r="U7" s="2" t="s">
        <v>0</v>
      </c>
    </row>
    <row r="8" spans="1:21" ht="38.25">
      <c r="A8" s="2" t="s">
        <v>16</v>
      </c>
      <c r="B8" s="2" t="s">
        <v>96</v>
      </c>
      <c r="C8" s="16" t="s">
        <v>5511</v>
      </c>
      <c r="D8" s="10" t="s">
        <v>161</v>
      </c>
      <c r="E8" s="78" t="s">
        <v>5327</v>
      </c>
      <c r="F8" s="102" t="s">
        <v>5328</v>
      </c>
      <c r="G8" s="102" t="s">
        <v>5329</v>
      </c>
      <c r="H8" s="103"/>
      <c r="I8" s="103"/>
      <c r="J8" s="103"/>
      <c r="K8" s="103">
        <v>2</v>
      </c>
      <c r="L8" s="2" t="s">
        <v>163</v>
      </c>
      <c r="M8" s="10" t="s">
        <v>164</v>
      </c>
      <c r="N8" s="9" t="s">
        <v>22</v>
      </c>
      <c r="O8" s="2" t="s">
        <v>5322</v>
      </c>
      <c r="P8" s="2" t="s">
        <v>4</v>
      </c>
      <c r="Q8" s="2"/>
      <c r="R8" s="2" t="s">
        <v>7</v>
      </c>
      <c r="S8" s="2" t="s">
        <v>7</v>
      </c>
      <c r="T8" s="2" t="s">
        <v>7</v>
      </c>
      <c r="U8" s="2" t="s">
        <v>48</v>
      </c>
    </row>
    <row r="9" spans="1:21" customFormat="1" ht="38.25">
      <c r="A9" s="2" t="s">
        <v>16</v>
      </c>
      <c r="B9" s="2" t="s">
        <v>202</v>
      </c>
      <c r="C9" s="16" t="s">
        <v>5510</v>
      </c>
      <c r="D9" s="30" t="s">
        <v>519</v>
      </c>
      <c r="E9" s="112" t="s">
        <v>5330</v>
      </c>
      <c r="F9" s="113" t="s">
        <v>5331</v>
      </c>
      <c r="G9" s="113" t="s">
        <v>5332</v>
      </c>
      <c r="H9" s="113" t="s">
        <v>5333</v>
      </c>
      <c r="I9" s="104"/>
      <c r="J9" s="104"/>
      <c r="K9" s="104">
        <v>4</v>
      </c>
      <c r="L9" s="20" t="s">
        <v>520</v>
      </c>
      <c r="M9" s="26" t="s">
        <v>521</v>
      </c>
      <c r="N9" s="9" t="s">
        <v>22</v>
      </c>
      <c r="O9" s="20" t="s">
        <v>5322</v>
      </c>
      <c r="P9" s="20" t="s">
        <v>4</v>
      </c>
      <c r="Q9" s="20"/>
      <c r="R9" s="20" t="s">
        <v>176</v>
      </c>
      <c r="S9" s="20" t="s">
        <v>7</v>
      </c>
      <c r="T9" s="20" t="s">
        <v>176</v>
      </c>
      <c r="U9" s="2" t="s">
        <v>522</v>
      </c>
    </row>
    <row r="10" spans="1:21" ht="51">
      <c r="A10" s="2" t="s">
        <v>16</v>
      </c>
      <c r="B10" s="70" t="s">
        <v>33</v>
      </c>
      <c r="C10" s="73" t="s">
        <v>5510</v>
      </c>
      <c r="D10" s="76" t="s">
        <v>91</v>
      </c>
      <c r="E10" s="5" t="s">
        <v>77</v>
      </c>
      <c r="F10" s="102" t="s">
        <v>78</v>
      </c>
      <c r="G10" s="103"/>
      <c r="H10" s="103"/>
      <c r="I10" s="103"/>
      <c r="J10" s="103"/>
      <c r="K10" s="103">
        <v>1</v>
      </c>
      <c r="L10" s="16" t="s">
        <v>5526</v>
      </c>
      <c r="M10" s="76" t="s">
        <v>5528</v>
      </c>
      <c r="N10" s="9" t="s">
        <v>22</v>
      </c>
      <c r="O10" s="2" t="s">
        <v>81</v>
      </c>
      <c r="P10" s="2" t="s">
        <v>4</v>
      </c>
      <c r="Q10" s="2" t="s">
        <v>24</v>
      </c>
      <c r="R10" s="2" t="s">
        <v>7</v>
      </c>
      <c r="S10" s="2" t="s">
        <v>7</v>
      </c>
      <c r="T10" s="2" t="s">
        <v>7</v>
      </c>
      <c r="U10" s="2" t="s">
        <v>82</v>
      </c>
    </row>
    <row r="11" spans="1:21" ht="38.25">
      <c r="A11" s="2" t="s">
        <v>16</v>
      </c>
      <c r="B11" s="70" t="s">
        <v>33</v>
      </c>
      <c r="C11" s="73" t="s">
        <v>5510</v>
      </c>
      <c r="D11" s="10" t="s">
        <v>153</v>
      </c>
      <c r="E11" s="5" t="s">
        <v>77</v>
      </c>
      <c r="F11" s="102" t="s">
        <v>78</v>
      </c>
      <c r="G11" s="103"/>
      <c r="H11" s="103"/>
      <c r="I11" s="103"/>
      <c r="J11" s="103"/>
      <c r="K11" s="103">
        <v>1</v>
      </c>
      <c r="L11" s="16" t="s">
        <v>5530</v>
      </c>
      <c r="M11" s="76" t="s">
        <v>5529</v>
      </c>
      <c r="N11" s="9" t="s">
        <v>22</v>
      </c>
      <c r="O11" s="2" t="s">
        <v>81</v>
      </c>
      <c r="P11" s="2" t="s">
        <v>4</v>
      </c>
      <c r="Q11" s="2"/>
      <c r="R11" s="2" t="s">
        <v>7</v>
      </c>
      <c r="S11" s="2" t="s">
        <v>7</v>
      </c>
      <c r="T11" s="2" t="s">
        <v>7</v>
      </c>
      <c r="U11" s="2" t="s">
        <v>82</v>
      </c>
    </row>
    <row r="12" spans="1:21" ht="25.5">
      <c r="A12" s="2" t="s">
        <v>180</v>
      </c>
      <c r="B12" s="2" t="s">
        <v>181</v>
      </c>
      <c r="C12" s="2"/>
      <c r="D12" s="30" t="s">
        <v>338</v>
      </c>
      <c r="E12" s="78" t="s">
        <v>5352</v>
      </c>
      <c r="F12" s="102" t="s">
        <v>8</v>
      </c>
      <c r="G12" s="102" t="s">
        <v>5354</v>
      </c>
      <c r="H12" s="103"/>
      <c r="I12" s="103"/>
      <c r="J12" s="103"/>
      <c r="K12" s="103">
        <v>2</v>
      </c>
      <c r="L12" s="2" t="s">
        <v>339</v>
      </c>
      <c r="M12" s="10" t="s">
        <v>340</v>
      </c>
      <c r="N12" s="9" t="s">
        <v>22</v>
      </c>
      <c r="O12" s="2" t="s">
        <v>5322</v>
      </c>
      <c r="P12" s="2" t="s">
        <v>4</v>
      </c>
      <c r="Q12" s="2"/>
      <c r="R12" s="2" t="s">
        <v>7</v>
      </c>
      <c r="S12" s="2" t="s">
        <v>7</v>
      </c>
      <c r="T12" s="2" t="s">
        <v>7</v>
      </c>
      <c r="U12" s="2"/>
    </row>
    <row r="13" spans="1:21" ht="102" customHeight="1">
      <c r="A13" s="2" t="s">
        <v>16</v>
      </c>
      <c r="B13" s="70" t="s">
        <v>17</v>
      </c>
      <c r="C13" s="73" t="s">
        <v>5513</v>
      </c>
      <c r="D13" s="30" t="s">
        <v>578</v>
      </c>
      <c r="E13" s="78" t="s">
        <v>5334</v>
      </c>
      <c r="F13" s="102" t="s">
        <v>5335</v>
      </c>
      <c r="G13" s="102" t="s">
        <v>5336</v>
      </c>
      <c r="H13" s="102" t="s">
        <v>3</v>
      </c>
      <c r="I13" s="103"/>
      <c r="J13" s="103"/>
      <c r="K13" s="103">
        <v>1</v>
      </c>
      <c r="L13" s="2" t="s">
        <v>579</v>
      </c>
      <c r="M13" s="10" t="s">
        <v>580</v>
      </c>
      <c r="N13" s="9" t="s">
        <v>22</v>
      </c>
      <c r="O13" s="2" t="s">
        <v>5322</v>
      </c>
      <c r="P13" s="2" t="s">
        <v>4</v>
      </c>
      <c r="Q13" s="2"/>
      <c r="R13" s="2" t="s">
        <v>176</v>
      </c>
      <c r="S13" s="2" t="s">
        <v>176</v>
      </c>
      <c r="T13" s="2" t="s">
        <v>7</v>
      </c>
      <c r="U13" s="2" t="s">
        <v>25</v>
      </c>
    </row>
    <row r="14" spans="1:21" ht="102">
      <c r="A14" s="2" t="s">
        <v>16</v>
      </c>
      <c r="B14" s="70" t="s">
        <v>17</v>
      </c>
      <c r="C14" s="73" t="s">
        <v>5513</v>
      </c>
      <c r="D14" s="30" t="s">
        <v>532</v>
      </c>
      <c r="E14" s="78" t="s">
        <v>5334</v>
      </c>
      <c r="F14" s="102" t="s">
        <v>5335</v>
      </c>
      <c r="G14" s="102" t="s">
        <v>5336</v>
      </c>
      <c r="H14" s="103"/>
      <c r="I14" s="103"/>
      <c r="J14" s="103"/>
      <c r="K14" s="103">
        <v>2</v>
      </c>
      <c r="L14" s="2" t="s">
        <v>533</v>
      </c>
      <c r="M14" s="10" t="s">
        <v>534</v>
      </c>
      <c r="N14" s="9" t="s">
        <v>22</v>
      </c>
      <c r="O14" s="2" t="s">
        <v>5322</v>
      </c>
      <c r="P14" s="2" t="s">
        <v>216</v>
      </c>
      <c r="Q14" s="2"/>
      <c r="R14" s="2" t="s">
        <v>176</v>
      </c>
      <c r="S14" s="2" t="s">
        <v>176</v>
      </c>
      <c r="T14" s="2" t="s">
        <v>7</v>
      </c>
      <c r="U14" s="2" t="s">
        <v>25</v>
      </c>
    </row>
    <row r="15" spans="1:21" ht="51">
      <c r="A15" s="2" t="s">
        <v>16</v>
      </c>
      <c r="B15" s="2" t="s">
        <v>17</v>
      </c>
      <c r="C15" s="16" t="s">
        <v>5513</v>
      </c>
      <c r="D15" s="30" t="s">
        <v>18</v>
      </c>
      <c r="E15" s="78" t="s">
        <v>5340</v>
      </c>
      <c r="F15" s="102" t="s">
        <v>5337</v>
      </c>
      <c r="G15" s="102" t="s">
        <v>5338</v>
      </c>
      <c r="H15" s="102" t="s">
        <v>5339</v>
      </c>
      <c r="I15" s="102"/>
      <c r="J15" s="102"/>
      <c r="K15" s="102">
        <v>1</v>
      </c>
      <c r="L15" s="2" t="s">
        <v>20</v>
      </c>
      <c r="M15" s="10" t="s">
        <v>21</v>
      </c>
      <c r="N15" s="9" t="s">
        <v>22</v>
      </c>
      <c r="O15" s="2" t="s">
        <v>5322</v>
      </c>
      <c r="P15" s="2" t="s">
        <v>4</v>
      </c>
      <c r="Q15" s="2" t="s">
        <v>24</v>
      </c>
      <c r="R15" s="2" t="s">
        <v>7</v>
      </c>
      <c r="S15" s="2" t="s">
        <v>7</v>
      </c>
      <c r="T15" s="2" t="s">
        <v>7</v>
      </c>
      <c r="U15" s="2" t="s">
        <v>25</v>
      </c>
    </row>
    <row r="16" spans="1:21" ht="38.25">
      <c r="A16" s="2" t="s">
        <v>16</v>
      </c>
      <c r="B16" s="2" t="s">
        <v>17</v>
      </c>
      <c r="C16" s="16" t="s">
        <v>5513</v>
      </c>
      <c r="D16" s="10" t="s">
        <v>587</v>
      </c>
      <c r="E16" s="5" t="s">
        <v>77</v>
      </c>
      <c r="F16" s="102" t="s">
        <v>78</v>
      </c>
      <c r="G16" s="103"/>
      <c r="H16" s="103"/>
      <c r="I16" s="103"/>
      <c r="J16" s="103"/>
      <c r="K16" s="103">
        <v>1</v>
      </c>
      <c r="L16" s="16" t="s">
        <v>5531</v>
      </c>
      <c r="M16" s="76" t="s">
        <v>5532</v>
      </c>
      <c r="N16" s="9" t="s">
        <v>22</v>
      </c>
      <c r="O16" s="2" t="s">
        <v>81</v>
      </c>
      <c r="P16" s="2" t="s">
        <v>4</v>
      </c>
      <c r="Q16" s="2"/>
      <c r="R16" s="2" t="s">
        <v>176</v>
      </c>
      <c r="S16" s="2" t="s">
        <v>176</v>
      </c>
      <c r="T16" s="2" t="s">
        <v>7</v>
      </c>
      <c r="U16" s="2" t="s">
        <v>25</v>
      </c>
    </row>
    <row r="17" spans="1:21" ht="25.5">
      <c r="A17" s="2" t="s">
        <v>16</v>
      </c>
      <c r="B17" s="2" t="s">
        <v>17</v>
      </c>
      <c r="C17" s="16" t="s">
        <v>5513</v>
      </c>
      <c r="D17" s="10" t="s">
        <v>574</v>
      </c>
      <c r="E17" s="5" t="s">
        <v>77</v>
      </c>
      <c r="F17" s="102" t="s">
        <v>78</v>
      </c>
      <c r="G17" s="103"/>
      <c r="H17" s="103"/>
      <c r="I17" s="103"/>
      <c r="J17" s="103"/>
      <c r="K17" s="103">
        <v>1</v>
      </c>
      <c r="L17" s="16" t="s">
        <v>5533</v>
      </c>
      <c r="M17" s="76" t="s">
        <v>5534</v>
      </c>
      <c r="N17" s="9" t="s">
        <v>22</v>
      </c>
      <c r="O17" s="3" t="s">
        <v>81</v>
      </c>
      <c r="P17" s="2" t="s">
        <v>4</v>
      </c>
      <c r="Q17" s="2"/>
      <c r="R17" s="2" t="s">
        <v>176</v>
      </c>
      <c r="S17" s="2" t="s">
        <v>176</v>
      </c>
      <c r="T17" s="2" t="s">
        <v>7</v>
      </c>
      <c r="U17" s="2" t="s">
        <v>25</v>
      </c>
    </row>
    <row r="18" spans="1:21" ht="89.25">
      <c r="A18" s="2" t="s">
        <v>16</v>
      </c>
      <c r="B18" s="2" t="s">
        <v>17</v>
      </c>
      <c r="C18" s="16" t="s">
        <v>5513</v>
      </c>
      <c r="D18" s="28" t="s">
        <v>5516</v>
      </c>
      <c r="E18" s="78" t="s">
        <v>5482</v>
      </c>
      <c r="F18" s="102" t="s">
        <v>5483</v>
      </c>
      <c r="G18" s="103"/>
      <c r="H18" s="103"/>
      <c r="I18" s="103"/>
      <c r="J18" s="103"/>
      <c r="K18" s="102" t="s">
        <v>5321</v>
      </c>
      <c r="L18" s="2" t="s">
        <v>130</v>
      </c>
      <c r="M18" s="10" t="s">
        <v>131</v>
      </c>
      <c r="N18" s="9" t="s">
        <v>22</v>
      </c>
      <c r="O18" s="31" t="s">
        <v>132</v>
      </c>
      <c r="P18" s="2" t="s">
        <v>4</v>
      </c>
      <c r="Q18" s="2" t="s">
        <v>24</v>
      </c>
      <c r="R18" s="2" t="s">
        <v>7</v>
      </c>
      <c r="S18" s="2" t="s">
        <v>7</v>
      </c>
      <c r="T18" s="2" t="s">
        <v>7</v>
      </c>
      <c r="U18" s="10" t="s">
        <v>25</v>
      </c>
    </row>
    <row r="19" spans="1:21" ht="293.25">
      <c r="A19" s="2" t="s">
        <v>16</v>
      </c>
      <c r="B19" s="10" t="s">
        <v>96</v>
      </c>
      <c r="C19" s="106" t="s">
        <v>5513</v>
      </c>
      <c r="D19" s="97" t="s">
        <v>5517</v>
      </c>
      <c r="E19" s="78" t="s">
        <v>5484</v>
      </c>
      <c r="F19" s="102" t="s">
        <v>5508</v>
      </c>
      <c r="G19" s="102" t="s">
        <v>5485</v>
      </c>
      <c r="H19" s="102" t="s">
        <v>5486</v>
      </c>
      <c r="I19" s="102" t="s">
        <v>5507</v>
      </c>
      <c r="J19" s="102" t="s">
        <v>5487</v>
      </c>
      <c r="K19" s="102" t="s">
        <v>5509</v>
      </c>
      <c r="L19" s="2" t="s">
        <v>103</v>
      </c>
      <c r="M19" s="10" t="s">
        <v>104</v>
      </c>
      <c r="N19" s="9" t="s">
        <v>22</v>
      </c>
      <c r="O19" s="16" t="s">
        <v>132</v>
      </c>
      <c r="P19" s="2" t="s">
        <v>4</v>
      </c>
      <c r="Q19" s="2" t="s">
        <v>24</v>
      </c>
      <c r="R19" s="2" t="s">
        <v>7</v>
      </c>
      <c r="S19" s="33" t="s">
        <v>7</v>
      </c>
      <c r="T19" s="2" t="s">
        <v>7</v>
      </c>
      <c r="U19" s="2" t="s">
        <v>48</v>
      </c>
    </row>
    <row r="20" spans="1:21" ht="38.25">
      <c r="A20" s="2" t="s">
        <v>16</v>
      </c>
      <c r="B20" s="2" t="s">
        <v>96</v>
      </c>
      <c r="C20" s="16" t="s">
        <v>5513</v>
      </c>
      <c r="D20" s="34" t="s">
        <v>137</v>
      </c>
      <c r="E20" s="104" t="s">
        <v>77</v>
      </c>
      <c r="F20" s="9" t="s">
        <v>78</v>
      </c>
      <c r="G20" s="104"/>
      <c r="H20" s="104"/>
      <c r="I20" s="104"/>
      <c r="J20" s="104"/>
      <c r="K20" s="104">
        <v>2</v>
      </c>
      <c r="L20" s="16" t="s">
        <v>5536</v>
      </c>
      <c r="M20" s="76" t="s">
        <v>5535</v>
      </c>
      <c r="N20" s="9" t="s">
        <v>22</v>
      </c>
      <c r="O20" s="2" t="s">
        <v>81</v>
      </c>
      <c r="P20" s="2" t="s">
        <v>4</v>
      </c>
      <c r="Q20" s="2" t="s">
        <v>24</v>
      </c>
      <c r="R20" s="2" t="s">
        <v>7</v>
      </c>
      <c r="S20" s="2" t="s">
        <v>7</v>
      </c>
      <c r="T20" s="2" t="s">
        <v>7</v>
      </c>
      <c r="U20" s="2" t="s">
        <v>48</v>
      </c>
    </row>
    <row r="21" spans="1:21" ht="38.25">
      <c r="A21" s="2" t="s">
        <v>16</v>
      </c>
      <c r="B21" s="2" t="s">
        <v>96</v>
      </c>
      <c r="C21" s="16" t="s">
        <v>5513</v>
      </c>
      <c r="D21" s="10" t="s">
        <v>106</v>
      </c>
      <c r="E21" s="5" t="s">
        <v>77</v>
      </c>
      <c r="F21" s="102" t="s">
        <v>78</v>
      </c>
      <c r="G21" s="103"/>
      <c r="H21" s="103"/>
      <c r="I21" s="103"/>
      <c r="J21" s="103"/>
      <c r="K21" s="103">
        <v>1</v>
      </c>
      <c r="L21" s="16" t="s">
        <v>5537</v>
      </c>
      <c r="M21" s="76" t="s">
        <v>5538</v>
      </c>
      <c r="N21" s="9" t="s">
        <v>22</v>
      </c>
      <c r="O21" s="2" t="s">
        <v>81</v>
      </c>
      <c r="P21" s="2" t="s">
        <v>4</v>
      </c>
      <c r="Q21" s="2" t="s">
        <v>24</v>
      </c>
      <c r="R21" s="2" t="s">
        <v>7</v>
      </c>
      <c r="S21" s="2" t="s">
        <v>7</v>
      </c>
      <c r="T21" s="2" t="s">
        <v>7</v>
      </c>
      <c r="U21" s="2" t="s">
        <v>48</v>
      </c>
    </row>
    <row r="22" spans="1:21" ht="38.25">
      <c r="A22" s="2" t="s">
        <v>16</v>
      </c>
      <c r="B22" s="2" t="s">
        <v>96</v>
      </c>
      <c r="C22" s="16" t="s">
        <v>5513</v>
      </c>
      <c r="D22" s="30" t="s">
        <v>719</v>
      </c>
      <c r="E22" s="78" t="s">
        <v>5363</v>
      </c>
      <c r="F22" s="102" t="s">
        <v>5365</v>
      </c>
      <c r="G22" s="103" t="s">
        <v>5364</v>
      </c>
      <c r="H22" s="103" t="s">
        <v>5368</v>
      </c>
      <c r="I22" s="103" t="s">
        <v>5367</v>
      </c>
      <c r="J22" s="103" t="s">
        <v>5366</v>
      </c>
      <c r="K22" s="102" t="s">
        <v>5480</v>
      </c>
      <c r="L22" s="2" t="s">
        <v>174</v>
      </c>
      <c r="M22" s="10" t="s">
        <v>175</v>
      </c>
      <c r="N22" s="9" t="s">
        <v>22</v>
      </c>
      <c r="O22" s="16" t="s">
        <v>5396</v>
      </c>
      <c r="P22" s="2" t="s">
        <v>4</v>
      </c>
      <c r="Q22" s="2"/>
      <c r="R22" s="2" t="s">
        <v>7</v>
      </c>
      <c r="S22" s="2" t="s">
        <v>176</v>
      </c>
      <c r="T22" s="2" t="s">
        <v>7</v>
      </c>
      <c r="U22" s="2" t="s">
        <v>48</v>
      </c>
    </row>
    <row r="23" spans="1:21" ht="38.25">
      <c r="A23" s="2" t="s">
        <v>16</v>
      </c>
      <c r="B23" s="2" t="s">
        <v>96</v>
      </c>
      <c r="C23" s="16" t="s">
        <v>5513</v>
      </c>
      <c r="D23" s="30" t="s">
        <v>720</v>
      </c>
      <c r="E23" s="78" t="s">
        <v>5363</v>
      </c>
      <c r="F23" s="102" t="s">
        <v>5365</v>
      </c>
      <c r="G23" s="103" t="s">
        <v>5364</v>
      </c>
      <c r="H23" s="103" t="s">
        <v>5368</v>
      </c>
      <c r="I23" s="103" t="s">
        <v>5367</v>
      </c>
      <c r="J23" s="103" t="s">
        <v>5366</v>
      </c>
      <c r="K23" s="102" t="s">
        <v>5481</v>
      </c>
      <c r="L23" s="2" t="s">
        <v>178</v>
      </c>
      <c r="M23" s="10" t="s">
        <v>179</v>
      </c>
      <c r="N23" s="9" t="s">
        <v>22</v>
      </c>
      <c r="O23" s="16" t="s">
        <v>5396</v>
      </c>
      <c r="P23" s="2" t="s">
        <v>4</v>
      </c>
      <c r="Q23" s="2"/>
      <c r="R23" s="2" t="s">
        <v>7</v>
      </c>
      <c r="S23" s="2" t="s">
        <v>176</v>
      </c>
      <c r="T23" s="2" t="s">
        <v>7</v>
      </c>
      <c r="U23" s="2" t="s">
        <v>48</v>
      </c>
    </row>
    <row r="24" spans="1:21" ht="38.25">
      <c r="A24" s="2" t="s">
        <v>16</v>
      </c>
      <c r="B24" s="2" t="s">
        <v>96</v>
      </c>
      <c r="C24" s="16" t="s">
        <v>5513</v>
      </c>
      <c r="D24" s="7" t="s">
        <v>126</v>
      </c>
      <c r="E24" s="5" t="s">
        <v>77</v>
      </c>
      <c r="F24" s="102" t="s">
        <v>78</v>
      </c>
      <c r="G24" s="103"/>
      <c r="H24" s="103"/>
      <c r="I24" s="103"/>
      <c r="J24" s="103"/>
      <c r="K24" s="103">
        <v>1</v>
      </c>
      <c r="L24" s="16" t="s">
        <v>5540</v>
      </c>
      <c r="M24" s="76" t="s">
        <v>5539</v>
      </c>
      <c r="N24" s="9" t="s">
        <v>22</v>
      </c>
      <c r="O24" s="2" t="s">
        <v>81</v>
      </c>
      <c r="P24" s="2" t="s">
        <v>127</v>
      </c>
      <c r="Q24" s="2" t="s">
        <v>24</v>
      </c>
      <c r="R24" s="2" t="s">
        <v>7</v>
      </c>
      <c r="S24" s="2" t="s">
        <v>7</v>
      </c>
      <c r="T24" s="2" t="s">
        <v>7</v>
      </c>
      <c r="U24" s="2" t="s">
        <v>48</v>
      </c>
    </row>
    <row r="25" spans="1:21" ht="102">
      <c r="A25" s="2" t="s">
        <v>16</v>
      </c>
      <c r="B25" s="10" t="s">
        <v>96</v>
      </c>
      <c r="C25" s="106" t="s">
        <v>5511</v>
      </c>
      <c r="D25" s="36" t="s">
        <v>493</v>
      </c>
      <c r="E25" s="78" t="s">
        <v>5341</v>
      </c>
      <c r="F25" s="102" t="s">
        <v>5342</v>
      </c>
      <c r="G25" s="102" t="s">
        <v>5334</v>
      </c>
      <c r="H25" s="103"/>
      <c r="I25" s="103"/>
      <c r="J25" s="103"/>
      <c r="K25" s="103">
        <v>2</v>
      </c>
      <c r="L25" s="2" t="s">
        <v>495</v>
      </c>
      <c r="M25" s="10" t="s">
        <v>496</v>
      </c>
      <c r="N25" s="9" t="s">
        <v>22</v>
      </c>
      <c r="O25" s="2" t="s">
        <v>5322</v>
      </c>
      <c r="P25" s="2" t="s">
        <v>4</v>
      </c>
      <c r="Q25" s="2" t="s">
        <v>24</v>
      </c>
      <c r="R25" s="2" t="s">
        <v>176</v>
      </c>
      <c r="S25" s="2" t="s">
        <v>7</v>
      </c>
      <c r="T25" s="2" t="s">
        <v>7</v>
      </c>
      <c r="U25" s="2" t="s">
        <v>48</v>
      </c>
    </row>
    <row r="26" spans="1:21" ht="102">
      <c r="A26" s="2" t="s">
        <v>16</v>
      </c>
      <c r="B26" s="2" t="s">
        <v>96</v>
      </c>
      <c r="C26" s="16" t="s">
        <v>5513</v>
      </c>
      <c r="D26" s="30" t="s">
        <v>490</v>
      </c>
      <c r="E26" s="78" t="s">
        <v>5341</v>
      </c>
      <c r="F26" s="102" t="s">
        <v>5342</v>
      </c>
      <c r="G26" s="102" t="s">
        <v>5334</v>
      </c>
      <c r="H26" s="103"/>
      <c r="I26" s="103"/>
      <c r="J26" s="103"/>
      <c r="K26" s="103">
        <v>1</v>
      </c>
      <c r="L26" s="2" t="s">
        <v>491</v>
      </c>
      <c r="M26" s="10" t="s">
        <v>492</v>
      </c>
      <c r="N26" s="9" t="s">
        <v>22</v>
      </c>
      <c r="O26" s="2" t="s">
        <v>5322</v>
      </c>
      <c r="P26" s="2" t="s">
        <v>4</v>
      </c>
      <c r="Q26" s="2" t="s">
        <v>24</v>
      </c>
      <c r="R26" s="2" t="s">
        <v>176</v>
      </c>
      <c r="S26" s="2" t="s">
        <v>7</v>
      </c>
      <c r="T26" s="2" t="s">
        <v>7</v>
      </c>
      <c r="U26" s="2" t="s">
        <v>48</v>
      </c>
    </row>
    <row r="27" spans="1:21" customFormat="1" ht="51">
      <c r="A27" s="2" t="s">
        <v>16</v>
      </c>
      <c r="B27" s="2" t="s">
        <v>96</v>
      </c>
      <c r="C27" s="2"/>
      <c r="D27" s="30" t="s">
        <v>551</v>
      </c>
      <c r="E27" s="78" t="s">
        <v>5343</v>
      </c>
      <c r="F27" s="102" t="s">
        <v>5344</v>
      </c>
      <c r="G27" s="102" t="s">
        <v>5345</v>
      </c>
      <c r="H27" s="102" t="s">
        <v>5346</v>
      </c>
      <c r="I27" s="103"/>
      <c r="J27" s="103"/>
      <c r="K27" s="103">
        <v>3</v>
      </c>
      <c r="L27" s="20" t="s">
        <v>552</v>
      </c>
      <c r="M27" s="26" t="s">
        <v>553</v>
      </c>
      <c r="N27" s="9" t="s">
        <v>22</v>
      </c>
      <c r="O27" s="20" t="s">
        <v>5322</v>
      </c>
      <c r="P27" s="20" t="s">
        <v>4</v>
      </c>
      <c r="Q27" s="20"/>
      <c r="R27" s="20" t="s">
        <v>176</v>
      </c>
      <c r="S27" s="20" t="s">
        <v>7</v>
      </c>
      <c r="T27" s="20" t="s">
        <v>176</v>
      </c>
      <c r="U27" s="2" t="s">
        <v>48</v>
      </c>
    </row>
    <row r="28" spans="1:21" ht="63.75">
      <c r="A28" s="16" t="s">
        <v>180</v>
      </c>
      <c r="B28" s="2" t="s">
        <v>181</v>
      </c>
      <c r="C28" s="2"/>
      <c r="D28" s="34" t="s">
        <v>398</v>
      </c>
      <c r="E28" s="78" t="s">
        <v>5392</v>
      </c>
      <c r="F28" s="102" t="s">
        <v>3</v>
      </c>
      <c r="G28" s="102" t="s">
        <v>35</v>
      </c>
      <c r="H28" s="102" t="s">
        <v>5398</v>
      </c>
      <c r="I28" s="103"/>
      <c r="J28" s="103"/>
      <c r="K28" s="103">
        <v>4</v>
      </c>
      <c r="L28" s="2" t="s">
        <v>400</v>
      </c>
      <c r="M28" s="10" t="s">
        <v>402</v>
      </c>
      <c r="N28" s="9" t="s">
        <v>22</v>
      </c>
      <c r="O28" s="2" t="s">
        <v>5322</v>
      </c>
      <c r="P28" s="2" t="s">
        <v>4</v>
      </c>
      <c r="Q28" s="2"/>
      <c r="R28" s="2" t="s">
        <v>7</v>
      </c>
      <c r="S28" s="2" t="s">
        <v>7</v>
      </c>
      <c r="T28" s="2" t="s">
        <v>7</v>
      </c>
      <c r="U28" s="2"/>
    </row>
    <row r="29" spans="1:21" ht="127.5">
      <c r="A29" s="2" t="s">
        <v>180</v>
      </c>
      <c r="B29" s="2" t="s">
        <v>181</v>
      </c>
      <c r="C29" s="2"/>
      <c r="D29" s="30" t="s">
        <v>405</v>
      </c>
      <c r="E29" s="78" t="s">
        <v>5399</v>
      </c>
      <c r="F29" s="102" t="s">
        <v>5400</v>
      </c>
      <c r="G29" s="102" t="s">
        <v>5401</v>
      </c>
      <c r="H29" s="102" t="s">
        <v>5402</v>
      </c>
      <c r="I29" s="103"/>
      <c r="J29" s="103"/>
      <c r="K29" s="103">
        <v>4</v>
      </c>
      <c r="L29" s="2" t="s">
        <v>408</v>
      </c>
      <c r="M29" s="10" t="s">
        <v>409</v>
      </c>
      <c r="N29" s="9" t="s">
        <v>22</v>
      </c>
      <c r="O29" s="2" t="s">
        <v>5322</v>
      </c>
      <c r="P29" s="2" t="s">
        <v>4</v>
      </c>
      <c r="Q29" s="2"/>
      <c r="R29" s="2" t="s">
        <v>7</v>
      </c>
      <c r="S29" s="2" t="s">
        <v>7</v>
      </c>
      <c r="T29" s="2" t="s">
        <v>7</v>
      </c>
      <c r="U29" s="2"/>
    </row>
    <row r="30" spans="1:21" s="98" customFormat="1" ht="38.25">
      <c r="A30" s="83" t="s">
        <v>16</v>
      </c>
      <c r="B30" s="83" t="s">
        <v>26</v>
      </c>
      <c r="C30" s="121" t="s">
        <v>5513</v>
      </c>
      <c r="D30" s="84" t="s">
        <v>76</v>
      </c>
      <c r="E30" s="114" t="s">
        <v>77</v>
      </c>
      <c r="F30" s="85" t="s">
        <v>78</v>
      </c>
      <c r="G30" s="105"/>
      <c r="H30" s="105"/>
      <c r="I30" s="105"/>
      <c r="J30" s="105"/>
      <c r="K30" s="105">
        <v>2</v>
      </c>
      <c r="L30" s="16" t="s">
        <v>5541</v>
      </c>
      <c r="M30" s="123" t="s">
        <v>5542</v>
      </c>
      <c r="N30" s="85" t="s">
        <v>22</v>
      </c>
      <c r="O30" s="83" t="s">
        <v>81</v>
      </c>
      <c r="P30" s="2" t="s">
        <v>4</v>
      </c>
      <c r="Q30" s="83" t="s">
        <v>24</v>
      </c>
      <c r="R30" s="83" t="s">
        <v>7</v>
      </c>
      <c r="S30" s="83" t="s">
        <v>7</v>
      </c>
      <c r="T30" s="83" t="s">
        <v>7</v>
      </c>
      <c r="U30" s="83" t="s">
        <v>82</v>
      </c>
    </row>
    <row r="31" spans="1:21" ht="38.25">
      <c r="A31" s="2" t="s">
        <v>16</v>
      </c>
      <c r="B31" s="2" t="s">
        <v>26</v>
      </c>
      <c r="C31" s="16" t="s">
        <v>5512</v>
      </c>
      <c r="D31" s="30" t="s">
        <v>721</v>
      </c>
      <c r="E31" s="16" t="s">
        <v>5347</v>
      </c>
      <c r="F31" s="16" t="s">
        <v>5348</v>
      </c>
      <c r="G31" s="16" t="s">
        <v>5349</v>
      </c>
      <c r="H31" s="16" t="s">
        <v>5350</v>
      </c>
      <c r="I31" s="16"/>
      <c r="J31" s="16"/>
      <c r="K31" s="16" t="s">
        <v>5321</v>
      </c>
      <c r="L31" s="2" t="s">
        <v>170</v>
      </c>
      <c r="M31" s="10" t="s">
        <v>171</v>
      </c>
      <c r="N31" s="9" t="s">
        <v>22</v>
      </c>
      <c r="O31" s="16" t="s">
        <v>5396</v>
      </c>
      <c r="P31" s="2" t="s">
        <v>127</v>
      </c>
      <c r="Q31" s="2"/>
      <c r="R31" s="2" t="s">
        <v>7</v>
      </c>
      <c r="S31" s="2" t="s">
        <v>7</v>
      </c>
      <c r="T31" s="2" t="s">
        <v>7</v>
      </c>
      <c r="U31" s="2" t="s">
        <v>26</v>
      </c>
    </row>
    <row r="32" spans="1:21" ht="25.5">
      <c r="A32" s="2" t="s">
        <v>16</v>
      </c>
      <c r="B32" s="2" t="s">
        <v>26</v>
      </c>
      <c r="C32" s="16" t="s">
        <v>5512</v>
      </c>
      <c r="D32" s="35" t="s">
        <v>141</v>
      </c>
      <c r="E32" s="86" t="s">
        <v>5436</v>
      </c>
      <c r="F32" s="106" t="s">
        <v>5437</v>
      </c>
      <c r="G32" s="106" t="s">
        <v>5438</v>
      </c>
      <c r="H32" s="106" t="s">
        <v>5478</v>
      </c>
      <c r="I32" s="106" t="s">
        <v>5439</v>
      </c>
      <c r="J32" s="106"/>
      <c r="K32" s="106">
        <v>4</v>
      </c>
      <c r="L32" s="2" t="s">
        <v>143</v>
      </c>
      <c r="M32" s="10" t="s">
        <v>144</v>
      </c>
      <c r="N32" s="9" t="s">
        <v>22</v>
      </c>
      <c r="O32" s="16" t="s">
        <v>5322</v>
      </c>
      <c r="P32" s="2" t="s">
        <v>22</v>
      </c>
      <c r="Q32" s="2" t="s">
        <v>24</v>
      </c>
      <c r="R32" s="2" t="s">
        <v>22</v>
      </c>
      <c r="S32" s="2" t="s">
        <v>22</v>
      </c>
      <c r="T32" s="2" t="s">
        <v>22</v>
      </c>
      <c r="U32" s="2" t="s">
        <v>26</v>
      </c>
    </row>
    <row r="33" spans="1:21" ht="102">
      <c r="A33" s="2" t="s">
        <v>16</v>
      </c>
      <c r="B33" s="2" t="s">
        <v>17</v>
      </c>
      <c r="C33" s="16" t="s">
        <v>5513</v>
      </c>
      <c r="D33" s="30" t="s">
        <v>509</v>
      </c>
      <c r="E33" s="115" t="s">
        <v>5334</v>
      </c>
      <c r="F33" s="116" t="s">
        <v>5335</v>
      </c>
      <c r="G33" s="116" t="s">
        <v>5336</v>
      </c>
      <c r="H33" s="107"/>
      <c r="I33" s="107"/>
      <c r="J33" s="107"/>
      <c r="K33" s="107">
        <v>3</v>
      </c>
      <c r="L33" s="2" t="s">
        <v>510</v>
      </c>
      <c r="M33" s="10" t="s">
        <v>511</v>
      </c>
      <c r="N33" s="9" t="s">
        <v>22</v>
      </c>
      <c r="O33" s="2" t="s">
        <v>5322</v>
      </c>
      <c r="P33" s="2" t="s">
        <v>278</v>
      </c>
      <c r="Q33" s="2"/>
      <c r="R33" s="2" t="s">
        <v>176</v>
      </c>
      <c r="S33" s="2" t="s">
        <v>176</v>
      </c>
      <c r="T33" s="2" t="s">
        <v>7</v>
      </c>
      <c r="U33" s="2" t="s">
        <v>25</v>
      </c>
    </row>
    <row r="34" spans="1:21" ht="38.25">
      <c r="A34" s="2" t="s">
        <v>16</v>
      </c>
      <c r="B34" s="70" t="s">
        <v>17</v>
      </c>
      <c r="C34" s="73" t="s">
        <v>5513</v>
      </c>
      <c r="D34" s="10" t="s">
        <v>572</v>
      </c>
      <c r="E34" s="5" t="s">
        <v>77</v>
      </c>
      <c r="F34" s="117" t="s">
        <v>78</v>
      </c>
      <c r="G34" s="103"/>
      <c r="H34" s="103"/>
      <c r="I34" s="103"/>
      <c r="J34" s="103"/>
      <c r="K34" s="103">
        <v>1</v>
      </c>
      <c r="L34" s="16" t="s">
        <v>5543</v>
      </c>
      <c r="M34" s="76" t="s">
        <v>5544</v>
      </c>
      <c r="N34" s="9" t="s">
        <v>22</v>
      </c>
      <c r="O34" s="2" t="s">
        <v>81</v>
      </c>
      <c r="P34" s="2" t="s">
        <v>4</v>
      </c>
      <c r="Q34" s="2"/>
      <c r="R34" s="2" t="s">
        <v>176</v>
      </c>
      <c r="S34" s="2" t="s">
        <v>176</v>
      </c>
      <c r="T34" s="2" t="s">
        <v>7</v>
      </c>
      <c r="U34" s="2" t="s">
        <v>25</v>
      </c>
    </row>
    <row r="35" spans="1:21" ht="63.75">
      <c r="A35" s="2" t="s">
        <v>180</v>
      </c>
      <c r="B35" s="2" t="s">
        <v>181</v>
      </c>
      <c r="C35" s="2"/>
      <c r="D35" s="34" t="s">
        <v>302</v>
      </c>
      <c r="E35" s="5" t="s">
        <v>77</v>
      </c>
      <c r="F35" s="117" t="s">
        <v>78</v>
      </c>
      <c r="G35" s="103"/>
      <c r="H35" s="103"/>
      <c r="I35" s="103"/>
      <c r="J35" s="103"/>
      <c r="K35" s="103">
        <v>1</v>
      </c>
      <c r="L35" s="16" t="s">
        <v>5545</v>
      </c>
      <c r="M35" s="76" t="s">
        <v>5546</v>
      </c>
      <c r="N35" s="9" t="s">
        <v>22</v>
      </c>
      <c r="O35" s="2" t="s">
        <v>81</v>
      </c>
      <c r="P35" s="2" t="s">
        <v>4</v>
      </c>
      <c r="Q35" s="2"/>
      <c r="R35" s="2" t="s">
        <v>7</v>
      </c>
      <c r="S35" s="2" t="s">
        <v>7</v>
      </c>
      <c r="T35" s="2" t="s">
        <v>7</v>
      </c>
      <c r="U35" s="2"/>
    </row>
    <row r="36" spans="1:21" ht="25.5">
      <c r="A36" s="83" t="s">
        <v>16</v>
      </c>
      <c r="B36" s="83" t="s">
        <v>17</v>
      </c>
      <c r="C36" s="121" t="s">
        <v>5513</v>
      </c>
      <c r="D36" s="84" t="s">
        <v>557</v>
      </c>
      <c r="E36" s="17" t="s">
        <v>77</v>
      </c>
      <c r="F36" s="5" t="s">
        <v>78</v>
      </c>
      <c r="G36" s="107"/>
      <c r="H36" s="107"/>
      <c r="I36" s="107"/>
      <c r="J36" s="107"/>
      <c r="K36" s="107">
        <v>1</v>
      </c>
      <c r="L36" s="16" t="s">
        <v>5548</v>
      </c>
      <c r="M36" s="76" t="s">
        <v>5547</v>
      </c>
      <c r="N36" s="9" t="s">
        <v>22</v>
      </c>
      <c r="O36" s="2" t="s">
        <v>81</v>
      </c>
      <c r="P36" s="2" t="s">
        <v>278</v>
      </c>
      <c r="Q36" s="2"/>
      <c r="R36" s="2" t="s">
        <v>176</v>
      </c>
      <c r="S36" s="2" t="s">
        <v>176</v>
      </c>
      <c r="T36" s="2" t="s">
        <v>7</v>
      </c>
      <c r="U36" s="2" t="s">
        <v>25</v>
      </c>
    </row>
    <row r="37" spans="1:21" ht="25.5">
      <c r="A37" s="2" t="s">
        <v>180</v>
      </c>
      <c r="B37" s="2" t="s">
        <v>181</v>
      </c>
      <c r="C37" s="2"/>
      <c r="D37" s="10" t="s">
        <v>317</v>
      </c>
      <c r="E37" s="5" t="s">
        <v>77</v>
      </c>
      <c r="F37" s="117" t="s">
        <v>78</v>
      </c>
      <c r="G37" s="103"/>
      <c r="H37" s="103"/>
      <c r="I37" s="103"/>
      <c r="J37" s="103"/>
      <c r="K37" s="103">
        <v>1</v>
      </c>
      <c r="L37" s="16" t="s">
        <v>5549</v>
      </c>
      <c r="M37" s="76" t="s">
        <v>5550</v>
      </c>
      <c r="N37" s="9" t="s">
        <v>22</v>
      </c>
      <c r="O37" s="2" t="s">
        <v>81</v>
      </c>
      <c r="P37" s="2" t="s">
        <v>4</v>
      </c>
      <c r="Q37" s="2"/>
      <c r="R37" s="2" t="s">
        <v>7</v>
      </c>
      <c r="S37" s="2" t="s">
        <v>7</v>
      </c>
      <c r="T37" s="2" t="s">
        <v>7</v>
      </c>
      <c r="U37" s="2"/>
    </row>
    <row r="38" spans="1:21" ht="25.5">
      <c r="A38" s="2" t="s">
        <v>180</v>
      </c>
      <c r="B38" s="2" t="s">
        <v>181</v>
      </c>
      <c r="C38" s="2"/>
      <c r="D38" s="34" t="s">
        <v>344</v>
      </c>
      <c r="E38" s="44" t="s">
        <v>77</v>
      </c>
      <c r="F38" s="9" t="s">
        <v>78</v>
      </c>
      <c r="G38" s="104"/>
      <c r="H38" s="104"/>
      <c r="I38" s="104"/>
      <c r="J38" s="104"/>
      <c r="K38" s="104">
        <v>2</v>
      </c>
      <c r="L38" s="16" t="s">
        <v>5551</v>
      </c>
      <c r="M38" s="76" t="s">
        <v>5552</v>
      </c>
      <c r="N38" s="9" t="s">
        <v>22</v>
      </c>
      <c r="O38" s="2" t="s">
        <v>81</v>
      </c>
      <c r="P38" s="2" t="s">
        <v>4</v>
      </c>
      <c r="Q38" s="2"/>
      <c r="R38" s="3" t="s">
        <v>7</v>
      </c>
      <c r="S38" s="3" t="s">
        <v>7</v>
      </c>
      <c r="T38" s="3" t="s">
        <v>7</v>
      </c>
      <c r="U38" s="2"/>
    </row>
    <row r="39" spans="1:21" ht="25.5">
      <c r="A39" s="2" t="s">
        <v>180</v>
      </c>
      <c r="B39" s="2" t="s">
        <v>181</v>
      </c>
      <c r="C39" s="2"/>
      <c r="D39" s="34" t="s">
        <v>185</v>
      </c>
      <c r="E39" s="44" t="s">
        <v>77</v>
      </c>
      <c r="F39" s="9" t="s">
        <v>78</v>
      </c>
      <c r="G39" s="104"/>
      <c r="H39" s="104"/>
      <c r="I39" s="104"/>
      <c r="J39" s="104"/>
      <c r="K39" s="104">
        <v>2</v>
      </c>
      <c r="L39" s="16" t="s">
        <v>5553</v>
      </c>
      <c r="M39" s="76" t="s">
        <v>5554</v>
      </c>
      <c r="N39" s="9" t="s">
        <v>22</v>
      </c>
      <c r="O39" s="2" t="s">
        <v>81</v>
      </c>
      <c r="P39" s="2" t="s">
        <v>186</v>
      </c>
      <c r="Q39" s="2" t="s">
        <v>24</v>
      </c>
      <c r="R39" s="2" t="s">
        <v>7</v>
      </c>
      <c r="S39" s="2" t="s">
        <v>7</v>
      </c>
      <c r="T39" s="2" t="s">
        <v>7</v>
      </c>
      <c r="U39" s="2"/>
    </row>
    <row r="40" spans="1:21" ht="63.75">
      <c r="A40" s="2" t="s">
        <v>180</v>
      </c>
      <c r="B40" s="2" t="s">
        <v>181</v>
      </c>
      <c r="C40" s="2"/>
      <c r="D40" s="34" t="s">
        <v>245</v>
      </c>
      <c r="E40" s="78" t="s">
        <v>3</v>
      </c>
      <c r="F40" s="102" t="s">
        <v>5352</v>
      </c>
      <c r="G40" s="102" t="s">
        <v>35</v>
      </c>
      <c r="H40" s="102" t="s">
        <v>5392</v>
      </c>
      <c r="I40" s="103"/>
      <c r="J40" s="103"/>
      <c r="K40" s="102" t="s">
        <v>5397</v>
      </c>
      <c r="L40" s="2" t="s">
        <v>247</v>
      </c>
      <c r="M40" s="10" t="s">
        <v>248</v>
      </c>
      <c r="N40" s="9" t="s">
        <v>22</v>
      </c>
      <c r="O40" s="2" t="s">
        <v>5322</v>
      </c>
      <c r="P40" s="2" t="s">
        <v>4</v>
      </c>
      <c r="Q40" s="2" t="s">
        <v>24</v>
      </c>
      <c r="R40" s="2" t="s">
        <v>7</v>
      </c>
      <c r="S40" s="2" t="s">
        <v>7</v>
      </c>
      <c r="T40" s="2" t="s">
        <v>7</v>
      </c>
      <c r="U40" s="2"/>
    </row>
    <row r="41" spans="1:21" ht="51">
      <c r="A41" s="2" t="s">
        <v>180</v>
      </c>
      <c r="B41" s="2" t="s">
        <v>181</v>
      </c>
      <c r="C41" s="2"/>
      <c r="D41" s="30" t="s">
        <v>615</v>
      </c>
      <c r="E41" s="78" t="s">
        <v>8</v>
      </c>
      <c r="F41" s="102" t="s">
        <v>5352</v>
      </c>
      <c r="G41" s="102" t="s">
        <v>5392</v>
      </c>
      <c r="H41" s="102" t="s">
        <v>5403</v>
      </c>
      <c r="I41" s="103"/>
      <c r="J41" s="103"/>
      <c r="K41" s="103">
        <v>4</v>
      </c>
      <c r="L41" s="2" t="s">
        <v>616</v>
      </c>
      <c r="M41" s="10" t="s">
        <v>617</v>
      </c>
      <c r="N41" s="9" t="s">
        <v>22</v>
      </c>
      <c r="O41" s="2" t="s">
        <v>5322</v>
      </c>
      <c r="P41" s="2" t="s">
        <v>4</v>
      </c>
      <c r="Q41" s="2" t="s">
        <v>24</v>
      </c>
      <c r="R41" s="2" t="s">
        <v>176</v>
      </c>
      <c r="S41" s="2" t="s">
        <v>7</v>
      </c>
      <c r="T41" s="2" t="s">
        <v>7</v>
      </c>
      <c r="U41" s="2"/>
    </row>
    <row r="42" spans="1:21" ht="38.25">
      <c r="A42" s="2" t="s">
        <v>180</v>
      </c>
      <c r="B42" s="2" t="s">
        <v>181</v>
      </c>
      <c r="C42" s="2"/>
      <c r="D42" s="30" t="s">
        <v>209</v>
      </c>
      <c r="E42" s="78" t="s">
        <v>8</v>
      </c>
      <c r="F42" s="102" t="s">
        <v>35</v>
      </c>
      <c r="G42" s="102" t="s">
        <v>5352</v>
      </c>
      <c r="H42" s="102" t="s">
        <v>3</v>
      </c>
      <c r="I42" s="103"/>
      <c r="J42" s="103"/>
      <c r="K42" s="103">
        <v>1</v>
      </c>
      <c r="L42" s="2" t="s">
        <v>210</v>
      </c>
      <c r="M42" s="10" t="s">
        <v>211</v>
      </c>
      <c r="N42" s="9" t="s">
        <v>22</v>
      </c>
      <c r="O42" s="2" t="s">
        <v>5322</v>
      </c>
      <c r="P42" s="2" t="s">
        <v>4</v>
      </c>
      <c r="Q42" s="2" t="s">
        <v>24</v>
      </c>
      <c r="R42" s="2" t="s">
        <v>7</v>
      </c>
      <c r="S42" s="2" t="s">
        <v>7</v>
      </c>
      <c r="T42" s="2" t="s">
        <v>7</v>
      </c>
      <c r="U42" s="2"/>
    </row>
    <row r="43" spans="1:21" ht="51">
      <c r="A43" s="2" t="s">
        <v>180</v>
      </c>
      <c r="B43" s="2" t="s">
        <v>181</v>
      </c>
      <c r="C43" s="2"/>
      <c r="D43" s="34" t="s">
        <v>289</v>
      </c>
      <c r="E43" s="78" t="s">
        <v>3</v>
      </c>
      <c r="F43" s="102" t="s">
        <v>5352</v>
      </c>
      <c r="G43" s="102" t="s">
        <v>35</v>
      </c>
      <c r="H43" s="102" t="s">
        <v>5392</v>
      </c>
      <c r="I43" s="103"/>
      <c r="J43" s="103"/>
      <c r="K43" s="102" t="s">
        <v>5397</v>
      </c>
      <c r="L43" s="2" t="s">
        <v>290</v>
      </c>
      <c r="M43" s="10" t="s">
        <v>291</v>
      </c>
      <c r="N43" s="9" t="s">
        <v>22</v>
      </c>
      <c r="O43" s="16" t="s">
        <v>5396</v>
      </c>
      <c r="P43" s="2" t="s">
        <v>4</v>
      </c>
      <c r="Q43" s="2" t="s">
        <v>24</v>
      </c>
      <c r="R43" s="2" t="s">
        <v>7</v>
      </c>
      <c r="S43" s="2" t="s">
        <v>7</v>
      </c>
      <c r="T43" s="2" t="s">
        <v>7</v>
      </c>
      <c r="U43" s="2"/>
    </row>
    <row r="44" spans="1:21" ht="51">
      <c r="A44" s="2" t="s">
        <v>180</v>
      </c>
      <c r="B44" s="2" t="s">
        <v>181</v>
      </c>
      <c r="C44" s="2"/>
      <c r="D44" s="30" t="s">
        <v>644</v>
      </c>
      <c r="E44" s="78" t="s">
        <v>35</v>
      </c>
      <c r="F44" s="102" t="s">
        <v>8</v>
      </c>
      <c r="G44" s="102" t="s">
        <v>5352</v>
      </c>
      <c r="H44" s="102" t="s">
        <v>3</v>
      </c>
      <c r="I44" s="103"/>
      <c r="J44" s="103"/>
      <c r="K44" s="102">
        <v>2</v>
      </c>
      <c r="L44" s="2" t="s">
        <v>645</v>
      </c>
      <c r="M44" s="10" t="s">
        <v>646</v>
      </c>
      <c r="N44" s="9" t="s">
        <v>22</v>
      </c>
      <c r="O44" s="2" t="s">
        <v>5322</v>
      </c>
      <c r="P44" s="2" t="s">
        <v>4</v>
      </c>
      <c r="Q44" s="2"/>
      <c r="R44" s="2" t="s">
        <v>176</v>
      </c>
      <c r="S44" s="2" t="s">
        <v>176</v>
      </c>
      <c r="T44" s="2" t="s">
        <v>22</v>
      </c>
      <c r="U44" s="2"/>
    </row>
    <row r="45" spans="1:21" ht="51">
      <c r="A45" s="2" t="s">
        <v>180</v>
      </c>
      <c r="B45" s="2" t="s">
        <v>181</v>
      </c>
      <c r="C45" s="2"/>
      <c r="D45" s="34" t="s">
        <v>267</v>
      </c>
      <c r="E45" s="78" t="s">
        <v>3</v>
      </c>
      <c r="F45" s="102" t="s">
        <v>5352</v>
      </c>
      <c r="G45" s="102" t="s">
        <v>35</v>
      </c>
      <c r="H45" s="102" t="s">
        <v>5392</v>
      </c>
      <c r="I45" s="103"/>
      <c r="J45" s="102"/>
      <c r="K45" s="102" t="s">
        <v>5397</v>
      </c>
      <c r="L45" s="2" t="s">
        <v>268</v>
      </c>
      <c r="M45" s="10" t="s">
        <v>269</v>
      </c>
      <c r="N45" s="9" t="s">
        <v>22</v>
      </c>
      <c r="O45" s="16" t="s">
        <v>5396</v>
      </c>
      <c r="P45" s="2" t="s">
        <v>4</v>
      </c>
      <c r="Q45" s="2" t="s">
        <v>24</v>
      </c>
      <c r="R45" s="2" t="s">
        <v>7</v>
      </c>
      <c r="S45" s="2" t="s">
        <v>7</v>
      </c>
      <c r="T45" s="2" t="s">
        <v>7</v>
      </c>
      <c r="U45" s="2"/>
    </row>
    <row r="46" spans="1:21" ht="63.75">
      <c r="A46" s="2" t="s">
        <v>16</v>
      </c>
      <c r="B46" s="70" t="s">
        <v>33</v>
      </c>
      <c r="C46" s="73" t="s">
        <v>5514</v>
      </c>
      <c r="D46" s="10" t="s">
        <v>105</v>
      </c>
      <c r="E46" s="5" t="s">
        <v>77</v>
      </c>
      <c r="F46" s="5" t="s">
        <v>78</v>
      </c>
      <c r="G46" s="103"/>
      <c r="H46" s="103"/>
      <c r="I46" s="103"/>
      <c r="J46" s="103"/>
      <c r="K46" s="103">
        <v>1</v>
      </c>
      <c r="L46" s="16" t="s">
        <v>5555</v>
      </c>
      <c r="M46" s="76" t="s">
        <v>5556</v>
      </c>
      <c r="N46" s="9" t="s">
        <v>22</v>
      </c>
      <c r="O46" s="2" t="s">
        <v>81</v>
      </c>
      <c r="P46" s="2" t="s">
        <v>4</v>
      </c>
      <c r="Q46" s="2" t="s">
        <v>24</v>
      </c>
      <c r="R46" s="2" t="s">
        <v>7</v>
      </c>
      <c r="S46" s="2" t="s">
        <v>7</v>
      </c>
      <c r="T46" s="2" t="s">
        <v>7</v>
      </c>
      <c r="U46" s="2" t="s">
        <v>87</v>
      </c>
    </row>
    <row r="47" spans="1:21" ht="38.25">
      <c r="A47" s="2" t="s">
        <v>16</v>
      </c>
      <c r="B47" s="70" t="s">
        <v>33</v>
      </c>
      <c r="C47" s="73" t="s">
        <v>5513</v>
      </c>
      <c r="D47" s="112" t="s">
        <v>5522</v>
      </c>
      <c r="E47" s="78" t="s">
        <v>8</v>
      </c>
      <c r="F47" s="102" t="s">
        <v>35</v>
      </c>
      <c r="G47" s="102" t="s">
        <v>5352</v>
      </c>
      <c r="H47" s="102" t="s">
        <v>3</v>
      </c>
      <c r="I47" s="103"/>
      <c r="J47" s="103"/>
      <c r="K47" s="103">
        <v>1</v>
      </c>
      <c r="L47" s="16" t="s">
        <v>5523</v>
      </c>
      <c r="M47" s="76" t="s">
        <v>5524</v>
      </c>
      <c r="N47" s="9" t="s">
        <v>22</v>
      </c>
      <c r="O47" s="2" t="s">
        <v>5322</v>
      </c>
      <c r="P47" s="2" t="s">
        <v>4</v>
      </c>
      <c r="Q47" s="2" t="s">
        <v>24</v>
      </c>
      <c r="R47" s="2" t="s">
        <v>7</v>
      </c>
      <c r="S47" s="2" t="s">
        <v>7</v>
      </c>
      <c r="T47" s="2" t="s">
        <v>7</v>
      </c>
      <c r="U47" s="2" t="s">
        <v>0</v>
      </c>
    </row>
    <row r="48" spans="1:21" ht="216.75">
      <c r="A48" s="2" t="s">
        <v>180</v>
      </c>
      <c r="B48" s="10" t="s">
        <v>181</v>
      </c>
      <c r="C48" s="72"/>
      <c r="D48" s="4" t="s">
        <v>611</v>
      </c>
      <c r="E48" s="78" t="s">
        <v>5441</v>
      </c>
      <c r="F48" s="102" t="s">
        <v>5440</v>
      </c>
      <c r="G48" s="102" t="s">
        <v>5442</v>
      </c>
      <c r="H48" s="102" t="s">
        <v>5443</v>
      </c>
      <c r="I48" s="102" t="s">
        <v>5444</v>
      </c>
      <c r="J48" s="103"/>
      <c r="K48" s="103"/>
      <c r="L48" s="2" t="s">
        <v>613</v>
      </c>
      <c r="M48" s="10" t="s">
        <v>614</v>
      </c>
      <c r="N48" s="9" t="s">
        <v>22</v>
      </c>
      <c r="O48" s="2" t="s">
        <v>61</v>
      </c>
      <c r="P48" s="2" t="s">
        <v>4</v>
      </c>
      <c r="Q48" s="2" t="s">
        <v>24</v>
      </c>
      <c r="R48" s="2" t="s">
        <v>176</v>
      </c>
      <c r="S48" s="2" t="s">
        <v>176</v>
      </c>
      <c r="T48" s="2" t="s">
        <v>7</v>
      </c>
      <c r="U48" s="2"/>
    </row>
    <row r="49" spans="1:21" ht="38.25">
      <c r="A49" s="2" t="s">
        <v>180</v>
      </c>
      <c r="B49" s="2" t="s">
        <v>181</v>
      </c>
      <c r="C49" s="2"/>
      <c r="D49" s="30" t="s">
        <v>283</v>
      </c>
      <c r="E49" s="78" t="s">
        <v>5404</v>
      </c>
      <c r="F49" s="102" t="s">
        <v>5405</v>
      </c>
      <c r="G49" s="102" t="s">
        <v>5353</v>
      </c>
      <c r="H49" s="102" t="s">
        <v>5406</v>
      </c>
      <c r="I49" s="103"/>
      <c r="J49" s="103"/>
      <c r="K49" s="103">
        <v>3</v>
      </c>
      <c r="L49" s="2" t="s">
        <v>284</v>
      </c>
      <c r="M49" s="10" t="s">
        <v>285</v>
      </c>
      <c r="N49" s="9" t="s">
        <v>22</v>
      </c>
      <c r="O49" s="2" t="s">
        <v>5322</v>
      </c>
      <c r="P49" s="2" t="s">
        <v>4</v>
      </c>
      <c r="Q49" s="2" t="s">
        <v>24</v>
      </c>
      <c r="R49" s="2" t="s">
        <v>7</v>
      </c>
      <c r="S49" s="2" t="s">
        <v>7</v>
      </c>
      <c r="T49" s="2" t="s">
        <v>7</v>
      </c>
      <c r="U49" s="2"/>
    </row>
    <row r="50" spans="1:21" ht="63.75">
      <c r="A50" s="2" t="s">
        <v>180</v>
      </c>
      <c r="B50" s="2" t="s">
        <v>181</v>
      </c>
      <c r="C50" s="2"/>
      <c r="D50" s="37" t="s">
        <v>722</v>
      </c>
      <c r="E50" s="112" t="s">
        <v>5408</v>
      </c>
      <c r="F50" s="113" t="s">
        <v>5407</v>
      </c>
      <c r="G50" s="113" t="s">
        <v>5409</v>
      </c>
      <c r="H50" s="113" t="s">
        <v>5410</v>
      </c>
      <c r="I50" s="104"/>
      <c r="J50" s="104"/>
      <c r="K50" s="113" t="s">
        <v>5321</v>
      </c>
      <c r="L50" s="2" t="s">
        <v>677</v>
      </c>
      <c r="M50" s="10" t="s">
        <v>678</v>
      </c>
      <c r="N50" s="9" t="s">
        <v>22</v>
      </c>
      <c r="O50" s="16" t="s">
        <v>5396</v>
      </c>
      <c r="P50" s="2" t="s">
        <v>4</v>
      </c>
      <c r="Q50" s="2"/>
      <c r="R50" s="2" t="s">
        <v>176</v>
      </c>
      <c r="S50" s="2" t="s">
        <v>7</v>
      </c>
      <c r="T50" s="2" t="s">
        <v>7</v>
      </c>
      <c r="U50" s="2"/>
    </row>
    <row r="51" spans="1:21" ht="63.75">
      <c r="A51" s="2" t="s">
        <v>180</v>
      </c>
      <c r="B51" s="2" t="s">
        <v>181</v>
      </c>
      <c r="C51" s="2"/>
      <c r="D51" s="30" t="s">
        <v>636</v>
      </c>
      <c r="E51" s="78" t="s">
        <v>3</v>
      </c>
      <c r="F51" s="102" t="s">
        <v>8</v>
      </c>
      <c r="G51" s="102" t="s">
        <v>35</v>
      </c>
      <c r="H51" s="102" t="s">
        <v>5392</v>
      </c>
      <c r="I51" s="103"/>
      <c r="J51" s="103"/>
      <c r="K51" s="103">
        <v>2</v>
      </c>
      <c r="L51" s="2" t="s">
        <v>637</v>
      </c>
      <c r="M51" s="10" t="s">
        <v>638</v>
      </c>
      <c r="N51" s="9" t="s">
        <v>22</v>
      </c>
      <c r="O51" s="2" t="s">
        <v>5322</v>
      </c>
      <c r="P51" s="2" t="s">
        <v>4</v>
      </c>
      <c r="Q51" s="2"/>
      <c r="R51" s="2" t="s">
        <v>176</v>
      </c>
      <c r="S51" s="2" t="s">
        <v>7</v>
      </c>
      <c r="T51" s="2" t="s">
        <v>7</v>
      </c>
      <c r="U51" s="2"/>
    </row>
    <row r="52" spans="1:21" ht="63.75">
      <c r="A52" s="2" t="s">
        <v>16</v>
      </c>
      <c r="B52" s="70" t="s">
        <v>33</v>
      </c>
      <c r="C52" s="73" t="s">
        <v>5513</v>
      </c>
      <c r="D52" s="30" t="s">
        <v>157</v>
      </c>
      <c r="E52" s="78" t="s">
        <v>5353</v>
      </c>
      <c r="F52" s="102" t="s">
        <v>8</v>
      </c>
      <c r="G52" s="102" t="s">
        <v>35</v>
      </c>
      <c r="H52" s="102" t="s">
        <v>5354</v>
      </c>
      <c r="I52" s="103"/>
      <c r="J52" s="103"/>
      <c r="K52" s="103">
        <v>2</v>
      </c>
      <c r="L52" s="2" t="s">
        <v>159</v>
      </c>
      <c r="M52" s="10" t="s">
        <v>160</v>
      </c>
      <c r="N52" s="9" t="s">
        <v>22</v>
      </c>
      <c r="O52" s="2" t="s">
        <v>5322</v>
      </c>
      <c r="P52" s="2" t="s">
        <v>4</v>
      </c>
      <c r="Q52" s="2"/>
      <c r="R52" s="2" t="s">
        <v>7</v>
      </c>
      <c r="S52" s="2" t="s">
        <v>7</v>
      </c>
      <c r="T52" s="2" t="s">
        <v>7</v>
      </c>
      <c r="U52" s="2" t="s">
        <v>0</v>
      </c>
    </row>
    <row r="53" spans="1:21" ht="38.25">
      <c r="A53" s="2" t="s">
        <v>16</v>
      </c>
      <c r="B53" s="2" t="s">
        <v>17</v>
      </c>
      <c r="C53" s="16" t="s">
        <v>5513</v>
      </c>
      <c r="D53" s="10" t="s">
        <v>108</v>
      </c>
      <c r="E53" s="5" t="s">
        <v>77</v>
      </c>
      <c r="F53" s="103" t="s">
        <v>78</v>
      </c>
      <c r="G53" s="103"/>
      <c r="H53" s="103"/>
      <c r="I53" s="103"/>
      <c r="J53" s="103"/>
      <c r="K53" s="103">
        <v>1</v>
      </c>
      <c r="L53" s="16" t="s">
        <v>5557</v>
      </c>
      <c r="M53" s="76" t="s">
        <v>5558</v>
      </c>
      <c r="N53" s="9" t="s">
        <v>22</v>
      </c>
      <c r="O53" s="2" t="s">
        <v>81</v>
      </c>
      <c r="P53" s="2" t="s">
        <v>4</v>
      </c>
      <c r="Q53" s="2" t="s">
        <v>24</v>
      </c>
      <c r="R53" s="2" t="s">
        <v>7</v>
      </c>
      <c r="S53" s="2" t="s">
        <v>7</v>
      </c>
      <c r="T53" s="2" t="s">
        <v>7</v>
      </c>
      <c r="U53" s="2" t="s">
        <v>25</v>
      </c>
    </row>
    <row r="54" spans="1:21" ht="25.5">
      <c r="A54" s="2" t="s">
        <v>16</v>
      </c>
      <c r="B54" s="2" t="s">
        <v>17</v>
      </c>
      <c r="C54" s="16" t="s">
        <v>5513</v>
      </c>
      <c r="D54" s="10" t="s">
        <v>514</v>
      </c>
      <c r="E54" s="5" t="s">
        <v>77</v>
      </c>
      <c r="F54" s="103" t="s">
        <v>78</v>
      </c>
      <c r="G54" s="103"/>
      <c r="H54" s="103"/>
      <c r="I54" s="103"/>
      <c r="J54" s="103"/>
      <c r="K54" s="103">
        <v>1</v>
      </c>
      <c r="L54" s="16" t="s">
        <v>5559</v>
      </c>
      <c r="M54" s="76" t="s">
        <v>5560</v>
      </c>
      <c r="N54" s="9" t="s">
        <v>22</v>
      </c>
      <c r="O54" s="2" t="s">
        <v>81</v>
      </c>
      <c r="P54" s="2" t="s">
        <v>4</v>
      </c>
      <c r="Q54" s="2"/>
      <c r="R54" s="2" t="s">
        <v>176</v>
      </c>
      <c r="S54" s="2" t="s">
        <v>7</v>
      </c>
      <c r="T54" s="2" t="s">
        <v>7</v>
      </c>
      <c r="U54" s="2" t="s">
        <v>25</v>
      </c>
    </row>
    <row r="55" spans="1:21" ht="102">
      <c r="A55" s="83" t="s">
        <v>16</v>
      </c>
      <c r="B55" s="83" t="s">
        <v>17</v>
      </c>
      <c r="C55" s="121" t="s">
        <v>5513</v>
      </c>
      <c r="D55" s="87" t="s">
        <v>5518</v>
      </c>
      <c r="E55" s="78" t="s">
        <v>5496</v>
      </c>
      <c r="F55" s="102" t="s">
        <v>5494</v>
      </c>
      <c r="G55" s="102" t="s">
        <v>5495</v>
      </c>
      <c r="H55" s="103"/>
      <c r="I55" s="103"/>
      <c r="J55" s="103"/>
      <c r="K55" s="102" t="s">
        <v>5497</v>
      </c>
      <c r="L55" s="2" t="s">
        <v>570</v>
      </c>
      <c r="M55" s="10" t="s">
        <v>571</v>
      </c>
      <c r="N55" s="9" t="s">
        <v>22</v>
      </c>
      <c r="O55" s="16" t="s">
        <v>132</v>
      </c>
      <c r="P55" s="2" t="s">
        <v>4</v>
      </c>
      <c r="Q55" s="2"/>
      <c r="R55" s="2" t="s">
        <v>176</v>
      </c>
      <c r="S55" s="2" t="s">
        <v>7</v>
      </c>
      <c r="T55" s="2" t="s">
        <v>7</v>
      </c>
      <c r="U55" s="2" t="s">
        <v>25</v>
      </c>
    </row>
    <row r="56" spans="1:21" ht="25.5">
      <c r="A56" s="2" t="s">
        <v>16</v>
      </c>
      <c r="B56" s="2" t="s">
        <v>96</v>
      </c>
      <c r="C56" s="16" t="s">
        <v>5513</v>
      </c>
      <c r="D56" s="34" t="s">
        <v>109</v>
      </c>
      <c r="E56" s="104" t="s">
        <v>77</v>
      </c>
      <c r="F56" s="9" t="s">
        <v>78</v>
      </c>
      <c r="G56" s="104"/>
      <c r="H56" s="104"/>
      <c r="I56" s="104"/>
      <c r="J56" s="104"/>
      <c r="K56" s="104">
        <v>2</v>
      </c>
      <c r="L56" s="16" t="s">
        <v>5561</v>
      </c>
      <c r="M56" s="76" t="s">
        <v>5562</v>
      </c>
      <c r="N56" s="9" t="s">
        <v>22</v>
      </c>
      <c r="O56" s="2" t="s">
        <v>81</v>
      </c>
      <c r="P56" s="2" t="s">
        <v>4</v>
      </c>
      <c r="Q56" s="2" t="s">
        <v>24</v>
      </c>
      <c r="R56" s="2" t="s">
        <v>7</v>
      </c>
      <c r="S56" s="2" t="s">
        <v>7</v>
      </c>
      <c r="T56" s="2" t="s">
        <v>7</v>
      </c>
      <c r="U56" s="2" t="s">
        <v>48</v>
      </c>
    </row>
    <row r="57" spans="1:21" ht="38.25">
      <c r="A57" s="2" t="s">
        <v>180</v>
      </c>
      <c r="B57" s="2" t="s">
        <v>181</v>
      </c>
      <c r="C57" s="2"/>
      <c r="D57" s="30" t="s">
        <v>206</v>
      </c>
      <c r="E57" s="78" t="s">
        <v>3</v>
      </c>
      <c r="F57" s="102" t="s">
        <v>8</v>
      </c>
      <c r="G57" s="102" t="s">
        <v>35</v>
      </c>
      <c r="H57" s="102" t="s">
        <v>5352</v>
      </c>
      <c r="I57" s="103"/>
      <c r="J57" s="103"/>
      <c r="K57" s="103">
        <v>2</v>
      </c>
      <c r="L57" s="2" t="s">
        <v>207</v>
      </c>
      <c r="M57" s="10" t="s">
        <v>208</v>
      </c>
      <c r="N57" s="9" t="s">
        <v>22</v>
      </c>
      <c r="O57" s="2" t="s">
        <v>5322</v>
      </c>
      <c r="P57" s="2" t="s">
        <v>4</v>
      </c>
      <c r="Q57" s="2" t="s">
        <v>24</v>
      </c>
      <c r="R57" s="2" t="s">
        <v>7</v>
      </c>
      <c r="S57" s="2" t="s">
        <v>7</v>
      </c>
      <c r="T57" s="2" t="s">
        <v>7</v>
      </c>
      <c r="U57" s="2"/>
    </row>
    <row r="58" spans="1:21" ht="38.25">
      <c r="A58" s="2" t="s">
        <v>193</v>
      </c>
      <c r="B58" s="2" t="s">
        <v>198</v>
      </c>
      <c r="C58" s="2"/>
      <c r="D58" s="10" t="s">
        <v>464</v>
      </c>
      <c r="E58" s="5" t="s">
        <v>77</v>
      </c>
      <c r="F58" s="5" t="s">
        <v>78</v>
      </c>
      <c r="G58" s="103"/>
      <c r="H58" s="103"/>
      <c r="I58" s="103"/>
      <c r="J58" s="103"/>
      <c r="K58" s="103">
        <v>1</v>
      </c>
      <c r="L58" s="16" t="s">
        <v>5563</v>
      </c>
      <c r="M58" s="76" t="s">
        <v>5564</v>
      </c>
      <c r="N58" s="9" t="s">
        <v>22</v>
      </c>
      <c r="O58" s="2" t="s">
        <v>81</v>
      </c>
      <c r="P58" s="2" t="s">
        <v>4</v>
      </c>
      <c r="Q58" s="2" t="s">
        <v>24</v>
      </c>
      <c r="R58" s="2" t="s">
        <v>7</v>
      </c>
      <c r="S58" s="2" t="s">
        <v>7</v>
      </c>
      <c r="T58" s="2" t="s">
        <v>7</v>
      </c>
      <c r="U58" s="2"/>
    </row>
    <row r="59" spans="1:21" ht="25.5">
      <c r="A59" s="83" t="s">
        <v>16</v>
      </c>
      <c r="B59" s="83" t="s">
        <v>17</v>
      </c>
      <c r="C59" s="121" t="s">
        <v>5513</v>
      </c>
      <c r="D59" s="87" t="s">
        <v>138</v>
      </c>
      <c r="E59" s="5" t="s">
        <v>77</v>
      </c>
      <c r="F59" s="5" t="s">
        <v>78</v>
      </c>
      <c r="G59" s="103"/>
      <c r="H59" s="103"/>
      <c r="I59" s="103"/>
      <c r="J59" s="103"/>
      <c r="K59" s="103">
        <v>2</v>
      </c>
      <c r="L59" s="16" t="s">
        <v>5565</v>
      </c>
      <c r="M59" s="76" t="s">
        <v>5566</v>
      </c>
      <c r="N59" s="9" t="s">
        <v>22</v>
      </c>
      <c r="O59" s="2" t="s">
        <v>81</v>
      </c>
      <c r="P59" s="2" t="s">
        <v>4</v>
      </c>
      <c r="Q59" s="2" t="s">
        <v>24</v>
      </c>
      <c r="R59" s="2" t="s">
        <v>7</v>
      </c>
      <c r="S59" s="2" t="s">
        <v>7</v>
      </c>
      <c r="T59" s="2" t="s">
        <v>7</v>
      </c>
      <c r="U59" s="2" t="s">
        <v>25</v>
      </c>
    </row>
    <row r="60" spans="1:21" ht="38.25">
      <c r="A60" s="2" t="s">
        <v>193</v>
      </c>
      <c r="B60" s="2" t="s">
        <v>198</v>
      </c>
      <c r="C60" s="2"/>
      <c r="D60" s="30" t="s">
        <v>471</v>
      </c>
      <c r="E60" s="78" t="s">
        <v>5433</v>
      </c>
      <c r="F60" s="102" t="s">
        <v>5434</v>
      </c>
      <c r="G60" s="102" t="s">
        <v>5435</v>
      </c>
      <c r="H60" s="102" t="s">
        <v>96</v>
      </c>
      <c r="I60" s="103"/>
      <c r="J60" s="103"/>
      <c r="K60" s="103">
        <v>2</v>
      </c>
      <c r="L60" s="2" t="s">
        <v>473</v>
      </c>
      <c r="M60" s="10" t="s">
        <v>474</v>
      </c>
      <c r="N60" s="9" t="s">
        <v>22</v>
      </c>
      <c r="O60" s="2" t="s">
        <v>5322</v>
      </c>
      <c r="P60" s="2" t="s">
        <v>4</v>
      </c>
      <c r="Q60" s="2" t="s">
        <v>24</v>
      </c>
      <c r="R60" s="2" t="s">
        <v>7</v>
      </c>
      <c r="S60" s="2" t="s">
        <v>7</v>
      </c>
      <c r="T60" s="2" t="s">
        <v>7</v>
      </c>
      <c r="U60" s="2"/>
    </row>
    <row r="61" spans="1:21" ht="51">
      <c r="A61" s="2" t="s">
        <v>180</v>
      </c>
      <c r="B61" s="2" t="s">
        <v>181</v>
      </c>
      <c r="C61" s="2"/>
      <c r="D61" s="30" t="s">
        <v>455</v>
      </c>
      <c r="E61" s="78" t="s">
        <v>3</v>
      </c>
      <c r="F61" s="102" t="s">
        <v>8</v>
      </c>
      <c r="G61" s="102" t="s">
        <v>35</v>
      </c>
      <c r="H61" s="102" t="s">
        <v>5352</v>
      </c>
      <c r="I61" s="103"/>
      <c r="J61" s="103"/>
      <c r="K61" s="103">
        <v>2</v>
      </c>
      <c r="L61" s="2" t="s">
        <v>457</v>
      </c>
      <c r="M61" s="10" t="s">
        <v>459</v>
      </c>
      <c r="N61" s="9" t="s">
        <v>22</v>
      </c>
      <c r="O61" s="2" t="s">
        <v>5322</v>
      </c>
      <c r="P61" s="2" t="s">
        <v>4</v>
      </c>
      <c r="Q61" s="2"/>
      <c r="R61" s="2" t="s">
        <v>7</v>
      </c>
      <c r="S61" s="2" t="s">
        <v>7</v>
      </c>
      <c r="T61" s="2" t="s">
        <v>7</v>
      </c>
      <c r="U61" s="2"/>
    </row>
    <row r="62" spans="1:21" ht="38.25">
      <c r="A62" s="2" t="s">
        <v>180</v>
      </c>
      <c r="B62" s="2" t="s">
        <v>181</v>
      </c>
      <c r="C62" s="2"/>
      <c r="D62" s="30" t="s">
        <v>651</v>
      </c>
      <c r="E62" s="78" t="s">
        <v>3</v>
      </c>
      <c r="F62" s="102" t="s">
        <v>8</v>
      </c>
      <c r="G62" s="102" t="s">
        <v>35</v>
      </c>
      <c r="H62" s="102" t="s">
        <v>5352</v>
      </c>
      <c r="I62" s="103"/>
      <c r="J62" s="103"/>
      <c r="K62" s="103">
        <v>2</v>
      </c>
      <c r="L62" s="2" t="s">
        <v>652</v>
      </c>
      <c r="M62" s="10" t="s">
        <v>653</v>
      </c>
      <c r="N62" s="9" t="s">
        <v>22</v>
      </c>
      <c r="O62" s="2" t="s">
        <v>5322</v>
      </c>
      <c r="P62" s="2" t="s">
        <v>4</v>
      </c>
      <c r="Q62" s="2"/>
      <c r="R62" s="2" t="s">
        <v>176</v>
      </c>
      <c r="S62" s="2" t="s">
        <v>176</v>
      </c>
      <c r="T62" s="2" t="s">
        <v>7</v>
      </c>
      <c r="U62" s="2"/>
    </row>
    <row r="63" spans="1:21" ht="38.25">
      <c r="A63" s="2" t="s">
        <v>180</v>
      </c>
      <c r="B63" s="2" t="s">
        <v>181</v>
      </c>
      <c r="C63" s="2"/>
      <c r="D63" s="10" t="s">
        <v>265</v>
      </c>
      <c r="E63" s="5" t="s">
        <v>77</v>
      </c>
      <c r="F63" s="5" t="s">
        <v>78</v>
      </c>
      <c r="G63" s="103"/>
      <c r="H63" s="103"/>
      <c r="I63" s="103"/>
      <c r="J63" s="103"/>
      <c r="K63" s="103">
        <v>1</v>
      </c>
      <c r="L63" s="16" t="s">
        <v>5567</v>
      </c>
      <c r="M63" s="76" t="s">
        <v>5568</v>
      </c>
      <c r="N63" s="9" t="s">
        <v>22</v>
      </c>
      <c r="O63" s="2" t="s">
        <v>81</v>
      </c>
      <c r="P63" s="2" t="s">
        <v>4</v>
      </c>
      <c r="Q63" s="2" t="s">
        <v>24</v>
      </c>
      <c r="R63" s="2" t="s">
        <v>7</v>
      </c>
      <c r="S63" s="2" t="s">
        <v>7</v>
      </c>
      <c r="T63" s="2" t="s">
        <v>7</v>
      </c>
      <c r="U63" s="2"/>
    </row>
    <row r="64" spans="1:21" ht="63.75">
      <c r="A64" s="2" t="s">
        <v>180</v>
      </c>
      <c r="B64" s="2" t="s">
        <v>181</v>
      </c>
      <c r="C64" s="2"/>
      <c r="D64" s="37" t="s">
        <v>723</v>
      </c>
      <c r="E64" s="112" t="s">
        <v>3</v>
      </c>
      <c r="F64" s="113" t="s">
        <v>35</v>
      </c>
      <c r="G64" s="113" t="s">
        <v>8</v>
      </c>
      <c r="H64" s="113" t="s">
        <v>5402</v>
      </c>
      <c r="I64" s="104"/>
      <c r="J64" s="104"/>
      <c r="K64" s="104">
        <v>4</v>
      </c>
      <c r="L64" s="2" t="s">
        <v>315</v>
      </c>
      <c r="M64" s="10" t="s">
        <v>316</v>
      </c>
      <c r="N64" s="9" t="s">
        <v>22</v>
      </c>
      <c r="O64" s="2" t="s">
        <v>5322</v>
      </c>
      <c r="P64" s="2" t="s">
        <v>4</v>
      </c>
      <c r="Q64" s="2"/>
      <c r="R64" s="2" t="s">
        <v>7</v>
      </c>
      <c r="S64" s="2" t="s">
        <v>7</v>
      </c>
      <c r="T64" s="2" t="s">
        <v>7</v>
      </c>
      <c r="U64" s="2"/>
    </row>
    <row r="65" spans="1:21" ht="38.25">
      <c r="A65" s="2" t="s">
        <v>180</v>
      </c>
      <c r="B65" s="2" t="s">
        <v>181</v>
      </c>
      <c r="C65" s="2"/>
      <c r="D65" s="30" t="s">
        <v>674</v>
      </c>
      <c r="E65" s="115" t="s">
        <v>5412</v>
      </c>
      <c r="F65" s="116" t="s">
        <v>5352</v>
      </c>
      <c r="G65" s="116" t="s">
        <v>5419</v>
      </c>
      <c r="H65" s="116" t="s">
        <v>5416</v>
      </c>
      <c r="I65" s="107"/>
      <c r="J65" s="107"/>
      <c r="K65" s="107">
        <v>3</v>
      </c>
      <c r="L65" s="2" t="s">
        <v>675</v>
      </c>
      <c r="M65" s="10" t="s">
        <v>676</v>
      </c>
      <c r="N65" s="9" t="s">
        <v>22</v>
      </c>
      <c r="O65" s="2" t="s">
        <v>5322</v>
      </c>
      <c r="P65" s="2" t="s">
        <v>4</v>
      </c>
      <c r="Q65" s="2"/>
      <c r="R65" s="2" t="s">
        <v>176</v>
      </c>
      <c r="S65" s="2" t="s">
        <v>176</v>
      </c>
      <c r="T65" s="2" t="s">
        <v>7</v>
      </c>
      <c r="U65" s="2"/>
    </row>
    <row r="66" spans="1:21" ht="25.5">
      <c r="A66" s="2" t="s">
        <v>16</v>
      </c>
      <c r="B66" s="2" t="s">
        <v>26</v>
      </c>
      <c r="C66" s="16" t="s">
        <v>5512</v>
      </c>
      <c r="D66" s="30" t="s">
        <v>133</v>
      </c>
      <c r="E66" s="78" t="s">
        <v>5355</v>
      </c>
      <c r="F66" s="102" t="s">
        <v>5356</v>
      </c>
      <c r="G66" s="102" t="s">
        <v>5357</v>
      </c>
      <c r="H66" s="102" t="s">
        <v>5358</v>
      </c>
      <c r="I66" s="103"/>
      <c r="J66" s="103"/>
      <c r="K66" s="103">
        <v>2</v>
      </c>
      <c r="L66" s="2" t="s">
        <v>135</v>
      </c>
      <c r="M66" s="10" t="s">
        <v>136</v>
      </c>
      <c r="N66" s="9" t="s">
        <v>22</v>
      </c>
      <c r="O66" s="2" t="s">
        <v>5322</v>
      </c>
      <c r="P66" s="2" t="s">
        <v>4</v>
      </c>
      <c r="Q66" s="2" t="s">
        <v>24</v>
      </c>
      <c r="R66" s="2" t="s">
        <v>7</v>
      </c>
      <c r="S66" s="2" t="s">
        <v>7</v>
      </c>
      <c r="T66" s="2" t="s">
        <v>7</v>
      </c>
      <c r="U66" s="2" t="s">
        <v>26</v>
      </c>
    </row>
    <row r="67" spans="1:21" ht="38.25">
      <c r="A67" s="2" t="s">
        <v>16</v>
      </c>
      <c r="B67" s="2" t="s">
        <v>41</v>
      </c>
      <c r="C67" s="16" t="s">
        <v>5513</v>
      </c>
      <c r="D67" s="30" t="s">
        <v>149</v>
      </c>
      <c r="E67" s="78" t="s">
        <v>5359</v>
      </c>
      <c r="F67" s="102" t="s">
        <v>5360</v>
      </c>
      <c r="G67" s="102" t="s">
        <v>5361</v>
      </c>
      <c r="H67" s="102" t="s">
        <v>5362</v>
      </c>
      <c r="I67" s="103"/>
      <c r="J67" s="103"/>
      <c r="K67" s="103">
        <v>1</v>
      </c>
      <c r="L67" s="2" t="s">
        <v>151</v>
      </c>
      <c r="M67" s="10" t="s">
        <v>152</v>
      </c>
      <c r="N67" s="9" t="s">
        <v>22</v>
      </c>
      <c r="O67" s="2" t="s">
        <v>5322</v>
      </c>
      <c r="P67" s="2" t="s">
        <v>4</v>
      </c>
      <c r="Q67" s="2"/>
      <c r="R67" s="2" t="s">
        <v>7</v>
      </c>
      <c r="S67" s="2" t="s">
        <v>7</v>
      </c>
      <c r="T67" s="2" t="s">
        <v>7</v>
      </c>
      <c r="U67" s="2" t="s">
        <v>48</v>
      </c>
    </row>
    <row r="68" spans="1:21" ht="38.25">
      <c r="A68" s="2" t="s">
        <v>16</v>
      </c>
      <c r="B68" s="2" t="s">
        <v>41</v>
      </c>
      <c r="C68" s="16" t="s">
        <v>5513</v>
      </c>
      <c r="D68" s="10" t="s">
        <v>370</v>
      </c>
      <c r="E68" s="5" t="s">
        <v>77</v>
      </c>
      <c r="F68" s="5" t="s">
        <v>78</v>
      </c>
      <c r="G68" s="103"/>
      <c r="H68" s="103"/>
      <c r="I68" s="103"/>
      <c r="J68" s="103"/>
      <c r="K68" s="103">
        <v>1</v>
      </c>
      <c r="L68" s="16" t="s">
        <v>5569</v>
      </c>
      <c r="M68" s="76" t="s">
        <v>5570</v>
      </c>
      <c r="N68" s="9" t="s">
        <v>22</v>
      </c>
      <c r="O68" s="2" t="s">
        <v>81</v>
      </c>
      <c r="P68" s="2" t="s">
        <v>4</v>
      </c>
      <c r="Q68" s="2"/>
      <c r="R68" s="2" t="s">
        <v>176</v>
      </c>
      <c r="S68" s="2" t="s">
        <v>176</v>
      </c>
      <c r="T68" s="2" t="s">
        <v>22</v>
      </c>
      <c r="U68" s="2" t="s">
        <v>48</v>
      </c>
    </row>
    <row r="69" spans="1:21" ht="38.25">
      <c r="A69" s="2" t="s">
        <v>16</v>
      </c>
      <c r="B69" s="2" t="s">
        <v>41</v>
      </c>
      <c r="C69" s="16" t="s">
        <v>5513</v>
      </c>
      <c r="D69" s="10" t="s">
        <v>546</v>
      </c>
      <c r="E69" s="5" t="s">
        <v>77</v>
      </c>
      <c r="F69" s="5" t="s">
        <v>78</v>
      </c>
      <c r="G69" s="108"/>
      <c r="H69" s="108"/>
      <c r="I69" s="108"/>
      <c r="J69" s="108"/>
      <c r="K69" s="103">
        <v>1</v>
      </c>
      <c r="L69" s="16" t="s">
        <v>5571</v>
      </c>
      <c r="M69" s="76" t="s">
        <v>5572</v>
      </c>
      <c r="N69" s="9" t="s">
        <v>22</v>
      </c>
      <c r="O69" s="2" t="s">
        <v>81</v>
      </c>
      <c r="P69" s="2" t="s">
        <v>4</v>
      </c>
      <c r="Q69" s="2"/>
      <c r="R69" s="2" t="s">
        <v>176</v>
      </c>
      <c r="S69" s="2" t="s">
        <v>176</v>
      </c>
      <c r="T69" s="2" t="s">
        <v>22</v>
      </c>
      <c r="U69" s="2" t="s">
        <v>48</v>
      </c>
    </row>
    <row r="70" spans="1:21" ht="51">
      <c r="A70" s="2" t="s">
        <v>16</v>
      </c>
      <c r="B70" s="2" t="s">
        <v>41</v>
      </c>
      <c r="C70" s="16" t="s">
        <v>5513</v>
      </c>
      <c r="D70" s="30" t="s">
        <v>724</v>
      </c>
      <c r="E70" s="78" t="s">
        <v>5363</v>
      </c>
      <c r="F70" s="102" t="s">
        <v>5364</v>
      </c>
      <c r="G70" s="102" t="s">
        <v>5365</v>
      </c>
      <c r="H70" s="102" t="s">
        <v>5366</v>
      </c>
      <c r="I70" s="102" t="s">
        <v>5367</v>
      </c>
      <c r="J70" s="102" t="s">
        <v>5368</v>
      </c>
      <c r="K70" s="103">
        <v>1</v>
      </c>
      <c r="L70" s="2" t="s">
        <v>503</v>
      </c>
      <c r="M70" s="10" t="s">
        <v>504</v>
      </c>
      <c r="N70" s="9" t="s">
        <v>22</v>
      </c>
      <c r="O70" s="2" t="s">
        <v>5322</v>
      </c>
      <c r="P70" s="2" t="s">
        <v>4</v>
      </c>
      <c r="Q70" s="2"/>
      <c r="R70" s="2" t="s">
        <v>176</v>
      </c>
      <c r="S70" s="2" t="s">
        <v>7</v>
      </c>
      <c r="T70" s="2" t="s">
        <v>7</v>
      </c>
      <c r="U70" s="2" t="s">
        <v>48</v>
      </c>
    </row>
    <row r="71" spans="1:21" ht="51">
      <c r="A71" s="2" t="s">
        <v>16</v>
      </c>
      <c r="B71" s="2" t="s">
        <v>41</v>
      </c>
      <c r="C71" s="16" t="s">
        <v>5513</v>
      </c>
      <c r="D71" s="30" t="s">
        <v>725</v>
      </c>
      <c r="E71" s="78" t="s">
        <v>5364</v>
      </c>
      <c r="F71" s="102" t="s">
        <v>5365</v>
      </c>
      <c r="G71" s="102" t="s">
        <v>5366</v>
      </c>
      <c r="H71" s="102" t="s">
        <v>5367</v>
      </c>
      <c r="I71" s="102" t="s">
        <v>5368</v>
      </c>
      <c r="J71" s="102" t="s">
        <v>5363</v>
      </c>
      <c r="K71" s="103">
        <v>6</v>
      </c>
      <c r="L71" s="2" t="s">
        <v>567</v>
      </c>
      <c r="M71" s="10" t="s">
        <v>568</v>
      </c>
      <c r="N71" s="9" t="s">
        <v>22</v>
      </c>
      <c r="O71" s="2" t="s">
        <v>5322</v>
      </c>
      <c r="P71" s="2" t="s">
        <v>4</v>
      </c>
      <c r="Q71" s="2"/>
      <c r="R71" s="2" t="s">
        <v>176</v>
      </c>
      <c r="S71" s="2" t="s">
        <v>7</v>
      </c>
      <c r="T71" s="2" t="s">
        <v>7</v>
      </c>
      <c r="U71" s="2" t="s">
        <v>48</v>
      </c>
    </row>
    <row r="72" spans="1:21" ht="38.25">
      <c r="A72" s="2" t="s">
        <v>16</v>
      </c>
      <c r="B72" s="2" t="s">
        <v>41</v>
      </c>
      <c r="C72" s="16" t="s">
        <v>5513</v>
      </c>
      <c r="D72" s="30" t="s">
        <v>726</v>
      </c>
      <c r="E72" s="78" t="s">
        <v>5364</v>
      </c>
      <c r="F72" s="102" t="s">
        <v>5365</v>
      </c>
      <c r="G72" s="102" t="s">
        <v>5363</v>
      </c>
      <c r="H72" s="102" t="s">
        <v>5366</v>
      </c>
      <c r="I72" s="102" t="s">
        <v>5367</v>
      </c>
      <c r="J72" s="102" t="s">
        <v>5368</v>
      </c>
      <c r="K72" s="103">
        <v>3</v>
      </c>
      <c r="L72" s="2" t="s">
        <v>605</v>
      </c>
      <c r="M72" s="10" t="s">
        <v>606</v>
      </c>
      <c r="N72" s="9" t="s">
        <v>22</v>
      </c>
      <c r="O72" s="2" t="s">
        <v>5322</v>
      </c>
      <c r="P72" s="2" t="s">
        <v>4</v>
      </c>
      <c r="Q72" s="2"/>
      <c r="R72" s="2" t="s">
        <v>176</v>
      </c>
      <c r="S72" s="2" t="s">
        <v>7</v>
      </c>
      <c r="T72" s="2" t="s">
        <v>7</v>
      </c>
      <c r="U72" s="2" t="s">
        <v>48</v>
      </c>
    </row>
    <row r="73" spans="1:21" ht="25.5">
      <c r="A73" s="2" t="s">
        <v>16</v>
      </c>
      <c r="B73" s="2" t="s">
        <v>41</v>
      </c>
      <c r="C73" s="16" t="s">
        <v>5513</v>
      </c>
      <c r="D73" s="30" t="s">
        <v>5458</v>
      </c>
      <c r="E73" s="78" t="s">
        <v>5364</v>
      </c>
      <c r="F73" s="102" t="s">
        <v>5365</v>
      </c>
      <c r="G73" s="102" t="s">
        <v>5363</v>
      </c>
      <c r="H73" s="102" t="s">
        <v>5366</v>
      </c>
      <c r="I73" s="102" t="s">
        <v>5367</v>
      </c>
      <c r="J73" s="102" t="s">
        <v>5368</v>
      </c>
      <c r="K73" s="103">
        <v>2</v>
      </c>
      <c r="L73" s="2" t="s">
        <v>561</v>
      </c>
      <c r="M73" s="10" t="s">
        <v>562</v>
      </c>
      <c r="N73" s="9" t="s">
        <v>22</v>
      </c>
      <c r="O73" s="2" t="s">
        <v>5322</v>
      </c>
      <c r="P73" s="2" t="s">
        <v>4</v>
      </c>
      <c r="Q73" s="2"/>
      <c r="R73" s="2" t="s">
        <v>176</v>
      </c>
      <c r="S73" s="2" t="s">
        <v>7</v>
      </c>
      <c r="T73" s="2" t="s">
        <v>7</v>
      </c>
      <c r="U73" s="2" t="s">
        <v>48</v>
      </c>
    </row>
    <row r="74" spans="1:21" ht="38.25">
      <c r="A74" s="2" t="s">
        <v>16</v>
      </c>
      <c r="B74" s="2" t="s">
        <v>41</v>
      </c>
      <c r="C74" s="16" t="s">
        <v>5513</v>
      </c>
      <c r="D74" s="30" t="s">
        <v>5459</v>
      </c>
      <c r="E74" s="78" t="s">
        <v>5364</v>
      </c>
      <c r="F74" s="102" t="s">
        <v>5363</v>
      </c>
      <c r="G74" s="102" t="s">
        <v>5366</v>
      </c>
      <c r="H74" s="102" t="s">
        <v>5367</v>
      </c>
      <c r="I74" s="102" t="s">
        <v>5365</v>
      </c>
      <c r="J74" s="102" t="s">
        <v>5368</v>
      </c>
      <c r="K74" s="103">
        <v>5</v>
      </c>
      <c r="L74" s="2" t="s">
        <v>609</v>
      </c>
      <c r="M74" s="10" t="s">
        <v>610</v>
      </c>
      <c r="N74" s="9" t="s">
        <v>22</v>
      </c>
      <c r="O74" s="2" t="s">
        <v>5322</v>
      </c>
      <c r="P74" s="2" t="s">
        <v>4</v>
      </c>
      <c r="Q74" s="2"/>
      <c r="R74" s="2" t="s">
        <v>176</v>
      </c>
      <c r="S74" s="2" t="s">
        <v>7</v>
      </c>
      <c r="T74" s="2" t="s">
        <v>7</v>
      </c>
      <c r="U74" s="2" t="s">
        <v>48</v>
      </c>
    </row>
    <row r="75" spans="1:21" ht="38.25">
      <c r="A75" s="2" t="s">
        <v>16</v>
      </c>
      <c r="B75" s="2" t="s">
        <v>41</v>
      </c>
      <c r="C75" s="16" t="s">
        <v>5513</v>
      </c>
      <c r="D75" s="30" t="s">
        <v>5460</v>
      </c>
      <c r="E75" s="78" t="s">
        <v>5364</v>
      </c>
      <c r="F75" s="102" t="s">
        <v>5363</v>
      </c>
      <c r="G75" s="102" t="s">
        <v>5366</v>
      </c>
      <c r="H75" s="102" t="s">
        <v>5367</v>
      </c>
      <c r="I75" s="102" t="s">
        <v>5365</v>
      </c>
      <c r="J75" s="102" t="s">
        <v>5368</v>
      </c>
      <c r="K75" s="103">
        <v>1</v>
      </c>
      <c r="L75" s="2" t="s">
        <v>603</v>
      </c>
      <c r="M75" s="10" t="s">
        <v>604</v>
      </c>
      <c r="N75" s="9" t="s">
        <v>22</v>
      </c>
      <c r="O75" s="2" t="s">
        <v>5322</v>
      </c>
      <c r="P75" s="2" t="s">
        <v>4</v>
      </c>
      <c r="Q75" s="2"/>
      <c r="R75" s="2" t="s">
        <v>176</v>
      </c>
      <c r="S75" s="2" t="s">
        <v>7</v>
      </c>
      <c r="T75" s="2" t="s">
        <v>7</v>
      </c>
      <c r="U75" s="2" t="s">
        <v>48</v>
      </c>
    </row>
    <row r="76" spans="1:21" ht="38.25">
      <c r="A76" s="2" t="s">
        <v>16</v>
      </c>
      <c r="B76" s="2" t="s">
        <v>41</v>
      </c>
      <c r="C76" s="16" t="s">
        <v>5513</v>
      </c>
      <c r="D76" s="30" t="s">
        <v>5461</v>
      </c>
      <c r="E76" s="78" t="s">
        <v>5364</v>
      </c>
      <c r="F76" s="102" t="s">
        <v>5363</v>
      </c>
      <c r="G76" s="102" t="s">
        <v>5366</v>
      </c>
      <c r="H76" s="102" t="s">
        <v>5367</v>
      </c>
      <c r="I76" s="102" t="s">
        <v>5365</v>
      </c>
      <c r="J76" s="102" t="s">
        <v>5368</v>
      </c>
      <c r="K76" s="103">
        <v>1</v>
      </c>
      <c r="L76" s="2" t="s">
        <v>591</v>
      </c>
      <c r="M76" s="10" t="s">
        <v>592</v>
      </c>
      <c r="N76" s="9" t="s">
        <v>22</v>
      </c>
      <c r="O76" s="2" t="s">
        <v>5322</v>
      </c>
      <c r="P76" s="2" t="s">
        <v>4</v>
      </c>
      <c r="Q76" s="2"/>
      <c r="R76" s="2" t="s">
        <v>176</v>
      </c>
      <c r="S76" s="2" t="s">
        <v>7</v>
      </c>
      <c r="T76" s="2" t="s">
        <v>7</v>
      </c>
      <c r="U76" s="2" t="s">
        <v>48</v>
      </c>
    </row>
    <row r="77" spans="1:21" ht="38.25">
      <c r="A77" s="2" t="s">
        <v>16</v>
      </c>
      <c r="B77" s="2" t="s">
        <v>41</v>
      </c>
      <c r="C77" s="16" t="s">
        <v>5513</v>
      </c>
      <c r="D77" s="30" t="s">
        <v>5462</v>
      </c>
      <c r="E77" s="78" t="s">
        <v>5363</v>
      </c>
      <c r="F77" s="102" t="s">
        <v>5364</v>
      </c>
      <c r="G77" s="102" t="s">
        <v>5366</v>
      </c>
      <c r="H77" s="102" t="s">
        <v>5367</v>
      </c>
      <c r="I77" s="102" t="s">
        <v>5365</v>
      </c>
      <c r="J77" s="102" t="s">
        <v>5368</v>
      </c>
      <c r="K77" s="103">
        <v>2</v>
      </c>
      <c r="L77" s="3" t="s">
        <v>583</v>
      </c>
      <c r="M77" s="7" t="s">
        <v>584</v>
      </c>
      <c r="N77" s="9" t="s">
        <v>22</v>
      </c>
      <c r="O77" s="2" t="s">
        <v>5322</v>
      </c>
      <c r="P77" s="2" t="s">
        <v>4</v>
      </c>
      <c r="Q77" s="2"/>
      <c r="R77" s="2" t="s">
        <v>176</v>
      </c>
      <c r="S77" s="2" t="s">
        <v>7</v>
      </c>
      <c r="T77" s="2" t="s">
        <v>7</v>
      </c>
      <c r="U77" s="2" t="s">
        <v>48</v>
      </c>
    </row>
    <row r="78" spans="1:21" ht="38.25">
      <c r="A78" s="2" t="s">
        <v>16</v>
      </c>
      <c r="B78" s="2" t="s">
        <v>41</v>
      </c>
      <c r="C78" s="16" t="s">
        <v>5513</v>
      </c>
      <c r="D78" s="30" t="s">
        <v>5463</v>
      </c>
      <c r="E78" s="78" t="s">
        <v>5363</v>
      </c>
      <c r="F78" s="102" t="s">
        <v>5366</v>
      </c>
      <c r="G78" s="102" t="s">
        <v>5367</v>
      </c>
      <c r="H78" s="102" t="s">
        <v>5364</v>
      </c>
      <c r="I78" s="102" t="s">
        <v>5365</v>
      </c>
      <c r="J78" s="102" t="s">
        <v>5368</v>
      </c>
      <c r="K78" s="103">
        <v>4</v>
      </c>
      <c r="L78" s="40" t="s">
        <v>598</v>
      </c>
      <c r="M78" s="40" t="s">
        <v>601</v>
      </c>
      <c r="N78" s="9" t="s">
        <v>22</v>
      </c>
      <c r="O78" s="2" t="s">
        <v>5322</v>
      </c>
      <c r="P78" s="2" t="s">
        <v>4</v>
      </c>
      <c r="Q78" s="2"/>
      <c r="R78" s="2" t="s">
        <v>176</v>
      </c>
      <c r="S78" s="2" t="s">
        <v>7</v>
      </c>
      <c r="T78" s="2" t="s">
        <v>7</v>
      </c>
      <c r="U78" s="2" t="s">
        <v>48</v>
      </c>
    </row>
    <row r="79" spans="1:21" ht="38.25">
      <c r="A79" s="2" t="s">
        <v>16</v>
      </c>
      <c r="B79" s="2" t="s">
        <v>41</v>
      </c>
      <c r="C79" s="16" t="s">
        <v>5513</v>
      </c>
      <c r="D79" s="30" t="s">
        <v>5464</v>
      </c>
      <c r="E79" s="78" t="s">
        <v>5363</v>
      </c>
      <c r="F79" s="102" t="s">
        <v>5366</v>
      </c>
      <c r="G79" s="102" t="s">
        <v>5367</v>
      </c>
      <c r="H79" s="102" t="s">
        <v>5365</v>
      </c>
      <c r="I79" s="102" t="s">
        <v>5364</v>
      </c>
      <c r="J79" s="102" t="s">
        <v>5368</v>
      </c>
      <c r="K79" s="103">
        <v>5</v>
      </c>
      <c r="L79" s="3" t="s">
        <v>564</v>
      </c>
      <c r="M79" s="7" t="s">
        <v>565</v>
      </c>
      <c r="N79" s="9" t="s">
        <v>22</v>
      </c>
      <c r="O79" s="2" t="s">
        <v>5322</v>
      </c>
      <c r="P79" s="2" t="s">
        <v>4</v>
      </c>
      <c r="Q79" s="2"/>
      <c r="R79" s="2" t="s">
        <v>176</v>
      </c>
      <c r="S79" s="2" t="s">
        <v>7</v>
      </c>
      <c r="T79" s="2" t="s">
        <v>7</v>
      </c>
      <c r="U79" s="2" t="s">
        <v>48</v>
      </c>
    </row>
    <row r="80" spans="1:21" ht="38.25">
      <c r="A80" s="2" t="s">
        <v>16</v>
      </c>
      <c r="B80" s="2" t="s">
        <v>41</v>
      </c>
      <c r="C80" s="16" t="s">
        <v>5513</v>
      </c>
      <c r="D80" s="30" t="s">
        <v>5465</v>
      </c>
      <c r="E80" s="78" t="s">
        <v>5363</v>
      </c>
      <c r="F80" s="102" t="s">
        <v>5366</v>
      </c>
      <c r="G80" s="102" t="s">
        <v>5367</v>
      </c>
      <c r="H80" s="102" t="s">
        <v>5365</v>
      </c>
      <c r="I80" s="102" t="s">
        <v>5364</v>
      </c>
      <c r="J80" s="102" t="s">
        <v>5368</v>
      </c>
      <c r="K80" s="103">
        <v>6</v>
      </c>
      <c r="L80" s="41" t="s">
        <v>548</v>
      </c>
      <c r="M80" s="41" t="s">
        <v>550</v>
      </c>
      <c r="N80" s="9" t="s">
        <v>22</v>
      </c>
      <c r="O80" s="2" t="s">
        <v>5322</v>
      </c>
      <c r="P80" s="2" t="s">
        <v>4</v>
      </c>
      <c r="Q80" s="2"/>
      <c r="R80" s="2" t="s">
        <v>176</v>
      </c>
      <c r="S80" s="2" t="s">
        <v>7</v>
      </c>
      <c r="T80" s="2" t="s">
        <v>7</v>
      </c>
      <c r="U80" s="2" t="s">
        <v>48</v>
      </c>
    </row>
    <row r="81" spans="1:21" ht="38.25">
      <c r="A81" s="2" t="s">
        <v>16</v>
      </c>
      <c r="B81" s="2" t="s">
        <v>41</v>
      </c>
      <c r="C81" s="16" t="s">
        <v>5513</v>
      </c>
      <c r="D81" s="30" t="s">
        <v>5466</v>
      </c>
      <c r="E81" s="78" t="s">
        <v>5363</v>
      </c>
      <c r="F81" s="102" t="s">
        <v>5366</v>
      </c>
      <c r="G81" s="102" t="s">
        <v>5367</v>
      </c>
      <c r="H81" s="102" t="s">
        <v>5365</v>
      </c>
      <c r="I81" s="102" t="s">
        <v>5364</v>
      </c>
      <c r="J81" s="102" t="s">
        <v>5368</v>
      </c>
      <c r="K81" s="103">
        <v>6</v>
      </c>
      <c r="L81" s="3" t="s">
        <v>506</v>
      </c>
      <c r="M81" s="7" t="s">
        <v>507</v>
      </c>
      <c r="N81" s="9" t="s">
        <v>22</v>
      </c>
      <c r="O81" s="2" t="s">
        <v>5322</v>
      </c>
      <c r="P81" s="2" t="s">
        <v>4</v>
      </c>
      <c r="Q81" s="2"/>
      <c r="R81" s="2" t="s">
        <v>176</v>
      </c>
      <c r="S81" s="2" t="s">
        <v>7</v>
      </c>
      <c r="T81" s="2" t="s">
        <v>7</v>
      </c>
      <c r="U81" s="2" t="s">
        <v>48</v>
      </c>
    </row>
    <row r="82" spans="1:21" ht="63.75">
      <c r="A82" s="2" t="s">
        <v>16</v>
      </c>
      <c r="B82" s="2" t="s">
        <v>41</v>
      </c>
      <c r="C82" s="16" t="s">
        <v>5513</v>
      </c>
      <c r="D82" s="30" t="s">
        <v>736</v>
      </c>
      <c r="E82" s="78" t="s">
        <v>5363</v>
      </c>
      <c r="F82" s="102" t="s">
        <v>5366</v>
      </c>
      <c r="G82" s="102" t="s">
        <v>5367</v>
      </c>
      <c r="H82" s="102" t="s">
        <v>5365</v>
      </c>
      <c r="I82" s="102" t="s">
        <v>5364</v>
      </c>
      <c r="J82" s="102" t="s">
        <v>5368</v>
      </c>
      <c r="K82" s="103">
        <v>6</v>
      </c>
      <c r="L82" s="42" t="s">
        <v>539</v>
      </c>
      <c r="M82" s="42" t="s">
        <v>543</v>
      </c>
      <c r="N82" s="9" t="s">
        <v>22</v>
      </c>
      <c r="O82" s="2" t="s">
        <v>5322</v>
      </c>
      <c r="P82" s="2" t="s">
        <v>4</v>
      </c>
      <c r="Q82" s="2"/>
      <c r="R82" s="2" t="s">
        <v>176</v>
      </c>
      <c r="S82" s="2" t="s">
        <v>7</v>
      </c>
      <c r="T82" s="2" t="s">
        <v>7</v>
      </c>
      <c r="U82" s="2" t="s">
        <v>48</v>
      </c>
    </row>
    <row r="83" spans="1:21" ht="25.5">
      <c r="A83" s="2" t="s">
        <v>16</v>
      </c>
      <c r="B83" s="2" t="s">
        <v>41</v>
      </c>
      <c r="C83" s="16" t="s">
        <v>5513</v>
      </c>
      <c r="D83" s="30" t="s">
        <v>5467</v>
      </c>
      <c r="E83" s="78" t="s">
        <v>5363</v>
      </c>
      <c r="F83" s="102" t="s">
        <v>5366</v>
      </c>
      <c r="G83" s="102" t="s">
        <v>5367</v>
      </c>
      <c r="H83" s="102" t="s">
        <v>5365</v>
      </c>
      <c r="I83" s="102" t="s">
        <v>5364</v>
      </c>
      <c r="J83" s="102" t="s">
        <v>5368</v>
      </c>
      <c r="K83" s="103">
        <v>3</v>
      </c>
      <c r="L83" s="3" t="s">
        <v>512</v>
      </c>
      <c r="M83" s="7" t="s">
        <v>513</v>
      </c>
      <c r="N83" s="9" t="s">
        <v>22</v>
      </c>
      <c r="O83" s="2" t="s">
        <v>5322</v>
      </c>
      <c r="P83" s="2" t="s">
        <v>4</v>
      </c>
      <c r="Q83" s="2"/>
      <c r="R83" s="2" t="s">
        <v>176</v>
      </c>
      <c r="S83" s="2" t="s">
        <v>7</v>
      </c>
      <c r="T83" s="2" t="s">
        <v>7</v>
      </c>
      <c r="U83" s="2" t="s">
        <v>48</v>
      </c>
    </row>
    <row r="84" spans="1:21" ht="51">
      <c r="A84" s="2" t="s">
        <v>16</v>
      </c>
      <c r="B84" s="2" t="s">
        <v>41</v>
      </c>
      <c r="C84" s="16" t="s">
        <v>5513</v>
      </c>
      <c r="D84" s="30" t="s">
        <v>5468</v>
      </c>
      <c r="E84" s="78" t="s">
        <v>5367</v>
      </c>
      <c r="F84" s="102" t="s">
        <v>5363</v>
      </c>
      <c r="G84" s="102" t="s">
        <v>5366</v>
      </c>
      <c r="H84" s="102" t="s">
        <v>5365</v>
      </c>
      <c r="I84" s="102" t="s">
        <v>5364</v>
      </c>
      <c r="J84" s="102" t="s">
        <v>5368</v>
      </c>
      <c r="K84" s="103">
        <v>1</v>
      </c>
      <c r="L84" s="42" t="s">
        <v>555</v>
      </c>
      <c r="M84" s="42" t="s">
        <v>556</v>
      </c>
      <c r="N84" s="9" t="s">
        <v>22</v>
      </c>
      <c r="O84" s="2" t="s">
        <v>5322</v>
      </c>
      <c r="P84" s="2" t="s">
        <v>4</v>
      </c>
      <c r="Q84" s="2"/>
      <c r="R84" s="2" t="s">
        <v>176</v>
      </c>
      <c r="S84" s="2" t="s">
        <v>7</v>
      </c>
      <c r="T84" s="2" t="s">
        <v>7</v>
      </c>
      <c r="U84" s="2" t="s">
        <v>48</v>
      </c>
    </row>
    <row r="85" spans="1:21" ht="38.25">
      <c r="A85" s="2" t="s">
        <v>16</v>
      </c>
      <c r="B85" s="2" t="s">
        <v>41</v>
      </c>
      <c r="C85" s="16" t="s">
        <v>5513</v>
      </c>
      <c r="D85" s="30" t="s">
        <v>5469</v>
      </c>
      <c r="E85" s="78" t="s">
        <v>5367</v>
      </c>
      <c r="F85" s="102" t="s">
        <v>5363</v>
      </c>
      <c r="G85" s="102" t="s">
        <v>5366</v>
      </c>
      <c r="H85" s="102" t="s">
        <v>5365</v>
      </c>
      <c r="I85" s="102" t="s">
        <v>5364</v>
      </c>
      <c r="J85" s="102" t="s">
        <v>5368</v>
      </c>
      <c r="K85" s="103">
        <v>3</v>
      </c>
      <c r="L85" s="2" t="s">
        <v>585</v>
      </c>
      <c r="M85" s="10" t="s">
        <v>586</v>
      </c>
      <c r="N85" s="9" t="s">
        <v>22</v>
      </c>
      <c r="O85" s="2" t="s">
        <v>5322</v>
      </c>
      <c r="P85" s="2" t="s">
        <v>4</v>
      </c>
      <c r="Q85" s="2"/>
      <c r="R85" s="2" t="s">
        <v>176</v>
      </c>
      <c r="S85" s="2" t="s">
        <v>7</v>
      </c>
      <c r="T85" s="2" t="s">
        <v>7</v>
      </c>
      <c r="U85" s="2" t="s">
        <v>48</v>
      </c>
    </row>
    <row r="86" spans="1:21" ht="51">
      <c r="A86" s="2" t="s">
        <v>16</v>
      </c>
      <c r="B86" s="2" t="s">
        <v>41</v>
      </c>
      <c r="C86" s="16" t="s">
        <v>5513</v>
      </c>
      <c r="D86" s="30" t="s">
        <v>5470</v>
      </c>
      <c r="E86" s="78" t="s">
        <v>5367</v>
      </c>
      <c r="F86" s="102" t="s">
        <v>5363</v>
      </c>
      <c r="G86" s="102" t="s">
        <v>5365</v>
      </c>
      <c r="H86" s="102" t="s">
        <v>5366</v>
      </c>
      <c r="I86" s="102" t="s">
        <v>5364</v>
      </c>
      <c r="J86" s="102" t="s">
        <v>5368</v>
      </c>
      <c r="K86" s="103">
        <v>4</v>
      </c>
      <c r="L86" s="2" t="s">
        <v>544</v>
      </c>
      <c r="M86" s="10" t="s">
        <v>545</v>
      </c>
      <c r="N86" s="9" t="s">
        <v>22</v>
      </c>
      <c r="O86" s="2" t="s">
        <v>5322</v>
      </c>
      <c r="P86" s="2" t="s">
        <v>4</v>
      </c>
      <c r="Q86" s="2"/>
      <c r="R86" s="2" t="s">
        <v>176</v>
      </c>
      <c r="S86" s="2" t="s">
        <v>7</v>
      </c>
      <c r="T86" s="2" t="s">
        <v>7</v>
      </c>
      <c r="U86" s="2" t="s">
        <v>48</v>
      </c>
    </row>
    <row r="87" spans="1:21" ht="63.75">
      <c r="A87" s="2" t="s">
        <v>16</v>
      </c>
      <c r="B87" s="2" t="s">
        <v>41</v>
      </c>
      <c r="C87" s="16" t="s">
        <v>5513</v>
      </c>
      <c r="D87" s="30" t="s">
        <v>5471</v>
      </c>
      <c r="E87" s="78" t="s">
        <v>5367</v>
      </c>
      <c r="F87" s="102" t="s">
        <v>5363</v>
      </c>
      <c r="G87" s="102" t="s">
        <v>5365</v>
      </c>
      <c r="H87" s="102" t="s">
        <v>5364</v>
      </c>
      <c r="I87" s="102" t="s">
        <v>5366</v>
      </c>
      <c r="J87" s="102" t="s">
        <v>5368</v>
      </c>
      <c r="K87" s="103">
        <v>5</v>
      </c>
      <c r="L87" s="2" t="s">
        <v>516</v>
      </c>
      <c r="M87" s="10" t="s">
        <v>517</v>
      </c>
      <c r="N87" s="9" t="s">
        <v>22</v>
      </c>
      <c r="O87" s="2" t="s">
        <v>5322</v>
      </c>
      <c r="P87" s="2" t="s">
        <v>4</v>
      </c>
      <c r="Q87" s="2"/>
      <c r="R87" s="2" t="s">
        <v>176</v>
      </c>
      <c r="S87" s="2" t="s">
        <v>7</v>
      </c>
      <c r="T87" s="2" t="s">
        <v>7</v>
      </c>
      <c r="U87" s="2" t="s">
        <v>48</v>
      </c>
    </row>
    <row r="88" spans="1:21" ht="38.25">
      <c r="A88" s="2" t="s">
        <v>16</v>
      </c>
      <c r="B88" s="2" t="s">
        <v>41</v>
      </c>
      <c r="C88" s="16" t="s">
        <v>5513</v>
      </c>
      <c r="D88" s="30" t="s">
        <v>5472</v>
      </c>
      <c r="E88" s="78" t="s">
        <v>5367</v>
      </c>
      <c r="F88" s="102" t="s">
        <v>5363</v>
      </c>
      <c r="G88" s="102" t="s">
        <v>5365</v>
      </c>
      <c r="H88" s="102" t="s">
        <v>5364</v>
      </c>
      <c r="I88" s="102" t="s">
        <v>5368</v>
      </c>
      <c r="J88" s="102" t="s">
        <v>5369</v>
      </c>
      <c r="K88" s="103">
        <v>6</v>
      </c>
      <c r="L88" s="2" t="s">
        <v>526</v>
      </c>
      <c r="M88" s="10" t="s">
        <v>527</v>
      </c>
      <c r="N88" s="9" t="s">
        <v>22</v>
      </c>
      <c r="O88" s="2" t="s">
        <v>5322</v>
      </c>
      <c r="P88" s="2" t="s">
        <v>4</v>
      </c>
      <c r="Q88" s="2"/>
      <c r="R88" s="2" t="s">
        <v>176</v>
      </c>
      <c r="S88" s="2" t="s">
        <v>7</v>
      </c>
      <c r="T88" s="2" t="s">
        <v>7</v>
      </c>
      <c r="U88" s="2" t="s">
        <v>48</v>
      </c>
    </row>
    <row r="89" spans="1:21" ht="38.25">
      <c r="A89" s="2" t="s">
        <v>16</v>
      </c>
      <c r="B89" s="2" t="s">
        <v>41</v>
      </c>
      <c r="C89" s="16" t="s">
        <v>5513</v>
      </c>
      <c r="D89" s="30" t="s">
        <v>5473</v>
      </c>
      <c r="E89" s="78" t="s">
        <v>5366</v>
      </c>
      <c r="F89" s="102" t="s">
        <v>5367</v>
      </c>
      <c r="G89" s="102" t="s">
        <v>5363</v>
      </c>
      <c r="H89" s="102" t="s">
        <v>5365</v>
      </c>
      <c r="I89" s="102" t="s">
        <v>5364</v>
      </c>
      <c r="J89" s="102" t="s">
        <v>5368</v>
      </c>
      <c r="K89" s="103">
        <v>1</v>
      </c>
      <c r="L89" s="2" t="s">
        <v>595</v>
      </c>
      <c r="M89" s="10" t="s">
        <v>596</v>
      </c>
      <c r="N89" s="9" t="s">
        <v>22</v>
      </c>
      <c r="O89" s="2" t="s">
        <v>5322</v>
      </c>
      <c r="P89" s="2" t="s">
        <v>4</v>
      </c>
      <c r="Q89" s="2"/>
      <c r="R89" s="2" t="s">
        <v>176</v>
      </c>
      <c r="S89" s="2" t="s">
        <v>7</v>
      </c>
      <c r="T89" s="2" t="s">
        <v>7</v>
      </c>
      <c r="U89" s="2" t="s">
        <v>48</v>
      </c>
    </row>
    <row r="90" spans="1:21" ht="38.25">
      <c r="A90" s="2" t="s">
        <v>16</v>
      </c>
      <c r="B90" s="2" t="s">
        <v>41</v>
      </c>
      <c r="C90" s="16" t="s">
        <v>5513</v>
      </c>
      <c r="D90" s="30" t="s">
        <v>5474</v>
      </c>
      <c r="E90" s="78" t="s">
        <v>5367</v>
      </c>
      <c r="F90" s="102" t="s">
        <v>5366</v>
      </c>
      <c r="G90" s="102" t="s">
        <v>5363</v>
      </c>
      <c r="H90" s="102" t="s">
        <v>5365</v>
      </c>
      <c r="I90" s="102" t="s">
        <v>5364</v>
      </c>
      <c r="J90" s="102" t="s">
        <v>5368</v>
      </c>
      <c r="K90" s="103">
        <v>2</v>
      </c>
      <c r="L90" s="2" t="s">
        <v>529</v>
      </c>
      <c r="M90" s="10" t="s">
        <v>530</v>
      </c>
      <c r="N90" s="9" t="s">
        <v>22</v>
      </c>
      <c r="O90" s="2" t="s">
        <v>5322</v>
      </c>
      <c r="P90" s="2" t="s">
        <v>4</v>
      </c>
      <c r="Q90" s="2"/>
      <c r="R90" s="2" t="s">
        <v>176</v>
      </c>
      <c r="S90" s="2" t="s">
        <v>7</v>
      </c>
      <c r="T90" s="2" t="s">
        <v>7</v>
      </c>
      <c r="U90" s="2" t="s">
        <v>48</v>
      </c>
    </row>
    <row r="91" spans="1:21" ht="38.25">
      <c r="A91" s="2" t="s">
        <v>16</v>
      </c>
      <c r="B91" s="2" t="s">
        <v>41</v>
      </c>
      <c r="C91" s="16" t="s">
        <v>5513</v>
      </c>
      <c r="D91" s="30" t="s">
        <v>5475</v>
      </c>
      <c r="E91" s="78" t="s">
        <v>5366</v>
      </c>
      <c r="F91" s="102" t="s">
        <v>5367</v>
      </c>
      <c r="G91" s="102" t="s">
        <v>5363</v>
      </c>
      <c r="H91" s="102" t="s">
        <v>5365</v>
      </c>
      <c r="I91" s="102" t="s">
        <v>5364</v>
      </c>
      <c r="J91" s="102" t="s">
        <v>5368</v>
      </c>
      <c r="K91" s="103">
        <v>1</v>
      </c>
      <c r="L91" s="2" t="s">
        <v>581</v>
      </c>
      <c r="M91" s="10" t="s">
        <v>582</v>
      </c>
      <c r="N91" s="9" t="s">
        <v>22</v>
      </c>
      <c r="O91" s="2" t="s">
        <v>5322</v>
      </c>
      <c r="P91" s="2" t="s">
        <v>4</v>
      </c>
      <c r="Q91" s="2"/>
      <c r="R91" s="2" t="s">
        <v>176</v>
      </c>
      <c r="S91" s="2" t="s">
        <v>7</v>
      </c>
      <c r="T91" s="2" t="s">
        <v>7</v>
      </c>
      <c r="U91" s="2" t="s">
        <v>48</v>
      </c>
    </row>
    <row r="92" spans="1:21" ht="38.25">
      <c r="A92" s="2" t="s">
        <v>16</v>
      </c>
      <c r="B92" s="2" t="s">
        <v>41</v>
      </c>
      <c r="C92" s="16" t="s">
        <v>5513</v>
      </c>
      <c r="D92" s="30" t="s">
        <v>748</v>
      </c>
      <c r="E92" s="78" t="s">
        <v>5367</v>
      </c>
      <c r="F92" s="102" t="s">
        <v>5363</v>
      </c>
      <c r="G92" s="102" t="s">
        <v>5365</v>
      </c>
      <c r="H92" s="102" t="s">
        <v>5364</v>
      </c>
      <c r="I92" s="102" t="s">
        <v>5368</v>
      </c>
      <c r="J92" s="102" t="s">
        <v>5366</v>
      </c>
      <c r="K92" s="103">
        <v>6</v>
      </c>
      <c r="L92" s="2" t="s">
        <v>593</v>
      </c>
      <c r="M92" s="10" t="s">
        <v>594</v>
      </c>
      <c r="N92" s="9" t="s">
        <v>22</v>
      </c>
      <c r="O92" s="2" t="s">
        <v>5322</v>
      </c>
      <c r="P92" s="2" t="s">
        <v>4</v>
      </c>
      <c r="Q92" s="2"/>
      <c r="R92" s="2" t="s">
        <v>176</v>
      </c>
      <c r="S92" s="2" t="s">
        <v>7</v>
      </c>
      <c r="T92" s="2" t="s">
        <v>7</v>
      </c>
      <c r="U92" s="2" t="s">
        <v>48</v>
      </c>
    </row>
    <row r="93" spans="1:21" ht="76.5">
      <c r="A93" s="2" t="s">
        <v>16</v>
      </c>
      <c r="B93" s="2" t="s">
        <v>26</v>
      </c>
      <c r="C93" s="16" t="s">
        <v>5512</v>
      </c>
      <c r="D93" s="10" t="s">
        <v>27</v>
      </c>
      <c r="E93" s="78" t="s">
        <v>5383</v>
      </c>
      <c r="F93" s="102" t="s">
        <v>5384</v>
      </c>
      <c r="G93" s="102" t="s">
        <v>5385</v>
      </c>
      <c r="H93" s="102" t="s">
        <v>5386</v>
      </c>
      <c r="I93" s="103"/>
      <c r="J93" s="103"/>
      <c r="K93" s="103">
        <v>1</v>
      </c>
      <c r="L93" s="2" t="s">
        <v>29</v>
      </c>
      <c r="M93" s="10" t="s">
        <v>30</v>
      </c>
      <c r="N93" s="9" t="s">
        <v>22</v>
      </c>
      <c r="O93" s="2" t="s">
        <v>5322</v>
      </c>
      <c r="P93" s="2" t="s">
        <v>4</v>
      </c>
      <c r="Q93" s="2" t="s">
        <v>24</v>
      </c>
      <c r="R93" s="2" t="s">
        <v>7</v>
      </c>
      <c r="S93" s="2" t="s">
        <v>7</v>
      </c>
      <c r="T93" s="2" t="s">
        <v>7</v>
      </c>
      <c r="U93" s="2" t="s">
        <v>26</v>
      </c>
    </row>
    <row r="94" spans="1:21" ht="76.5">
      <c r="A94" s="2" t="s">
        <v>16</v>
      </c>
      <c r="B94" s="2" t="s">
        <v>26</v>
      </c>
      <c r="C94" s="16" t="s">
        <v>5512</v>
      </c>
      <c r="D94" s="30" t="s">
        <v>50</v>
      </c>
      <c r="E94" s="78" t="s">
        <v>5387</v>
      </c>
      <c r="F94" s="102" t="s">
        <v>5384</v>
      </c>
      <c r="G94" s="102" t="s">
        <v>5385</v>
      </c>
      <c r="H94" s="102" t="s">
        <v>5386</v>
      </c>
      <c r="I94" s="103"/>
      <c r="J94" s="103"/>
      <c r="K94" s="103">
        <v>2</v>
      </c>
      <c r="L94" s="2" t="s">
        <v>52</v>
      </c>
      <c r="M94" s="10" t="s">
        <v>53</v>
      </c>
      <c r="N94" s="9" t="s">
        <v>22</v>
      </c>
      <c r="O94" s="2" t="s">
        <v>5322</v>
      </c>
      <c r="P94" s="2" t="s">
        <v>4</v>
      </c>
      <c r="Q94" s="2" t="s">
        <v>24</v>
      </c>
      <c r="R94" s="2" t="s">
        <v>7</v>
      </c>
      <c r="S94" s="2" t="s">
        <v>7</v>
      </c>
      <c r="T94" s="2" t="s">
        <v>7</v>
      </c>
      <c r="U94" s="2" t="s">
        <v>26</v>
      </c>
    </row>
    <row r="95" spans="1:21" ht="89.25">
      <c r="A95" s="2" t="s">
        <v>16</v>
      </c>
      <c r="B95" s="2" t="s">
        <v>26</v>
      </c>
      <c r="C95" s="16" t="s">
        <v>5512</v>
      </c>
      <c r="D95" s="10" t="s">
        <v>122</v>
      </c>
      <c r="E95" s="78" t="s">
        <v>5389</v>
      </c>
      <c r="F95" s="102" t="s">
        <v>5388</v>
      </c>
      <c r="G95" s="102" t="s">
        <v>5390</v>
      </c>
      <c r="H95" s="102" t="s">
        <v>5391</v>
      </c>
      <c r="I95" s="103"/>
      <c r="J95" s="103"/>
      <c r="K95" s="103">
        <v>4</v>
      </c>
      <c r="L95" s="2" t="s">
        <v>124</v>
      </c>
      <c r="M95" s="10" t="s">
        <v>125</v>
      </c>
      <c r="N95" s="9" t="s">
        <v>22</v>
      </c>
      <c r="O95" s="2" t="s">
        <v>5322</v>
      </c>
      <c r="P95" s="2" t="s">
        <v>4</v>
      </c>
      <c r="Q95" s="2" t="s">
        <v>24</v>
      </c>
      <c r="R95" s="2" t="s">
        <v>7</v>
      </c>
      <c r="S95" s="2" t="s">
        <v>7</v>
      </c>
      <c r="T95" s="2" t="s">
        <v>7</v>
      </c>
      <c r="U95" s="2" t="s">
        <v>82</v>
      </c>
    </row>
    <row r="96" spans="1:21" ht="38.25">
      <c r="A96" s="3" t="s">
        <v>180</v>
      </c>
      <c r="B96" s="2" t="s">
        <v>181</v>
      </c>
      <c r="C96" s="2"/>
      <c r="D96" s="30" t="s">
        <v>389</v>
      </c>
      <c r="E96" s="16" t="s">
        <v>5479</v>
      </c>
      <c r="F96" s="16" t="s">
        <v>5352</v>
      </c>
      <c r="G96" s="16" t="s">
        <v>35</v>
      </c>
      <c r="H96" s="16" t="s">
        <v>5392</v>
      </c>
      <c r="I96" s="2"/>
      <c r="J96" s="2"/>
      <c r="K96" s="2">
        <v>1</v>
      </c>
      <c r="L96" s="2" t="s">
        <v>393</v>
      </c>
      <c r="M96" s="10" t="s">
        <v>394</v>
      </c>
      <c r="N96" s="9" t="s">
        <v>22</v>
      </c>
      <c r="O96" s="2" t="s">
        <v>5322</v>
      </c>
      <c r="P96" s="2" t="s">
        <v>260</v>
      </c>
      <c r="Q96" s="2"/>
      <c r="R96" s="2" t="s">
        <v>7</v>
      </c>
      <c r="S96" s="2" t="s">
        <v>7</v>
      </c>
      <c r="T96" s="2" t="s">
        <v>7</v>
      </c>
      <c r="U96" s="2"/>
    </row>
    <row r="97" spans="1:21" ht="25.5">
      <c r="A97" s="39" t="s">
        <v>180</v>
      </c>
      <c r="B97" s="2" t="s">
        <v>181</v>
      </c>
      <c r="C97" s="2"/>
      <c r="D97" s="10" t="s">
        <v>429</v>
      </c>
      <c r="E97" s="3" t="s">
        <v>77</v>
      </c>
      <c r="F97" s="72" t="s">
        <v>78</v>
      </c>
      <c r="G97" s="72"/>
      <c r="H97" s="72"/>
      <c r="I97" s="72"/>
      <c r="J97" s="72"/>
      <c r="K97" s="72">
        <v>1</v>
      </c>
      <c r="L97" s="16" t="s">
        <v>5573</v>
      </c>
      <c r="M97" s="76" t="s">
        <v>5574</v>
      </c>
      <c r="N97" s="9" t="s">
        <v>22</v>
      </c>
      <c r="O97" s="2" t="s">
        <v>81</v>
      </c>
      <c r="P97" s="2" t="s">
        <v>260</v>
      </c>
      <c r="Q97" s="2"/>
      <c r="R97" s="2" t="s">
        <v>7</v>
      </c>
      <c r="S97" s="2" t="s">
        <v>7</v>
      </c>
      <c r="T97" s="2" t="s">
        <v>7</v>
      </c>
      <c r="U97" s="2"/>
    </row>
    <row r="98" spans="1:21" ht="51">
      <c r="A98" s="2" t="s">
        <v>193</v>
      </c>
      <c r="B98" s="2" t="s">
        <v>198</v>
      </c>
      <c r="C98" s="2"/>
      <c r="D98" s="10" t="s">
        <v>458</v>
      </c>
      <c r="E98" s="78" t="s">
        <v>5433</v>
      </c>
      <c r="F98" s="102" t="s">
        <v>5449</v>
      </c>
      <c r="G98" s="102" t="s">
        <v>5435</v>
      </c>
      <c r="H98" s="102" t="s">
        <v>5448</v>
      </c>
      <c r="I98" s="103"/>
      <c r="J98" s="103"/>
      <c r="K98" s="103">
        <v>4</v>
      </c>
      <c r="L98" s="2" t="s">
        <v>686</v>
      </c>
      <c r="M98" s="10" t="s">
        <v>687</v>
      </c>
      <c r="N98" s="9" t="s">
        <v>22</v>
      </c>
      <c r="O98" s="2" t="s">
        <v>5322</v>
      </c>
      <c r="P98" s="2" t="s">
        <v>4</v>
      </c>
      <c r="Q98" s="2"/>
      <c r="R98" s="2" t="s">
        <v>176</v>
      </c>
      <c r="S98" s="2" t="s">
        <v>7</v>
      </c>
      <c r="T98" s="2" t="s">
        <v>7</v>
      </c>
      <c r="U98" s="2"/>
    </row>
    <row r="99" spans="1:21" ht="38.25">
      <c r="A99" s="2" t="s">
        <v>193</v>
      </c>
      <c r="B99" s="2" t="s">
        <v>198</v>
      </c>
      <c r="C99" s="2"/>
      <c r="D99" s="30" t="s">
        <v>704</v>
      </c>
      <c r="E99" s="78" t="s">
        <v>5433</v>
      </c>
      <c r="F99" s="102" t="s">
        <v>5434</v>
      </c>
      <c r="G99" s="102" t="s">
        <v>5450</v>
      </c>
      <c r="H99" s="102" t="s">
        <v>5451</v>
      </c>
      <c r="I99" s="103"/>
      <c r="J99" s="103"/>
      <c r="K99" s="103">
        <v>3</v>
      </c>
      <c r="L99" s="2" t="s">
        <v>705</v>
      </c>
      <c r="M99" s="10" t="s">
        <v>706</v>
      </c>
      <c r="N99" s="9" t="s">
        <v>22</v>
      </c>
      <c r="O99" s="2" t="s">
        <v>5322</v>
      </c>
      <c r="P99" s="2" t="s">
        <v>4</v>
      </c>
      <c r="Q99" s="2"/>
      <c r="R99" s="2" t="s">
        <v>176</v>
      </c>
      <c r="S99" s="2" t="s">
        <v>176</v>
      </c>
      <c r="T99" s="2" t="s">
        <v>7</v>
      </c>
      <c r="U99" s="2"/>
    </row>
    <row r="100" spans="1:21" ht="38.25">
      <c r="A100" s="2" t="s">
        <v>193</v>
      </c>
      <c r="B100" s="2" t="s">
        <v>198</v>
      </c>
      <c r="C100" s="2"/>
      <c r="D100" s="34" t="s">
        <v>483</v>
      </c>
      <c r="E100" s="44" t="s">
        <v>77</v>
      </c>
      <c r="F100" s="9" t="s">
        <v>78</v>
      </c>
      <c r="G100" s="104"/>
      <c r="H100" s="104"/>
      <c r="I100" s="104"/>
      <c r="J100" s="104"/>
      <c r="K100" s="104">
        <v>2</v>
      </c>
      <c r="L100" s="16" t="s">
        <v>5575</v>
      </c>
      <c r="M100" s="76" t="s">
        <v>5576</v>
      </c>
      <c r="N100" s="9" t="s">
        <v>22</v>
      </c>
      <c r="O100" s="2" t="s">
        <v>81</v>
      </c>
      <c r="P100" s="2" t="s">
        <v>4</v>
      </c>
      <c r="Q100" s="2"/>
      <c r="R100" s="2" t="s">
        <v>7</v>
      </c>
      <c r="S100" s="2" t="s">
        <v>7</v>
      </c>
      <c r="T100" s="2" t="s">
        <v>7</v>
      </c>
      <c r="U100" s="2"/>
    </row>
    <row r="101" spans="1:21" ht="38.25">
      <c r="A101" s="2" t="s">
        <v>193</v>
      </c>
      <c r="B101" s="2" t="s">
        <v>198</v>
      </c>
      <c r="C101" s="2"/>
      <c r="D101" s="10" t="s">
        <v>702</v>
      </c>
      <c r="E101" s="5" t="s">
        <v>77</v>
      </c>
      <c r="F101" s="5" t="s">
        <v>78</v>
      </c>
      <c r="G101" s="103"/>
      <c r="H101" s="103"/>
      <c r="I101" s="103"/>
      <c r="J101" s="103"/>
      <c r="K101" s="103">
        <v>1</v>
      </c>
      <c r="L101" s="16" t="s">
        <v>5577</v>
      </c>
      <c r="M101" s="10" t="s">
        <v>703</v>
      </c>
      <c r="N101" s="9" t="s">
        <v>22</v>
      </c>
      <c r="O101" s="2" t="s">
        <v>81</v>
      </c>
      <c r="P101" s="2" t="s">
        <v>4</v>
      </c>
      <c r="Q101" s="2"/>
      <c r="R101" s="2" t="s">
        <v>176</v>
      </c>
      <c r="S101" s="2" t="s">
        <v>176</v>
      </c>
      <c r="T101" s="2" t="s">
        <v>7</v>
      </c>
      <c r="U101" s="2"/>
    </row>
    <row r="102" spans="1:21" ht="38.25">
      <c r="A102" s="2" t="s">
        <v>193</v>
      </c>
      <c r="B102" s="2" t="s">
        <v>198</v>
      </c>
      <c r="C102" s="2"/>
      <c r="D102" s="10" t="s">
        <v>478</v>
      </c>
      <c r="E102" s="5" t="s">
        <v>77</v>
      </c>
      <c r="F102" s="5" t="s">
        <v>78</v>
      </c>
      <c r="G102" s="103"/>
      <c r="H102" s="103"/>
      <c r="I102" s="103"/>
      <c r="J102" s="103"/>
      <c r="K102" s="103">
        <v>1</v>
      </c>
      <c r="L102" s="16" t="s">
        <v>5578</v>
      </c>
      <c r="M102" s="76" t="s">
        <v>5579</v>
      </c>
      <c r="N102" s="9" t="s">
        <v>22</v>
      </c>
      <c r="O102" s="2" t="s">
        <v>81</v>
      </c>
      <c r="P102" s="2" t="s">
        <v>4</v>
      </c>
      <c r="Q102" s="2" t="s">
        <v>24</v>
      </c>
      <c r="R102" s="2" t="s">
        <v>7</v>
      </c>
      <c r="S102" s="2" t="s">
        <v>7</v>
      </c>
      <c r="T102" s="2" t="s">
        <v>7</v>
      </c>
      <c r="U102" s="2"/>
    </row>
    <row r="103" spans="1:21" ht="38.25">
      <c r="A103" s="2" t="s">
        <v>193</v>
      </c>
      <c r="B103" s="2" t="s">
        <v>198</v>
      </c>
      <c r="C103" s="2"/>
      <c r="D103" s="10" t="s">
        <v>681</v>
      </c>
      <c r="E103" s="5" t="s">
        <v>77</v>
      </c>
      <c r="F103" s="5" t="s">
        <v>78</v>
      </c>
      <c r="G103" s="103"/>
      <c r="H103" s="103"/>
      <c r="I103" s="103"/>
      <c r="J103" s="103"/>
      <c r="K103" s="103">
        <v>2</v>
      </c>
      <c r="L103" s="16" t="s">
        <v>5580</v>
      </c>
      <c r="M103" s="76" t="s">
        <v>5581</v>
      </c>
      <c r="N103" s="9" t="s">
        <v>22</v>
      </c>
      <c r="O103" s="2" t="s">
        <v>81</v>
      </c>
      <c r="P103" s="2" t="s">
        <v>4</v>
      </c>
      <c r="Q103" s="2"/>
      <c r="R103" s="2" t="s">
        <v>176</v>
      </c>
      <c r="S103" s="2" t="s">
        <v>176</v>
      </c>
      <c r="T103" s="2" t="s">
        <v>7</v>
      </c>
      <c r="U103" s="2"/>
    </row>
    <row r="104" spans="1:21" ht="38.25">
      <c r="A104" s="2" t="s">
        <v>193</v>
      </c>
      <c r="B104" s="2" t="s">
        <v>198</v>
      </c>
      <c r="C104" s="2"/>
      <c r="D104" s="28" t="s">
        <v>700</v>
      </c>
      <c r="E104" s="5" t="s">
        <v>77</v>
      </c>
      <c r="F104" s="5" t="s">
        <v>78</v>
      </c>
      <c r="G104" s="103"/>
      <c r="H104" s="103"/>
      <c r="I104" s="103"/>
      <c r="J104" s="103"/>
      <c r="K104" s="103">
        <v>1</v>
      </c>
      <c r="L104" s="16" t="s">
        <v>5582</v>
      </c>
      <c r="M104" s="76" t="s">
        <v>5583</v>
      </c>
      <c r="N104" s="9" t="s">
        <v>22</v>
      </c>
      <c r="O104" s="2" t="s">
        <v>81</v>
      </c>
      <c r="P104" s="2" t="s">
        <v>4</v>
      </c>
      <c r="Q104" s="2"/>
      <c r="R104" s="2" t="s">
        <v>176</v>
      </c>
      <c r="S104" s="2" t="s">
        <v>176</v>
      </c>
      <c r="T104" s="2" t="s">
        <v>7</v>
      </c>
      <c r="U104" s="2"/>
    </row>
    <row r="105" spans="1:21" ht="38.25">
      <c r="A105" s="2" t="s">
        <v>193</v>
      </c>
      <c r="B105" s="10" t="s">
        <v>198</v>
      </c>
      <c r="C105" s="72"/>
      <c r="D105" s="9" t="s">
        <v>692</v>
      </c>
      <c r="E105" s="44" t="s">
        <v>77</v>
      </c>
      <c r="F105" s="9" t="s">
        <v>78</v>
      </c>
      <c r="G105" s="104"/>
      <c r="H105" s="104"/>
      <c r="I105" s="104"/>
      <c r="J105" s="104"/>
      <c r="K105" s="104">
        <v>2</v>
      </c>
      <c r="L105" s="16" t="s">
        <v>5584</v>
      </c>
      <c r="M105" s="76" t="s">
        <v>5585</v>
      </c>
      <c r="N105" s="9" t="s">
        <v>22</v>
      </c>
      <c r="O105" s="2" t="s">
        <v>81</v>
      </c>
      <c r="P105" s="2" t="s">
        <v>4</v>
      </c>
      <c r="Q105" s="2"/>
      <c r="R105" s="2" t="s">
        <v>176</v>
      </c>
      <c r="S105" s="2" t="s">
        <v>176</v>
      </c>
      <c r="T105" s="2" t="s">
        <v>7</v>
      </c>
      <c r="U105" s="2"/>
    </row>
    <row r="106" spans="1:21" ht="38.25">
      <c r="A106" s="2" t="s">
        <v>193</v>
      </c>
      <c r="B106" s="2" t="s">
        <v>198</v>
      </c>
      <c r="C106" s="2"/>
      <c r="D106" s="10" t="s">
        <v>472</v>
      </c>
      <c r="E106" s="78" t="s">
        <v>5433</v>
      </c>
      <c r="F106" s="102" t="s">
        <v>5434</v>
      </c>
      <c r="G106" s="102" t="s">
        <v>5435</v>
      </c>
      <c r="H106" s="102" t="s">
        <v>5451</v>
      </c>
      <c r="I106" s="103"/>
      <c r="J106" s="103"/>
      <c r="K106" s="103">
        <v>3</v>
      </c>
      <c r="L106" s="2" t="s">
        <v>683</v>
      </c>
      <c r="M106" s="10" t="s">
        <v>684</v>
      </c>
      <c r="N106" s="9" t="s">
        <v>22</v>
      </c>
      <c r="O106" s="2" t="s">
        <v>5322</v>
      </c>
      <c r="P106" s="2" t="s">
        <v>4</v>
      </c>
      <c r="Q106" s="2"/>
      <c r="R106" s="2" t="s">
        <v>176</v>
      </c>
      <c r="S106" s="2" t="s">
        <v>7</v>
      </c>
      <c r="T106" s="2" t="s">
        <v>7</v>
      </c>
      <c r="U106" s="2"/>
    </row>
    <row r="107" spans="1:21" ht="38.25">
      <c r="A107" s="2" t="s">
        <v>193</v>
      </c>
      <c r="B107" s="2" t="s">
        <v>198</v>
      </c>
      <c r="C107" s="2"/>
      <c r="D107" s="10" t="s">
        <v>694</v>
      </c>
      <c r="E107" s="5" t="s">
        <v>77</v>
      </c>
      <c r="F107" s="5" t="s">
        <v>78</v>
      </c>
      <c r="G107" s="103"/>
      <c r="H107" s="103"/>
      <c r="I107" s="103"/>
      <c r="J107" s="103"/>
      <c r="K107" s="103">
        <v>1</v>
      </c>
      <c r="L107" s="16" t="s">
        <v>5586</v>
      </c>
      <c r="M107" s="76" t="s">
        <v>5587</v>
      </c>
      <c r="N107" s="9" t="s">
        <v>22</v>
      </c>
      <c r="O107" s="2" t="s">
        <v>81</v>
      </c>
      <c r="P107" s="2" t="s">
        <v>4</v>
      </c>
      <c r="Q107" s="2"/>
      <c r="R107" s="2" t="s">
        <v>176</v>
      </c>
      <c r="S107" s="2" t="s">
        <v>176</v>
      </c>
      <c r="T107" s="2" t="s">
        <v>7</v>
      </c>
      <c r="U107" s="2"/>
    </row>
    <row r="108" spans="1:21" ht="38.25">
      <c r="A108" s="2" t="s">
        <v>193</v>
      </c>
      <c r="B108" s="2" t="s">
        <v>198</v>
      </c>
      <c r="C108" s="2"/>
      <c r="D108" s="10" t="s">
        <v>697</v>
      </c>
      <c r="E108" s="5" t="s">
        <v>77</v>
      </c>
      <c r="F108" s="5" t="s">
        <v>78</v>
      </c>
      <c r="G108" s="103"/>
      <c r="H108" s="103"/>
      <c r="I108" s="103"/>
      <c r="J108" s="103"/>
      <c r="K108" s="103">
        <v>1</v>
      </c>
      <c r="L108" s="16" t="s">
        <v>5588</v>
      </c>
      <c r="M108" s="76" t="s">
        <v>5589</v>
      </c>
      <c r="N108" s="9" t="s">
        <v>22</v>
      </c>
      <c r="O108" s="2" t="s">
        <v>81</v>
      </c>
      <c r="P108" s="2" t="s">
        <v>4</v>
      </c>
      <c r="Q108" s="2"/>
      <c r="R108" s="2" t="s">
        <v>176</v>
      </c>
      <c r="S108" s="2" t="s">
        <v>176</v>
      </c>
      <c r="T108" s="2" t="s">
        <v>7</v>
      </c>
      <c r="U108" s="2"/>
    </row>
    <row r="109" spans="1:21" ht="38.25">
      <c r="A109" s="2" t="s">
        <v>193</v>
      </c>
      <c r="B109" s="2" t="s">
        <v>198</v>
      </c>
      <c r="C109" s="2"/>
      <c r="D109" s="10" t="s">
        <v>470</v>
      </c>
      <c r="E109" s="5" t="s">
        <v>77</v>
      </c>
      <c r="F109" s="5" t="s">
        <v>78</v>
      </c>
      <c r="G109" s="103"/>
      <c r="H109" s="103"/>
      <c r="I109" s="103"/>
      <c r="J109" s="103"/>
      <c r="K109" s="103">
        <v>2</v>
      </c>
      <c r="L109" s="16" t="s">
        <v>5590</v>
      </c>
      <c r="M109" s="76" t="s">
        <v>5591</v>
      </c>
      <c r="N109" s="9" t="s">
        <v>22</v>
      </c>
      <c r="O109" s="2" t="s">
        <v>81</v>
      </c>
      <c r="P109" s="2" t="s">
        <v>4</v>
      </c>
      <c r="Q109" s="2" t="s">
        <v>24</v>
      </c>
      <c r="R109" s="2" t="s">
        <v>7</v>
      </c>
      <c r="S109" s="2" t="s">
        <v>7</v>
      </c>
      <c r="T109" s="2" t="s">
        <v>7</v>
      </c>
      <c r="U109" s="2"/>
    </row>
    <row r="110" spans="1:21" ht="51">
      <c r="A110" s="2" t="s">
        <v>193</v>
      </c>
      <c r="B110" s="2" t="s">
        <v>198</v>
      </c>
      <c r="C110" s="2"/>
      <c r="D110" s="10" t="s">
        <v>699</v>
      </c>
      <c r="E110" s="5" t="s">
        <v>77</v>
      </c>
      <c r="F110" s="5" t="s">
        <v>78</v>
      </c>
      <c r="G110" s="103"/>
      <c r="H110" s="103"/>
      <c r="I110" s="103"/>
      <c r="J110" s="103"/>
      <c r="K110" s="103">
        <v>2</v>
      </c>
      <c r="L110" s="16" t="s">
        <v>5592</v>
      </c>
      <c r="M110" s="76" t="s">
        <v>5593</v>
      </c>
      <c r="N110" s="9" t="s">
        <v>22</v>
      </c>
      <c r="O110" s="2" t="s">
        <v>81</v>
      </c>
      <c r="P110" s="2" t="s">
        <v>4</v>
      </c>
      <c r="Q110" s="2"/>
      <c r="R110" s="2" t="s">
        <v>176</v>
      </c>
      <c r="S110" s="2" t="s">
        <v>176</v>
      </c>
      <c r="T110" s="2" t="s">
        <v>7</v>
      </c>
      <c r="U110" s="2"/>
    </row>
    <row r="111" spans="1:21" ht="76.5">
      <c r="A111" s="2" t="s">
        <v>193</v>
      </c>
      <c r="B111" s="2" t="s">
        <v>198</v>
      </c>
      <c r="C111" s="2"/>
      <c r="D111" s="34" t="s">
        <v>465</v>
      </c>
      <c r="E111" s="44" t="s">
        <v>77</v>
      </c>
      <c r="F111" s="9" t="s">
        <v>78</v>
      </c>
      <c r="G111" s="104"/>
      <c r="H111" s="104"/>
      <c r="I111" s="104"/>
      <c r="J111" s="104"/>
      <c r="K111" s="104">
        <v>2</v>
      </c>
      <c r="L111" s="16" t="s">
        <v>5594</v>
      </c>
      <c r="M111" s="76" t="s">
        <v>5595</v>
      </c>
      <c r="N111" s="9" t="s">
        <v>22</v>
      </c>
      <c r="O111" s="2" t="s">
        <v>81</v>
      </c>
      <c r="P111" s="2" t="s">
        <v>4</v>
      </c>
      <c r="Q111" s="2" t="s">
        <v>24</v>
      </c>
      <c r="R111" s="2" t="s">
        <v>7</v>
      </c>
      <c r="S111" s="2" t="s">
        <v>7</v>
      </c>
      <c r="T111" s="2" t="s">
        <v>7</v>
      </c>
      <c r="U111" s="2"/>
    </row>
    <row r="112" spans="1:21" ht="51">
      <c r="A112" s="2" t="s">
        <v>193</v>
      </c>
      <c r="B112" s="2" t="s">
        <v>198</v>
      </c>
      <c r="C112" s="2"/>
      <c r="D112" s="34" t="s">
        <v>696</v>
      </c>
      <c r="E112" s="44" t="s">
        <v>77</v>
      </c>
      <c r="F112" s="9" t="s">
        <v>78</v>
      </c>
      <c r="G112" s="104"/>
      <c r="H112" s="104"/>
      <c r="I112" s="104"/>
      <c r="J112" s="104"/>
      <c r="K112" s="104">
        <v>2</v>
      </c>
      <c r="L112" s="16" t="s">
        <v>5596</v>
      </c>
      <c r="M112" s="76" t="s">
        <v>5597</v>
      </c>
      <c r="N112" s="9" t="s">
        <v>22</v>
      </c>
      <c r="O112" s="2" t="s">
        <v>81</v>
      </c>
      <c r="P112" s="2" t="s">
        <v>4</v>
      </c>
      <c r="Q112" s="2"/>
      <c r="R112" s="2" t="s">
        <v>176</v>
      </c>
      <c r="S112" s="2" t="s">
        <v>176</v>
      </c>
      <c r="T112" s="2" t="s">
        <v>7</v>
      </c>
      <c r="U112" s="2"/>
    </row>
    <row r="113" spans="1:21" ht="51">
      <c r="A113" s="2" t="s">
        <v>193</v>
      </c>
      <c r="B113" s="2" t="s">
        <v>198</v>
      </c>
      <c r="C113" s="2"/>
      <c r="D113" s="34" t="s">
        <v>475</v>
      </c>
      <c r="E113" s="44" t="s">
        <v>77</v>
      </c>
      <c r="F113" s="9" t="s">
        <v>78</v>
      </c>
      <c r="G113" s="104"/>
      <c r="H113" s="104"/>
      <c r="I113" s="104"/>
      <c r="J113" s="104"/>
      <c r="K113" s="104">
        <v>2</v>
      </c>
      <c r="L113" s="16" t="s">
        <v>5596</v>
      </c>
      <c r="M113" s="76" t="s">
        <v>5597</v>
      </c>
      <c r="N113" s="9" t="s">
        <v>22</v>
      </c>
      <c r="O113" s="2" t="s">
        <v>81</v>
      </c>
      <c r="P113" s="2" t="s">
        <v>4</v>
      </c>
      <c r="Q113" s="2" t="s">
        <v>24</v>
      </c>
      <c r="R113" s="2" t="s">
        <v>7</v>
      </c>
      <c r="S113" s="2" t="s">
        <v>7</v>
      </c>
      <c r="T113" s="2" t="s">
        <v>7</v>
      </c>
      <c r="U113" s="2"/>
    </row>
    <row r="114" spans="1:21" ht="63.75">
      <c r="A114" s="2" t="s">
        <v>193</v>
      </c>
      <c r="B114" s="2" t="s">
        <v>198</v>
      </c>
      <c r="C114" s="2"/>
      <c r="D114" s="34" t="s">
        <v>476</v>
      </c>
      <c r="E114" s="5" t="s">
        <v>77</v>
      </c>
      <c r="F114" s="5" t="s">
        <v>78</v>
      </c>
      <c r="G114" s="103"/>
      <c r="H114" s="103"/>
      <c r="I114" s="103"/>
      <c r="J114" s="103"/>
      <c r="K114" s="103">
        <v>1</v>
      </c>
      <c r="L114" s="16" t="s">
        <v>5598</v>
      </c>
      <c r="M114" s="76" t="s">
        <v>5599</v>
      </c>
      <c r="N114" s="9" t="s">
        <v>22</v>
      </c>
      <c r="O114" s="2" t="s">
        <v>81</v>
      </c>
      <c r="P114" s="2" t="s">
        <v>4</v>
      </c>
      <c r="Q114" s="2" t="s">
        <v>24</v>
      </c>
      <c r="R114" s="2" t="s">
        <v>7</v>
      </c>
      <c r="S114" s="2" t="s">
        <v>7</v>
      </c>
      <c r="T114" s="2" t="s">
        <v>7</v>
      </c>
      <c r="U114" s="2"/>
    </row>
    <row r="115" spans="1:21" customFormat="1" ht="38.25">
      <c r="A115" s="2" t="s">
        <v>180</v>
      </c>
      <c r="B115" s="2" t="s">
        <v>181</v>
      </c>
      <c r="C115" s="2"/>
      <c r="D115" s="10" t="s">
        <v>671</v>
      </c>
      <c r="E115" s="78" t="s">
        <v>3</v>
      </c>
      <c r="F115" s="102" t="s">
        <v>5414</v>
      </c>
      <c r="G115" s="102" t="s">
        <v>8</v>
      </c>
      <c r="H115" s="102" t="s">
        <v>5415</v>
      </c>
      <c r="I115" s="103"/>
      <c r="J115" s="103"/>
      <c r="K115" s="103">
        <v>2</v>
      </c>
      <c r="L115" s="20" t="s">
        <v>672</v>
      </c>
      <c r="M115" s="26" t="s">
        <v>673</v>
      </c>
      <c r="N115" s="9" t="s">
        <v>22</v>
      </c>
      <c r="O115" s="20" t="s">
        <v>5322</v>
      </c>
      <c r="P115" s="20" t="s">
        <v>4</v>
      </c>
      <c r="Q115" s="20"/>
      <c r="R115" s="20" t="s">
        <v>176</v>
      </c>
      <c r="S115" s="20" t="s">
        <v>7</v>
      </c>
      <c r="T115" s="20" t="s">
        <v>176</v>
      </c>
      <c r="U115" s="20"/>
    </row>
    <row r="116" spans="1:21" ht="38.25">
      <c r="A116" s="2" t="s">
        <v>180</v>
      </c>
      <c r="B116" s="2" t="s">
        <v>181</v>
      </c>
      <c r="C116" s="2"/>
      <c r="D116" s="10" t="s">
        <v>489</v>
      </c>
      <c r="E116" s="78" t="s">
        <v>3</v>
      </c>
      <c r="F116" s="102" t="s">
        <v>5414</v>
      </c>
      <c r="G116" s="102" t="s">
        <v>8</v>
      </c>
      <c r="H116" s="102" t="s">
        <v>5392</v>
      </c>
      <c r="I116" s="103"/>
      <c r="J116" s="103"/>
      <c r="K116" s="103">
        <v>2</v>
      </c>
      <c r="L116" s="2" t="s">
        <v>669</v>
      </c>
      <c r="M116" s="10" t="s">
        <v>670</v>
      </c>
      <c r="N116" s="9" t="s">
        <v>22</v>
      </c>
      <c r="O116" s="2" t="s">
        <v>5322</v>
      </c>
      <c r="P116" s="2" t="s">
        <v>4</v>
      </c>
      <c r="Q116" s="2"/>
      <c r="R116" s="2" t="s">
        <v>176</v>
      </c>
      <c r="S116" s="2" t="s">
        <v>7</v>
      </c>
      <c r="T116" s="2" t="s">
        <v>7</v>
      </c>
      <c r="U116" s="2"/>
    </row>
    <row r="117" spans="1:21" ht="38.25">
      <c r="A117" s="2" t="s">
        <v>180</v>
      </c>
      <c r="B117" s="2" t="s">
        <v>181</v>
      </c>
      <c r="C117" s="2"/>
      <c r="D117" s="10" t="s">
        <v>310</v>
      </c>
      <c r="E117" s="78" t="s">
        <v>3</v>
      </c>
      <c r="F117" s="102" t="s">
        <v>5414</v>
      </c>
      <c r="G117" s="102" t="s">
        <v>8</v>
      </c>
      <c r="H117" s="102" t="s">
        <v>5415</v>
      </c>
      <c r="I117" s="103"/>
      <c r="J117" s="103"/>
      <c r="K117" s="103">
        <v>1</v>
      </c>
      <c r="L117" s="2" t="s">
        <v>311</v>
      </c>
      <c r="M117" s="10" t="s">
        <v>312</v>
      </c>
      <c r="N117" s="9" t="s">
        <v>22</v>
      </c>
      <c r="O117" s="2" t="s">
        <v>5322</v>
      </c>
      <c r="P117" s="2" t="s">
        <v>4</v>
      </c>
      <c r="Q117" s="2"/>
      <c r="R117" s="2" t="s">
        <v>7</v>
      </c>
      <c r="S117" s="2" t="s">
        <v>7</v>
      </c>
      <c r="T117" s="2" t="s">
        <v>7</v>
      </c>
      <c r="U117" s="2"/>
    </row>
    <row r="118" spans="1:21" ht="63.75">
      <c r="A118" s="2" t="s">
        <v>180</v>
      </c>
      <c r="B118" s="2" t="s">
        <v>181</v>
      </c>
      <c r="C118" s="2"/>
      <c r="D118" s="34" t="s">
        <v>189</v>
      </c>
      <c r="E118" s="44" t="s">
        <v>77</v>
      </c>
      <c r="F118" s="9" t="s">
        <v>78</v>
      </c>
      <c r="G118" s="104"/>
      <c r="H118" s="104"/>
      <c r="I118" s="104"/>
      <c r="J118" s="104"/>
      <c r="K118" s="104">
        <v>2</v>
      </c>
      <c r="L118" s="16" t="s">
        <v>5600</v>
      </c>
      <c r="M118" s="76" t="s">
        <v>5601</v>
      </c>
      <c r="N118" s="9" t="s">
        <v>22</v>
      </c>
      <c r="O118" s="2" t="s">
        <v>81</v>
      </c>
      <c r="P118" s="2" t="s">
        <v>4</v>
      </c>
      <c r="Q118" s="2" t="s">
        <v>24</v>
      </c>
      <c r="R118" s="2" t="s">
        <v>7</v>
      </c>
      <c r="S118" s="2" t="s">
        <v>7</v>
      </c>
      <c r="T118" s="2" t="s">
        <v>7</v>
      </c>
      <c r="U118" s="2"/>
    </row>
    <row r="119" spans="1:21" ht="25.5">
      <c r="A119" s="2" t="s">
        <v>180</v>
      </c>
      <c r="B119" s="2" t="s">
        <v>181</v>
      </c>
      <c r="C119" s="2"/>
      <c r="D119" s="10" t="s">
        <v>362</v>
      </c>
      <c r="E119" s="78" t="s">
        <v>3</v>
      </c>
      <c r="F119" s="102" t="s">
        <v>5414</v>
      </c>
      <c r="G119" s="102" t="s">
        <v>5417</v>
      </c>
      <c r="H119" s="102" t="s">
        <v>5418</v>
      </c>
      <c r="I119" s="103"/>
      <c r="J119" s="103"/>
      <c r="K119" s="103">
        <v>3</v>
      </c>
      <c r="L119" s="2" t="s">
        <v>363</v>
      </c>
      <c r="M119" s="10" t="s">
        <v>364</v>
      </c>
      <c r="N119" s="9" t="s">
        <v>22</v>
      </c>
      <c r="O119" s="2" t="s">
        <v>5322</v>
      </c>
      <c r="P119" s="2" t="s">
        <v>4</v>
      </c>
      <c r="Q119" s="2"/>
      <c r="R119" s="3" t="s">
        <v>7</v>
      </c>
      <c r="S119" s="3" t="s">
        <v>7</v>
      </c>
      <c r="T119" s="3" t="s">
        <v>7</v>
      </c>
      <c r="U119" s="2"/>
    </row>
    <row r="120" spans="1:21" ht="51">
      <c r="A120" s="2" t="s">
        <v>180</v>
      </c>
      <c r="B120" s="2" t="s">
        <v>181</v>
      </c>
      <c r="C120" s="2"/>
      <c r="D120" s="10" t="s">
        <v>738</v>
      </c>
      <c r="E120" s="78" t="s">
        <v>3</v>
      </c>
      <c r="F120" s="102" t="s">
        <v>5414</v>
      </c>
      <c r="G120" s="102" t="s">
        <v>8</v>
      </c>
      <c r="H120" s="102" t="s">
        <v>5392</v>
      </c>
      <c r="I120" s="103"/>
      <c r="J120" s="103"/>
      <c r="K120" s="103">
        <v>3</v>
      </c>
      <c r="L120" s="2" t="s">
        <v>305</v>
      </c>
      <c r="M120" s="10" t="s">
        <v>306</v>
      </c>
      <c r="N120" s="9" t="s">
        <v>22</v>
      </c>
      <c r="O120" s="2" t="s">
        <v>5322</v>
      </c>
      <c r="P120" s="2" t="s">
        <v>4</v>
      </c>
      <c r="Q120" s="2"/>
      <c r="R120" s="2" t="s">
        <v>7</v>
      </c>
      <c r="S120" s="2" t="s">
        <v>7</v>
      </c>
      <c r="T120" s="2" t="s">
        <v>7</v>
      </c>
      <c r="U120" s="2"/>
    </row>
    <row r="121" spans="1:21" customFormat="1" ht="76.5">
      <c r="A121" s="2" t="s">
        <v>180</v>
      </c>
      <c r="B121" s="2" t="s">
        <v>181</v>
      </c>
      <c r="C121" s="2"/>
      <c r="D121" s="30" t="s">
        <v>251</v>
      </c>
      <c r="E121" s="78" t="s">
        <v>5398</v>
      </c>
      <c r="F121" s="103" t="s">
        <v>3</v>
      </c>
      <c r="G121" s="103" t="s">
        <v>5392</v>
      </c>
      <c r="H121" s="103" t="s">
        <v>8</v>
      </c>
      <c r="I121" s="103"/>
      <c r="J121" s="103"/>
      <c r="K121" s="103">
        <v>1</v>
      </c>
      <c r="L121" s="20" t="s">
        <v>253</v>
      </c>
      <c r="M121" s="26" t="s">
        <v>254</v>
      </c>
      <c r="N121" s="9" t="s">
        <v>22</v>
      </c>
      <c r="O121" s="20" t="s">
        <v>5322</v>
      </c>
      <c r="P121" s="20" t="s">
        <v>4</v>
      </c>
      <c r="Q121" s="20" t="s">
        <v>24</v>
      </c>
      <c r="R121" s="20" t="s">
        <v>7</v>
      </c>
      <c r="S121" s="20" t="s">
        <v>7</v>
      </c>
      <c r="T121" s="20" t="s">
        <v>176</v>
      </c>
      <c r="U121" s="20"/>
    </row>
    <row r="122" spans="1:21" ht="63.75">
      <c r="A122" s="2" t="s">
        <v>180</v>
      </c>
      <c r="B122" s="2" t="s">
        <v>181</v>
      </c>
      <c r="C122" s="2"/>
      <c r="D122" s="10" t="s">
        <v>327</v>
      </c>
      <c r="E122" s="5" t="s">
        <v>77</v>
      </c>
      <c r="F122" s="5" t="s">
        <v>78</v>
      </c>
      <c r="G122" s="103"/>
      <c r="H122" s="103"/>
      <c r="I122" s="103"/>
      <c r="J122" s="103"/>
      <c r="K122" s="103">
        <v>1</v>
      </c>
      <c r="L122" s="16" t="s">
        <v>5602</v>
      </c>
      <c r="M122" s="76" t="s">
        <v>5603</v>
      </c>
      <c r="N122" s="9" t="s">
        <v>22</v>
      </c>
      <c r="O122" s="2" t="s">
        <v>81</v>
      </c>
      <c r="P122" s="2" t="s">
        <v>4</v>
      </c>
      <c r="Q122" s="2"/>
      <c r="R122" s="2" t="s">
        <v>7</v>
      </c>
      <c r="S122" s="2" t="s">
        <v>7</v>
      </c>
      <c r="T122" s="2" t="s">
        <v>7</v>
      </c>
      <c r="U122" s="2"/>
    </row>
    <row r="123" spans="1:21" ht="38.25">
      <c r="A123" s="2" t="s">
        <v>180</v>
      </c>
      <c r="B123" s="2" t="s">
        <v>181</v>
      </c>
      <c r="C123" s="2"/>
      <c r="D123" s="30" t="s">
        <v>190</v>
      </c>
      <c r="E123" s="78" t="s">
        <v>3</v>
      </c>
      <c r="F123" s="102" t="s">
        <v>5414</v>
      </c>
      <c r="G123" s="102" t="s">
        <v>8</v>
      </c>
      <c r="H123" s="102" t="s">
        <v>5392</v>
      </c>
      <c r="I123" s="103"/>
      <c r="J123" s="103"/>
      <c r="K123" s="103">
        <v>4</v>
      </c>
      <c r="L123" s="2" t="s">
        <v>191</v>
      </c>
      <c r="M123" s="10" t="s">
        <v>192</v>
      </c>
      <c r="N123" s="9" t="s">
        <v>22</v>
      </c>
      <c r="O123" s="2" t="s">
        <v>5322</v>
      </c>
      <c r="P123" s="2" t="s">
        <v>4</v>
      </c>
      <c r="Q123" s="2" t="s">
        <v>24</v>
      </c>
      <c r="R123" s="2" t="s">
        <v>7</v>
      </c>
      <c r="S123" s="2" t="s">
        <v>7</v>
      </c>
      <c r="T123" s="2" t="s">
        <v>7</v>
      </c>
      <c r="U123" s="2"/>
    </row>
    <row r="124" spans="1:21" customFormat="1" ht="38.25">
      <c r="A124" s="2" t="s">
        <v>180</v>
      </c>
      <c r="B124" s="2" t="s">
        <v>181</v>
      </c>
      <c r="C124" s="2"/>
      <c r="D124" s="30" t="s">
        <v>421</v>
      </c>
      <c r="E124" s="78" t="s">
        <v>3</v>
      </c>
      <c r="F124" s="102" t="s">
        <v>5414</v>
      </c>
      <c r="G124" s="102" t="s">
        <v>5398</v>
      </c>
      <c r="H124" s="102" t="s">
        <v>5392</v>
      </c>
      <c r="I124" s="103"/>
      <c r="J124" s="103"/>
      <c r="K124" s="103">
        <v>1</v>
      </c>
      <c r="L124" s="20" t="s">
        <v>423</v>
      </c>
      <c r="M124" s="26" t="s">
        <v>424</v>
      </c>
      <c r="N124" s="9" t="s">
        <v>22</v>
      </c>
      <c r="O124" s="20" t="s">
        <v>5322</v>
      </c>
      <c r="P124" s="20" t="s">
        <v>4</v>
      </c>
      <c r="Q124" s="20"/>
      <c r="R124" s="20" t="s">
        <v>7</v>
      </c>
      <c r="S124" s="20" t="s">
        <v>7</v>
      </c>
      <c r="T124" s="20" t="s">
        <v>176</v>
      </c>
      <c r="U124" s="20"/>
    </row>
    <row r="125" spans="1:21" customFormat="1" ht="38.25">
      <c r="A125" s="2" t="s">
        <v>180</v>
      </c>
      <c r="B125" s="2" t="s">
        <v>181</v>
      </c>
      <c r="C125" s="2"/>
      <c r="D125" s="30" t="s">
        <v>366</v>
      </c>
      <c r="E125" s="78" t="s">
        <v>3</v>
      </c>
      <c r="F125" s="102" t="s">
        <v>5414</v>
      </c>
      <c r="G125" s="102" t="s">
        <v>5354</v>
      </c>
      <c r="H125" s="102" t="s">
        <v>5392</v>
      </c>
      <c r="I125" s="103"/>
      <c r="J125" s="103"/>
      <c r="K125" s="103">
        <v>1</v>
      </c>
      <c r="L125" s="20" t="s">
        <v>368</v>
      </c>
      <c r="M125" s="26" t="s">
        <v>369</v>
      </c>
      <c r="N125" s="9" t="s">
        <v>22</v>
      </c>
      <c r="O125" s="20" t="s">
        <v>5322</v>
      </c>
      <c r="P125" s="20" t="s">
        <v>4</v>
      </c>
      <c r="Q125" s="20"/>
      <c r="R125" s="20" t="s">
        <v>7</v>
      </c>
      <c r="S125" s="20" t="s">
        <v>7</v>
      </c>
      <c r="T125" s="20" t="s">
        <v>176</v>
      </c>
      <c r="U125" s="20"/>
    </row>
    <row r="126" spans="1:21" ht="51">
      <c r="A126" s="2" t="s">
        <v>180</v>
      </c>
      <c r="B126" s="2" t="s">
        <v>181</v>
      </c>
      <c r="C126" s="2"/>
      <c r="D126" s="10" t="s">
        <v>318</v>
      </c>
      <c r="E126" s="5" t="s">
        <v>77</v>
      </c>
      <c r="F126" s="5" t="s">
        <v>78</v>
      </c>
      <c r="G126" s="103"/>
      <c r="H126" s="103"/>
      <c r="I126" s="103"/>
      <c r="J126" s="103"/>
      <c r="K126" s="103">
        <v>1</v>
      </c>
      <c r="L126" s="16" t="s">
        <v>5604</v>
      </c>
      <c r="M126" s="76" t="s">
        <v>5605</v>
      </c>
      <c r="N126" s="9" t="s">
        <v>22</v>
      </c>
      <c r="O126" s="2" t="s">
        <v>81</v>
      </c>
      <c r="P126" s="2" t="s">
        <v>4</v>
      </c>
      <c r="Q126" s="2"/>
      <c r="R126" s="2" t="s">
        <v>7</v>
      </c>
      <c r="S126" s="2" t="s">
        <v>7</v>
      </c>
      <c r="T126" s="2" t="s">
        <v>7</v>
      </c>
      <c r="U126" s="2"/>
    </row>
    <row r="127" spans="1:21" ht="38.25">
      <c r="A127" s="2" t="s">
        <v>180</v>
      </c>
      <c r="B127" s="2" t="s">
        <v>181</v>
      </c>
      <c r="C127" s="2"/>
      <c r="D127" s="34" t="s">
        <v>746</v>
      </c>
      <c r="E127" s="44" t="s">
        <v>77</v>
      </c>
      <c r="F127" s="9" t="s">
        <v>78</v>
      </c>
      <c r="G127" s="104"/>
      <c r="H127" s="104"/>
      <c r="I127" s="104"/>
      <c r="J127" s="104"/>
      <c r="K127" s="104">
        <v>2</v>
      </c>
      <c r="L127" s="16" t="s">
        <v>5606</v>
      </c>
      <c r="M127" s="76" t="s">
        <v>5607</v>
      </c>
      <c r="N127" s="9" t="s">
        <v>22</v>
      </c>
      <c r="O127" s="2" t="s">
        <v>81</v>
      </c>
      <c r="P127" s="2" t="s">
        <v>4</v>
      </c>
      <c r="Q127" s="2" t="s">
        <v>24</v>
      </c>
      <c r="R127" s="2" t="s">
        <v>7</v>
      </c>
      <c r="S127" s="2" t="s">
        <v>7</v>
      </c>
      <c r="T127" s="2" t="s">
        <v>7</v>
      </c>
      <c r="U127" s="2"/>
    </row>
    <row r="128" spans="1:21" ht="25.5">
      <c r="A128" s="2" t="s">
        <v>180</v>
      </c>
      <c r="B128" s="2" t="s">
        <v>181</v>
      </c>
      <c r="C128" s="2"/>
      <c r="D128" s="30" t="s">
        <v>222</v>
      </c>
      <c r="E128" s="78" t="s">
        <v>3</v>
      </c>
      <c r="F128" s="102" t="s">
        <v>5414</v>
      </c>
      <c r="G128" s="102" t="s">
        <v>5354</v>
      </c>
      <c r="H128" s="102" t="s">
        <v>5392</v>
      </c>
      <c r="I128" s="103"/>
      <c r="J128" s="103"/>
      <c r="K128" s="103">
        <v>1</v>
      </c>
      <c r="L128" s="2" t="s">
        <v>223</v>
      </c>
      <c r="M128" s="10" t="s">
        <v>225</v>
      </c>
      <c r="N128" s="9" t="s">
        <v>22</v>
      </c>
      <c r="O128" s="2" t="s">
        <v>5322</v>
      </c>
      <c r="P128" s="2" t="s">
        <v>4</v>
      </c>
      <c r="Q128" s="2" t="s">
        <v>24</v>
      </c>
      <c r="R128" s="2" t="s">
        <v>7</v>
      </c>
      <c r="S128" s="2" t="s">
        <v>7</v>
      </c>
      <c r="T128" s="2" t="s">
        <v>7</v>
      </c>
      <c r="U128" s="2"/>
    </row>
    <row r="129" spans="1:21" ht="38.25">
      <c r="A129" s="2" t="s">
        <v>180</v>
      </c>
      <c r="B129" s="2" t="s">
        <v>181</v>
      </c>
      <c r="C129" s="2"/>
      <c r="D129" s="30" t="s">
        <v>182</v>
      </c>
      <c r="E129" s="78" t="s">
        <v>3</v>
      </c>
      <c r="F129" s="102" t="s">
        <v>5414</v>
      </c>
      <c r="G129" s="102" t="s">
        <v>5354</v>
      </c>
      <c r="H129" s="102" t="s">
        <v>5352</v>
      </c>
      <c r="I129" s="103"/>
      <c r="J129" s="103"/>
      <c r="K129" s="103">
        <v>4</v>
      </c>
      <c r="L129" s="2" t="s">
        <v>183</v>
      </c>
      <c r="M129" s="10" t="s">
        <v>184</v>
      </c>
      <c r="N129" s="9" t="s">
        <v>22</v>
      </c>
      <c r="O129" s="2" t="s">
        <v>5322</v>
      </c>
      <c r="P129" s="2" t="s">
        <v>4</v>
      </c>
      <c r="Q129" s="2" t="s">
        <v>24</v>
      </c>
      <c r="R129" s="2" t="s">
        <v>7</v>
      </c>
      <c r="S129" s="2" t="s">
        <v>7</v>
      </c>
      <c r="T129" s="2" t="s">
        <v>7</v>
      </c>
      <c r="U129" s="2"/>
    </row>
    <row r="130" spans="1:21" ht="38.25">
      <c r="A130" s="2" t="s">
        <v>180</v>
      </c>
      <c r="B130" s="2" t="s">
        <v>181</v>
      </c>
      <c r="C130" s="2"/>
      <c r="D130" s="30" t="s">
        <v>412</v>
      </c>
      <c r="E130" s="78" t="s">
        <v>3</v>
      </c>
      <c r="F130" s="102" t="s">
        <v>5414</v>
      </c>
      <c r="G130" s="102" t="s">
        <v>5419</v>
      </c>
      <c r="H130" s="102" t="s">
        <v>5392</v>
      </c>
      <c r="I130" s="103"/>
      <c r="J130" s="103"/>
      <c r="K130" s="103">
        <v>1</v>
      </c>
      <c r="L130" s="2" t="s">
        <v>413</v>
      </c>
      <c r="M130" s="10" t="s">
        <v>414</v>
      </c>
      <c r="N130" s="9" t="s">
        <v>22</v>
      </c>
      <c r="O130" s="2" t="s">
        <v>5322</v>
      </c>
      <c r="P130" s="2" t="s">
        <v>4</v>
      </c>
      <c r="Q130" s="2"/>
      <c r="R130" s="2" t="s">
        <v>7</v>
      </c>
      <c r="S130" s="2" t="s">
        <v>7</v>
      </c>
      <c r="T130" s="2" t="s">
        <v>22</v>
      </c>
      <c r="U130" s="2"/>
    </row>
    <row r="131" spans="1:21" ht="76.5">
      <c r="A131" s="2" t="s">
        <v>180</v>
      </c>
      <c r="B131" s="2" t="s">
        <v>181</v>
      </c>
      <c r="C131" s="2"/>
      <c r="D131" s="34" t="s">
        <v>226</v>
      </c>
      <c r="E131" s="78" t="s">
        <v>3</v>
      </c>
      <c r="F131" s="102" t="s">
        <v>5414</v>
      </c>
      <c r="G131" s="102" t="s">
        <v>5352</v>
      </c>
      <c r="H131" s="102" t="s">
        <v>5392</v>
      </c>
      <c r="I131" s="103"/>
      <c r="J131" s="103"/>
      <c r="K131" s="102" t="s">
        <v>5321</v>
      </c>
      <c r="L131" s="2" t="s">
        <v>227</v>
      </c>
      <c r="M131" s="10" t="s">
        <v>228</v>
      </c>
      <c r="N131" s="9" t="s">
        <v>22</v>
      </c>
      <c r="O131" s="16" t="s">
        <v>5396</v>
      </c>
      <c r="P131" s="2" t="s">
        <v>4</v>
      </c>
      <c r="Q131" s="2" t="s">
        <v>24</v>
      </c>
      <c r="R131" s="2" t="s">
        <v>7</v>
      </c>
      <c r="S131" s="2" t="s">
        <v>7</v>
      </c>
      <c r="T131" s="2" t="s">
        <v>7</v>
      </c>
      <c r="U131" s="2"/>
    </row>
    <row r="132" spans="1:21" ht="51">
      <c r="A132" s="2" t="s">
        <v>180</v>
      </c>
      <c r="B132" s="2" t="s">
        <v>181</v>
      </c>
      <c r="C132" s="2"/>
      <c r="D132" s="30" t="s">
        <v>293</v>
      </c>
      <c r="E132" s="78" t="s">
        <v>35</v>
      </c>
      <c r="F132" s="102" t="s">
        <v>3</v>
      </c>
      <c r="G132" s="102" t="s">
        <v>5352</v>
      </c>
      <c r="H132" s="102" t="s">
        <v>5392</v>
      </c>
      <c r="I132" s="103"/>
      <c r="J132" s="103"/>
      <c r="K132" s="103">
        <v>2</v>
      </c>
      <c r="L132" s="2" t="s">
        <v>294</v>
      </c>
      <c r="M132" s="10" t="s">
        <v>295</v>
      </c>
      <c r="N132" s="9" t="s">
        <v>22</v>
      </c>
      <c r="O132" s="2" t="s">
        <v>5322</v>
      </c>
      <c r="P132" s="2" t="s">
        <v>4</v>
      </c>
      <c r="Q132" s="2" t="s">
        <v>24</v>
      </c>
      <c r="R132" s="2" t="s">
        <v>7</v>
      </c>
      <c r="S132" s="2" t="s">
        <v>7</v>
      </c>
      <c r="T132" s="2" t="s">
        <v>7</v>
      </c>
      <c r="U132" s="2"/>
    </row>
    <row r="133" spans="1:21" ht="51">
      <c r="A133" s="2" t="s">
        <v>180</v>
      </c>
      <c r="B133" s="2" t="s">
        <v>181</v>
      </c>
      <c r="C133" s="2"/>
      <c r="D133" s="30" t="s">
        <v>354</v>
      </c>
      <c r="E133" s="78" t="s">
        <v>35</v>
      </c>
      <c r="F133" s="102" t="s">
        <v>8</v>
      </c>
      <c r="G133" s="102" t="s">
        <v>5352</v>
      </c>
      <c r="H133" s="102" t="s">
        <v>3</v>
      </c>
      <c r="I133" s="103"/>
      <c r="J133" s="103"/>
      <c r="K133" s="103">
        <v>2</v>
      </c>
      <c r="L133" s="2" t="s">
        <v>355</v>
      </c>
      <c r="M133" s="10" t="s">
        <v>356</v>
      </c>
      <c r="N133" s="9" t="s">
        <v>22</v>
      </c>
      <c r="O133" s="2" t="s">
        <v>5322</v>
      </c>
      <c r="P133" s="2" t="s">
        <v>4</v>
      </c>
      <c r="Q133" s="2"/>
      <c r="R133" s="2" t="s">
        <v>7</v>
      </c>
      <c r="S133" s="2" t="s">
        <v>7</v>
      </c>
      <c r="T133" s="2" t="s">
        <v>7</v>
      </c>
      <c r="U133" s="2"/>
    </row>
    <row r="134" spans="1:21" ht="51">
      <c r="A134" s="2" t="s">
        <v>180</v>
      </c>
      <c r="B134" s="2" t="s">
        <v>181</v>
      </c>
      <c r="C134" s="2"/>
      <c r="D134" s="30" t="s">
        <v>233</v>
      </c>
      <c r="E134" s="78" t="s">
        <v>35</v>
      </c>
      <c r="F134" s="102" t="s">
        <v>3</v>
      </c>
      <c r="G134" s="102" t="s">
        <v>5352</v>
      </c>
      <c r="H134" s="102" t="s">
        <v>5392</v>
      </c>
      <c r="I134" s="103"/>
      <c r="J134" s="103"/>
      <c r="K134" s="103">
        <v>2</v>
      </c>
      <c r="L134" s="2" t="s">
        <v>234</v>
      </c>
      <c r="M134" s="10" t="s">
        <v>235</v>
      </c>
      <c r="N134" s="9" t="s">
        <v>22</v>
      </c>
      <c r="O134" s="2" t="s">
        <v>5322</v>
      </c>
      <c r="P134" s="2" t="s">
        <v>4</v>
      </c>
      <c r="Q134" s="2" t="s">
        <v>24</v>
      </c>
      <c r="R134" s="2" t="s">
        <v>7</v>
      </c>
      <c r="S134" s="2" t="s">
        <v>7</v>
      </c>
      <c r="T134" s="2" t="s">
        <v>7</v>
      </c>
      <c r="U134" s="2"/>
    </row>
    <row r="135" spans="1:21" customFormat="1" ht="51">
      <c r="A135" s="2" t="s">
        <v>180</v>
      </c>
      <c r="B135" s="2" t="s">
        <v>181</v>
      </c>
      <c r="C135" s="2"/>
      <c r="D135" s="30" t="s">
        <v>331</v>
      </c>
      <c r="E135" s="78" t="s">
        <v>35</v>
      </c>
      <c r="F135" s="102" t="s">
        <v>3</v>
      </c>
      <c r="G135" s="102" t="s">
        <v>5352</v>
      </c>
      <c r="H135" s="102" t="s">
        <v>5392</v>
      </c>
      <c r="I135" s="103"/>
      <c r="J135" s="103"/>
      <c r="K135" s="103">
        <v>2</v>
      </c>
      <c r="L135" s="20" t="s">
        <v>332</v>
      </c>
      <c r="M135" s="26" t="s">
        <v>333</v>
      </c>
      <c r="N135" s="9" t="s">
        <v>22</v>
      </c>
      <c r="O135" s="20" t="s">
        <v>5322</v>
      </c>
      <c r="P135" s="20" t="s">
        <v>4</v>
      </c>
      <c r="Q135" s="20"/>
      <c r="R135" s="20" t="s">
        <v>7</v>
      </c>
      <c r="S135" s="20" t="s">
        <v>7</v>
      </c>
      <c r="T135" s="20" t="s">
        <v>176</v>
      </c>
      <c r="U135" s="20"/>
    </row>
    <row r="136" spans="1:21" ht="38.25">
      <c r="A136" s="2" t="s">
        <v>180</v>
      </c>
      <c r="B136" s="2" t="s">
        <v>181</v>
      </c>
      <c r="C136" s="2"/>
      <c r="D136" s="10" t="s">
        <v>346</v>
      </c>
      <c r="E136" s="5" t="s">
        <v>77</v>
      </c>
      <c r="F136" s="5" t="s">
        <v>78</v>
      </c>
      <c r="G136" s="103"/>
      <c r="H136" s="103"/>
      <c r="I136" s="103"/>
      <c r="J136" s="103"/>
      <c r="K136" s="103">
        <v>1</v>
      </c>
      <c r="L136" s="16" t="s">
        <v>5608</v>
      </c>
      <c r="M136" s="76" t="s">
        <v>5609</v>
      </c>
      <c r="N136" s="9" t="s">
        <v>22</v>
      </c>
      <c r="O136" s="2" t="s">
        <v>81</v>
      </c>
      <c r="P136" s="2" t="s">
        <v>4</v>
      </c>
      <c r="Q136" s="2"/>
      <c r="R136" s="2" t="s">
        <v>7</v>
      </c>
      <c r="S136" s="2" t="s">
        <v>7</v>
      </c>
      <c r="T136" s="2" t="s">
        <v>7</v>
      </c>
      <c r="U136" s="2"/>
    </row>
    <row r="137" spans="1:21" ht="38.25">
      <c r="A137" s="2" t="s">
        <v>180</v>
      </c>
      <c r="B137" s="2" t="s">
        <v>181</v>
      </c>
      <c r="C137" s="2"/>
      <c r="D137" s="10" t="s">
        <v>296</v>
      </c>
      <c r="E137" s="78" t="s">
        <v>35</v>
      </c>
      <c r="F137" s="102" t="s">
        <v>3</v>
      </c>
      <c r="G137" s="102" t="s">
        <v>5352</v>
      </c>
      <c r="H137" s="102" t="s">
        <v>5392</v>
      </c>
      <c r="I137" s="103"/>
      <c r="J137" s="103"/>
      <c r="K137" s="103">
        <v>2</v>
      </c>
      <c r="L137" s="2" t="s">
        <v>297</v>
      </c>
      <c r="M137" s="10" t="s">
        <v>298</v>
      </c>
      <c r="N137" s="9" t="s">
        <v>22</v>
      </c>
      <c r="O137" s="2" t="s">
        <v>5322</v>
      </c>
      <c r="P137" s="2" t="s">
        <v>4</v>
      </c>
      <c r="Q137" s="2" t="s">
        <v>24</v>
      </c>
      <c r="R137" s="2" t="s">
        <v>7</v>
      </c>
      <c r="S137" s="2" t="s">
        <v>7</v>
      </c>
      <c r="T137" s="2" t="s">
        <v>7</v>
      </c>
      <c r="U137" s="2"/>
    </row>
    <row r="138" spans="1:21" ht="38.25">
      <c r="A138" s="2" t="s">
        <v>193</v>
      </c>
      <c r="B138" s="2" t="s">
        <v>198</v>
      </c>
      <c r="C138" s="2"/>
      <c r="D138" s="10" t="s">
        <v>547</v>
      </c>
      <c r="E138" s="5" t="s">
        <v>77</v>
      </c>
      <c r="F138" s="5" t="s">
        <v>78</v>
      </c>
      <c r="G138" s="103"/>
      <c r="H138" s="103"/>
      <c r="I138" s="103"/>
      <c r="J138" s="103"/>
      <c r="K138" s="103">
        <v>1</v>
      </c>
      <c r="L138" s="16" t="s">
        <v>5610</v>
      </c>
      <c r="M138" s="76" t="s">
        <v>5611</v>
      </c>
      <c r="N138" s="9" t="s">
        <v>22</v>
      </c>
      <c r="O138" s="2" t="s">
        <v>81</v>
      </c>
      <c r="P138" s="2" t="s">
        <v>4</v>
      </c>
      <c r="Q138" s="2"/>
      <c r="R138" s="2" t="s">
        <v>176</v>
      </c>
      <c r="S138" s="2" t="s">
        <v>176</v>
      </c>
      <c r="T138" s="2" t="s">
        <v>7</v>
      </c>
      <c r="U138" s="2"/>
    </row>
    <row r="139" spans="1:21" ht="38.25">
      <c r="A139" s="2" t="s">
        <v>193</v>
      </c>
      <c r="B139" s="2" t="s">
        <v>198</v>
      </c>
      <c r="C139" s="2"/>
      <c r="D139" s="10" t="s">
        <v>549</v>
      </c>
      <c r="E139" s="5" t="s">
        <v>77</v>
      </c>
      <c r="F139" s="5" t="s">
        <v>78</v>
      </c>
      <c r="G139" s="103"/>
      <c r="H139" s="103"/>
      <c r="I139" s="103"/>
      <c r="J139" s="103"/>
      <c r="K139" s="103"/>
      <c r="L139" s="16" t="s">
        <v>5612</v>
      </c>
      <c r="M139" s="76" t="s">
        <v>5613</v>
      </c>
      <c r="N139" s="9" t="s">
        <v>22</v>
      </c>
      <c r="O139" s="2" t="s">
        <v>81</v>
      </c>
      <c r="P139" s="2" t="s">
        <v>4</v>
      </c>
      <c r="Q139" s="2"/>
      <c r="R139" s="2" t="s">
        <v>176</v>
      </c>
      <c r="S139" s="2" t="s">
        <v>176</v>
      </c>
      <c r="T139" s="2" t="s">
        <v>7</v>
      </c>
      <c r="U139" s="2"/>
    </row>
    <row r="140" spans="1:21" ht="51">
      <c r="A140" s="2" t="s">
        <v>193</v>
      </c>
      <c r="B140" s="2" t="s">
        <v>198</v>
      </c>
      <c r="C140" s="2"/>
      <c r="D140" s="10" t="s">
        <v>701</v>
      </c>
      <c r="E140" s="5" t="s">
        <v>77</v>
      </c>
      <c r="F140" s="5" t="s">
        <v>78</v>
      </c>
      <c r="G140" s="103"/>
      <c r="H140" s="103"/>
      <c r="I140" s="103"/>
      <c r="J140" s="103"/>
      <c r="K140" s="103">
        <v>1</v>
      </c>
      <c r="L140" s="16" t="s">
        <v>5614</v>
      </c>
      <c r="M140" s="76" t="s">
        <v>5615</v>
      </c>
      <c r="N140" s="9" t="s">
        <v>22</v>
      </c>
      <c r="O140" s="2" t="s">
        <v>81</v>
      </c>
      <c r="P140" s="2" t="s">
        <v>4</v>
      </c>
      <c r="Q140" s="2"/>
      <c r="R140" s="2" t="s">
        <v>176</v>
      </c>
      <c r="S140" s="2" t="s">
        <v>176</v>
      </c>
      <c r="T140" s="2" t="s">
        <v>7</v>
      </c>
      <c r="U140" s="2"/>
    </row>
    <row r="141" spans="1:21" ht="38.25">
      <c r="A141" s="2" t="s">
        <v>193</v>
      </c>
      <c r="B141" s="2" t="s">
        <v>198</v>
      </c>
      <c r="C141" s="2"/>
      <c r="D141" s="30" t="s">
        <v>707</v>
      </c>
      <c r="E141" s="5" t="s">
        <v>77</v>
      </c>
      <c r="F141" s="5" t="s">
        <v>78</v>
      </c>
      <c r="G141" s="103"/>
      <c r="H141" s="103"/>
      <c r="I141" s="103"/>
      <c r="J141" s="103"/>
      <c r="K141" s="103">
        <v>1</v>
      </c>
      <c r="L141" s="16" t="s">
        <v>5616</v>
      </c>
      <c r="M141" s="76" t="s">
        <v>5617</v>
      </c>
      <c r="N141" s="9" t="s">
        <v>22</v>
      </c>
      <c r="O141" s="2" t="s">
        <v>81</v>
      </c>
      <c r="P141" s="2" t="s">
        <v>4</v>
      </c>
      <c r="Q141" s="2"/>
      <c r="R141" s="2" t="s">
        <v>176</v>
      </c>
      <c r="S141" s="2" t="s">
        <v>176</v>
      </c>
      <c r="T141" s="2" t="s">
        <v>7</v>
      </c>
      <c r="U141" s="2"/>
    </row>
    <row r="142" spans="1:21" ht="38.25">
      <c r="A142" s="2" t="s">
        <v>193</v>
      </c>
      <c r="B142" s="2" t="s">
        <v>198</v>
      </c>
      <c r="C142" s="2"/>
      <c r="D142" s="37" t="s">
        <v>481</v>
      </c>
      <c r="E142" s="44" t="s">
        <v>77</v>
      </c>
      <c r="F142" s="9" t="s">
        <v>78</v>
      </c>
      <c r="G142" s="104"/>
      <c r="H142" s="104"/>
      <c r="I142" s="104"/>
      <c r="J142" s="104"/>
      <c r="K142" s="104">
        <v>2</v>
      </c>
      <c r="L142" s="16" t="s">
        <v>5618</v>
      </c>
      <c r="M142" s="76" t="s">
        <v>5619</v>
      </c>
      <c r="N142" s="9" t="s">
        <v>22</v>
      </c>
      <c r="O142" s="2" t="s">
        <v>81</v>
      </c>
      <c r="P142" s="2" t="s">
        <v>4</v>
      </c>
      <c r="Q142" s="2" t="s">
        <v>24</v>
      </c>
      <c r="R142" s="3" t="s">
        <v>7</v>
      </c>
      <c r="S142" s="3" t="s">
        <v>7</v>
      </c>
      <c r="T142" s="3" t="s">
        <v>7</v>
      </c>
      <c r="U142" s="2"/>
    </row>
    <row r="143" spans="1:21" ht="51">
      <c r="A143" s="2" t="s">
        <v>193</v>
      </c>
      <c r="B143" s="2" t="s">
        <v>198</v>
      </c>
      <c r="C143" s="2"/>
      <c r="D143" s="10" t="s">
        <v>560</v>
      </c>
      <c r="E143" s="5" t="s">
        <v>77</v>
      </c>
      <c r="F143" s="5" t="s">
        <v>78</v>
      </c>
      <c r="G143" s="103"/>
      <c r="H143" s="103"/>
      <c r="I143" s="103"/>
      <c r="J143" s="103"/>
      <c r="K143" s="103">
        <v>1</v>
      </c>
      <c r="L143" s="16" t="s">
        <v>5620</v>
      </c>
      <c r="M143" s="76" t="s">
        <v>5621</v>
      </c>
      <c r="N143" s="9" t="s">
        <v>22</v>
      </c>
      <c r="O143" s="2" t="s">
        <v>81</v>
      </c>
      <c r="P143" s="2" t="s">
        <v>4</v>
      </c>
      <c r="Q143" s="10"/>
      <c r="R143" s="7" t="s">
        <v>176</v>
      </c>
      <c r="S143" s="7" t="s">
        <v>176</v>
      </c>
      <c r="T143" s="7" t="s">
        <v>22</v>
      </c>
      <c r="U143" s="2"/>
    </row>
    <row r="144" spans="1:21" ht="38.25">
      <c r="A144" s="2" t="s">
        <v>193</v>
      </c>
      <c r="B144" s="2" t="s">
        <v>198</v>
      </c>
      <c r="C144" s="2"/>
      <c r="D144" s="30" t="s">
        <v>486</v>
      </c>
      <c r="E144" s="5" t="s">
        <v>77</v>
      </c>
      <c r="F144" s="5" t="s">
        <v>78</v>
      </c>
      <c r="G144" s="103"/>
      <c r="H144" s="103"/>
      <c r="I144" s="103"/>
      <c r="J144" s="103"/>
      <c r="K144" s="103">
        <v>1</v>
      </c>
      <c r="L144" s="16" t="s">
        <v>5622</v>
      </c>
      <c r="M144" s="76" t="s">
        <v>5623</v>
      </c>
      <c r="N144" s="9" t="s">
        <v>22</v>
      </c>
      <c r="O144" s="2" t="s">
        <v>81</v>
      </c>
      <c r="P144" s="2" t="s">
        <v>4</v>
      </c>
      <c r="Q144" s="2"/>
      <c r="R144" s="2" t="s">
        <v>7</v>
      </c>
      <c r="S144" s="2" t="s">
        <v>7</v>
      </c>
      <c r="T144" s="2" t="s">
        <v>7</v>
      </c>
      <c r="U144" s="2"/>
    </row>
    <row r="145" spans="1:21" ht="38.25">
      <c r="A145" s="2" t="s">
        <v>193</v>
      </c>
      <c r="B145" s="2" t="s">
        <v>198</v>
      </c>
      <c r="C145" s="2"/>
      <c r="D145" s="30" t="s">
        <v>460</v>
      </c>
      <c r="E145" s="5" t="s">
        <v>77</v>
      </c>
      <c r="F145" s="5" t="s">
        <v>78</v>
      </c>
      <c r="G145" s="103"/>
      <c r="H145" s="103"/>
      <c r="I145" s="103"/>
      <c r="J145" s="103"/>
      <c r="K145" s="103">
        <v>1</v>
      </c>
      <c r="L145" s="16" t="s">
        <v>5624</v>
      </c>
      <c r="M145" s="76" t="s">
        <v>5625</v>
      </c>
      <c r="N145" s="9" t="s">
        <v>22</v>
      </c>
      <c r="O145" s="2" t="s">
        <v>81</v>
      </c>
      <c r="P145" s="2" t="s">
        <v>4</v>
      </c>
      <c r="Q145" s="2" t="s">
        <v>24</v>
      </c>
      <c r="R145" s="3" t="s">
        <v>7</v>
      </c>
      <c r="S145" s="3" t="s">
        <v>7</v>
      </c>
      <c r="T145" s="3" t="s">
        <v>7</v>
      </c>
      <c r="U145" s="2"/>
    </row>
    <row r="146" spans="1:21" ht="38.25">
      <c r="A146" s="2" t="s">
        <v>193</v>
      </c>
      <c r="B146" s="2" t="s">
        <v>198</v>
      </c>
      <c r="C146" s="2"/>
      <c r="D146" s="30" t="s">
        <v>690</v>
      </c>
      <c r="E146" s="5" t="s">
        <v>77</v>
      </c>
      <c r="F146" s="5" t="s">
        <v>78</v>
      </c>
      <c r="G146" s="103"/>
      <c r="H146" s="103"/>
      <c r="I146" s="103"/>
      <c r="J146" s="103"/>
      <c r="K146" s="103">
        <v>1</v>
      </c>
      <c r="L146" s="16" t="s">
        <v>5626</v>
      </c>
      <c r="M146" s="76" t="s">
        <v>5627</v>
      </c>
      <c r="N146" s="9" t="s">
        <v>22</v>
      </c>
      <c r="O146" s="2" t="s">
        <v>81</v>
      </c>
      <c r="P146" s="2" t="s">
        <v>4</v>
      </c>
      <c r="Q146" s="10"/>
      <c r="R146" s="7" t="s">
        <v>176</v>
      </c>
      <c r="S146" s="7" t="s">
        <v>176</v>
      </c>
      <c r="T146" s="7" t="s">
        <v>7</v>
      </c>
      <c r="U146" s="2"/>
    </row>
    <row r="147" spans="1:21" ht="38.25">
      <c r="A147" s="2" t="s">
        <v>193</v>
      </c>
      <c r="B147" s="2" t="s">
        <v>198</v>
      </c>
      <c r="C147" s="2"/>
      <c r="D147" s="10" t="s">
        <v>698</v>
      </c>
      <c r="E147" s="5" t="s">
        <v>77</v>
      </c>
      <c r="F147" s="5" t="s">
        <v>78</v>
      </c>
      <c r="G147" s="103"/>
      <c r="H147" s="103"/>
      <c r="I147" s="103"/>
      <c r="J147" s="103"/>
      <c r="K147" s="103">
        <v>1</v>
      </c>
      <c r="L147" s="16" t="s">
        <v>5628</v>
      </c>
      <c r="M147" s="76" t="s">
        <v>5629</v>
      </c>
      <c r="N147" s="9" t="s">
        <v>22</v>
      </c>
      <c r="O147" s="2" t="s">
        <v>81</v>
      </c>
      <c r="P147" s="2" t="s">
        <v>4</v>
      </c>
      <c r="Q147" s="2"/>
      <c r="R147" s="2" t="s">
        <v>176</v>
      </c>
      <c r="S147" s="2" t="s">
        <v>176</v>
      </c>
      <c r="T147" s="2" t="s">
        <v>7</v>
      </c>
      <c r="U147" s="2"/>
    </row>
    <row r="148" spans="1:21" ht="51">
      <c r="A148" s="2" t="s">
        <v>193</v>
      </c>
      <c r="B148" s="2" t="s">
        <v>198</v>
      </c>
      <c r="C148" s="2"/>
      <c r="D148" s="34" t="s">
        <v>480</v>
      </c>
      <c r="E148" s="44" t="s">
        <v>77</v>
      </c>
      <c r="F148" s="9" t="s">
        <v>78</v>
      </c>
      <c r="G148" s="104"/>
      <c r="H148" s="104"/>
      <c r="I148" s="104"/>
      <c r="J148" s="104"/>
      <c r="K148" s="104">
        <v>2</v>
      </c>
      <c r="L148" s="16" t="s">
        <v>5630</v>
      </c>
      <c r="M148" s="76" t="s">
        <v>5631</v>
      </c>
      <c r="N148" s="9" t="s">
        <v>22</v>
      </c>
      <c r="O148" s="2" t="s">
        <v>81</v>
      </c>
      <c r="P148" s="2" t="s">
        <v>4</v>
      </c>
      <c r="Q148" s="2" t="s">
        <v>24</v>
      </c>
      <c r="R148" s="2" t="s">
        <v>7</v>
      </c>
      <c r="S148" s="2" t="s">
        <v>7</v>
      </c>
      <c r="T148" s="2" t="s">
        <v>7</v>
      </c>
      <c r="U148" s="2"/>
    </row>
    <row r="149" spans="1:21" ht="38.25">
      <c r="A149" s="2" t="s">
        <v>193</v>
      </c>
      <c r="B149" s="2" t="s">
        <v>198</v>
      </c>
      <c r="C149" s="2"/>
      <c r="D149" s="10" t="s">
        <v>488</v>
      </c>
      <c r="E149" s="5" t="s">
        <v>77</v>
      </c>
      <c r="F149" s="5" t="s">
        <v>78</v>
      </c>
      <c r="G149" s="103"/>
      <c r="H149" s="103"/>
      <c r="I149" s="103"/>
      <c r="J149" s="103"/>
      <c r="K149" s="103">
        <v>1</v>
      </c>
      <c r="L149" s="16" t="s">
        <v>5632</v>
      </c>
      <c r="M149" s="76" t="s">
        <v>5633</v>
      </c>
      <c r="N149" s="9" t="s">
        <v>22</v>
      </c>
      <c r="O149" s="2" t="s">
        <v>81</v>
      </c>
      <c r="P149" s="2" t="s">
        <v>4</v>
      </c>
      <c r="Q149" s="2"/>
      <c r="R149" s="2" t="s">
        <v>7</v>
      </c>
      <c r="S149" s="2" t="s">
        <v>7</v>
      </c>
      <c r="T149" s="2" t="s">
        <v>7</v>
      </c>
      <c r="U149" s="2"/>
    </row>
    <row r="150" spans="1:21" ht="38.25">
      <c r="A150" s="2" t="s">
        <v>193</v>
      </c>
      <c r="B150" s="2" t="s">
        <v>198</v>
      </c>
      <c r="C150" s="2"/>
      <c r="D150" s="10" t="s">
        <v>693</v>
      </c>
      <c r="E150" s="5" t="s">
        <v>77</v>
      </c>
      <c r="F150" s="5" t="s">
        <v>78</v>
      </c>
      <c r="G150" s="103"/>
      <c r="H150" s="103"/>
      <c r="I150" s="103"/>
      <c r="J150" s="103"/>
      <c r="K150" s="103">
        <v>1</v>
      </c>
      <c r="L150" s="16" t="s">
        <v>5634</v>
      </c>
      <c r="M150" s="76" t="s">
        <v>5635</v>
      </c>
      <c r="N150" s="9" t="s">
        <v>22</v>
      </c>
      <c r="O150" s="2" t="s">
        <v>81</v>
      </c>
      <c r="P150" s="2" t="s">
        <v>4</v>
      </c>
      <c r="Q150" s="2"/>
      <c r="R150" s="2" t="s">
        <v>176</v>
      </c>
      <c r="S150" s="2" t="s">
        <v>176</v>
      </c>
      <c r="T150" s="2" t="s">
        <v>7</v>
      </c>
      <c r="U150" s="2"/>
    </row>
    <row r="151" spans="1:21" ht="51">
      <c r="A151" s="83" t="s">
        <v>16</v>
      </c>
      <c r="B151" s="83" t="s">
        <v>64</v>
      </c>
      <c r="C151" s="121" t="s">
        <v>5513</v>
      </c>
      <c r="D151" s="88" t="s">
        <v>65</v>
      </c>
      <c r="E151" s="78" t="s">
        <v>35</v>
      </c>
      <c r="F151" s="102" t="s">
        <v>3</v>
      </c>
      <c r="G151" s="102" t="s">
        <v>5352</v>
      </c>
      <c r="H151" s="102" t="s">
        <v>5392</v>
      </c>
      <c r="I151" s="103"/>
      <c r="J151" s="103"/>
      <c r="K151" s="102" t="s">
        <v>5351</v>
      </c>
      <c r="L151" s="2" t="s">
        <v>68</v>
      </c>
      <c r="M151" s="10" t="s">
        <v>70</v>
      </c>
      <c r="N151" s="9" t="s">
        <v>22</v>
      </c>
      <c r="O151" s="16" t="s">
        <v>5396</v>
      </c>
      <c r="P151" s="2" t="s">
        <v>4</v>
      </c>
      <c r="Q151" s="2" t="s">
        <v>24</v>
      </c>
      <c r="R151" s="2" t="s">
        <v>7</v>
      </c>
      <c r="S151" s="2" t="s">
        <v>7</v>
      </c>
      <c r="T151" s="2" t="s">
        <v>7</v>
      </c>
      <c r="U151" s="2" t="s">
        <v>72</v>
      </c>
    </row>
    <row r="152" spans="1:21" ht="38.25">
      <c r="A152" s="2" t="s">
        <v>193</v>
      </c>
      <c r="B152" s="2" t="s">
        <v>198</v>
      </c>
      <c r="C152" s="2"/>
      <c r="D152" s="30" t="s">
        <v>689</v>
      </c>
      <c r="E152" s="5" t="s">
        <v>77</v>
      </c>
      <c r="F152" s="5" t="s">
        <v>78</v>
      </c>
      <c r="G152" s="103"/>
      <c r="H152" s="103"/>
      <c r="I152" s="103"/>
      <c r="J152" s="103"/>
      <c r="K152" s="103">
        <v>1</v>
      </c>
      <c r="L152" s="16" t="s">
        <v>5636</v>
      </c>
      <c r="M152" s="76" t="s">
        <v>5637</v>
      </c>
      <c r="N152" s="9" t="s">
        <v>22</v>
      </c>
      <c r="O152" s="2" t="s">
        <v>81</v>
      </c>
      <c r="P152" s="2" t="s">
        <v>4</v>
      </c>
      <c r="Q152" s="2"/>
      <c r="R152" s="2" t="s">
        <v>176</v>
      </c>
      <c r="S152" s="2" t="s">
        <v>176</v>
      </c>
      <c r="T152" s="2" t="s">
        <v>7</v>
      </c>
      <c r="U152" s="2"/>
    </row>
    <row r="153" spans="1:21" ht="38.25">
      <c r="A153" s="2" t="s">
        <v>193</v>
      </c>
      <c r="B153" s="2" t="s">
        <v>198</v>
      </c>
      <c r="C153" s="2"/>
      <c r="D153" s="10" t="s">
        <v>485</v>
      </c>
      <c r="E153" s="5" t="s">
        <v>77</v>
      </c>
      <c r="F153" s="5" t="s">
        <v>78</v>
      </c>
      <c r="G153" s="103"/>
      <c r="H153" s="103"/>
      <c r="I153" s="103"/>
      <c r="J153" s="103"/>
      <c r="K153" s="103">
        <v>1</v>
      </c>
      <c r="L153" s="16" t="s">
        <v>5638</v>
      </c>
      <c r="M153" s="76" t="s">
        <v>5639</v>
      </c>
      <c r="N153" s="9" t="s">
        <v>22</v>
      </c>
      <c r="O153" s="2" t="s">
        <v>81</v>
      </c>
      <c r="P153" s="2" t="s">
        <v>4</v>
      </c>
      <c r="Q153" s="2"/>
      <c r="R153" s="2" t="s">
        <v>7</v>
      </c>
      <c r="S153" s="2" t="s">
        <v>7</v>
      </c>
      <c r="T153" s="2" t="s">
        <v>7</v>
      </c>
      <c r="U153" s="2"/>
    </row>
    <row r="154" spans="1:21" ht="38.25">
      <c r="A154" s="2" t="s">
        <v>180</v>
      </c>
      <c r="B154" s="2" t="s">
        <v>181</v>
      </c>
      <c r="C154" s="2"/>
      <c r="D154" s="30" t="s">
        <v>270</v>
      </c>
      <c r="E154" s="78" t="s">
        <v>35</v>
      </c>
      <c r="F154" s="102" t="s">
        <v>3</v>
      </c>
      <c r="G154" s="102" t="s">
        <v>5352</v>
      </c>
      <c r="H154" s="102" t="s">
        <v>5392</v>
      </c>
      <c r="I154" s="103"/>
      <c r="J154" s="103"/>
      <c r="K154" s="103">
        <v>2</v>
      </c>
      <c r="L154" s="2" t="s">
        <v>271</v>
      </c>
      <c r="M154" s="10" t="s">
        <v>272</v>
      </c>
      <c r="N154" s="9" t="s">
        <v>22</v>
      </c>
      <c r="O154" s="2" t="s">
        <v>5322</v>
      </c>
      <c r="P154" s="2" t="s">
        <v>4</v>
      </c>
      <c r="Q154" s="2" t="s">
        <v>24</v>
      </c>
      <c r="R154" s="2" t="s">
        <v>7</v>
      </c>
      <c r="S154" s="2" t="s">
        <v>7</v>
      </c>
      <c r="T154" s="2" t="s">
        <v>7</v>
      </c>
      <c r="U154" s="2"/>
    </row>
    <row r="155" spans="1:21" ht="51">
      <c r="A155" s="2" t="s">
        <v>180</v>
      </c>
      <c r="B155" s="2" t="s">
        <v>181</v>
      </c>
      <c r="C155" s="2"/>
      <c r="D155" s="30" t="s">
        <v>382</v>
      </c>
      <c r="E155" s="78" t="s">
        <v>3</v>
      </c>
      <c r="F155" s="102" t="s">
        <v>5352</v>
      </c>
      <c r="G155" s="102" t="s">
        <v>5392</v>
      </c>
      <c r="H155" s="102" t="s">
        <v>35</v>
      </c>
      <c r="I155" s="103"/>
      <c r="J155" s="103"/>
      <c r="K155" s="103">
        <v>4</v>
      </c>
      <c r="L155" s="2" t="s">
        <v>384</v>
      </c>
      <c r="M155" s="10" t="s">
        <v>385</v>
      </c>
      <c r="N155" s="9" t="s">
        <v>22</v>
      </c>
      <c r="O155" s="2" t="s">
        <v>5322</v>
      </c>
      <c r="P155" s="2" t="s">
        <v>4</v>
      </c>
      <c r="Q155" s="2"/>
      <c r="R155" s="2" t="s">
        <v>7</v>
      </c>
      <c r="S155" s="2" t="s">
        <v>7</v>
      </c>
      <c r="T155" s="2" t="s">
        <v>7</v>
      </c>
      <c r="U155" s="2"/>
    </row>
    <row r="156" spans="1:21" ht="38.25">
      <c r="A156" s="2" t="s">
        <v>180</v>
      </c>
      <c r="B156" s="2" t="s">
        <v>181</v>
      </c>
      <c r="C156" s="2"/>
      <c r="D156" s="34" t="s">
        <v>214</v>
      </c>
      <c r="E156" s="44" t="s">
        <v>77</v>
      </c>
      <c r="F156" s="9" t="s">
        <v>78</v>
      </c>
      <c r="G156" s="104"/>
      <c r="H156" s="104"/>
      <c r="I156" s="104"/>
      <c r="J156" s="104"/>
      <c r="K156" s="104">
        <v>2</v>
      </c>
      <c r="L156" s="16" t="s">
        <v>5640</v>
      </c>
      <c r="M156" s="76" t="s">
        <v>5641</v>
      </c>
      <c r="N156" s="9" t="s">
        <v>22</v>
      </c>
      <c r="O156" s="2" t="s">
        <v>81</v>
      </c>
      <c r="P156" s="2" t="s">
        <v>4</v>
      </c>
      <c r="Q156" s="2" t="s">
        <v>24</v>
      </c>
      <c r="R156" s="2" t="s">
        <v>7</v>
      </c>
      <c r="S156" s="2" t="s">
        <v>7</v>
      </c>
      <c r="T156" s="2" t="s">
        <v>7</v>
      </c>
      <c r="U156" s="2"/>
    </row>
    <row r="157" spans="1:21" ht="38.25">
      <c r="A157" s="2" t="s">
        <v>180</v>
      </c>
      <c r="B157" s="2" t="s">
        <v>181</v>
      </c>
      <c r="C157" s="2"/>
      <c r="D157" s="30" t="s">
        <v>334</v>
      </c>
      <c r="E157" s="78" t="s">
        <v>3</v>
      </c>
      <c r="F157" s="102" t="s">
        <v>5352</v>
      </c>
      <c r="G157" s="102" t="s">
        <v>5392</v>
      </c>
      <c r="H157" s="102" t="s">
        <v>35</v>
      </c>
      <c r="I157" s="103"/>
      <c r="J157" s="103"/>
      <c r="K157" s="103">
        <v>4</v>
      </c>
      <c r="L157" s="2" t="s">
        <v>335</v>
      </c>
      <c r="M157" s="10" t="s">
        <v>336</v>
      </c>
      <c r="N157" s="9" t="s">
        <v>22</v>
      </c>
      <c r="O157" s="2" t="s">
        <v>5322</v>
      </c>
      <c r="P157" s="2" t="s">
        <v>4</v>
      </c>
      <c r="Q157" s="2"/>
      <c r="R157" s="2" t="s">
        <v>7</v>
      </c>
      <c r="S157" s="2" t="s">
        <v>7</v>
      </c>
      <c r="T157" s="2" t="s">
        <v>7</v>
      </c>
      <c r="U157" s="2"/>
    </row>
    <row r="158" spans="1:21" customFormat="1" ht="51">
      <c r="A158" s="2" t="s">
        <v>180</v>
      </c>
      <c r="B158" s="2" t="s">
        <v>181</v>
      </c>
      <c r="C158" s="2"/>
      <c r="D158" s="34" t="s">
        <v>229</v>
      </c>
      <c r="E158" s="78" t="s">
        <v>5413</v>
      </c>
      <c r="F158" s="102" t="s">
        <v>5352</v>
      </c>
      <c r="G158" s="102" t="s">
        <v>5392</v>
      </c>
      <c r="H158" s="102" t="s">
        <v>35</v>
      </c>
      <c r="I158" s="103"/>
      <c r="J158" s="103"/>
      <c r="K158" s="102" t="s">
        <v>5420</v>
      </c>
      <c r="L158" s="20" t="s">
        <v>231</v>
      </c>
      <c r="M158" s="26" t="s">
        <v>232</v>
      </c>
      <c r="N158" s="9" t="s">
        <v>22</v>
      </c>
      <c r="O158" s="1" t="s">
        <v>5396</v>
      </c>
      <c r="P158" s="20" t="s">
        <v>221</v>
      </c>
      <c r="Q158" s="20" t="s">
        <v>24</v>
      </c>
      <c r="R158" s="20" t="s">
        <v>7</v>
      </c>
      <c r="S158" s="20" t="s">
        <v>7</v>
      </c>
      <c r="T158" s="20" t="s">
        <v>176</v>
      </c>
      <c r="U158" s="20"/>
    </row>
    <row r="159" spans="1:21" ht="51">
      <c r="A159" s="2" t="s">
        <v>180</v>
      </c>
      <c r="B159" s="2" t="s">
        <v>181</v>
      </c>
      <c r="C159" s="2"/>
      <c r="D159" s="34" t="s">
        <v>218</v>
      </c>
      <c r="E159" s="78" t="s">
        <v>3</v>
      </c>
      <c r="F159" s="102" t="s">
        <v>5352</v>
      </c>
      <c r="G159" s="102" t="s">
        <v>5392</v>
      </c>
      <c r="H159" s="102" t="s">
        <v>35</v>
      </c>
      <c r="I159" s="103"/>
      <c r="J159" s="103"/>
      <c r="K159" s="102" t="s">
        <v>5420</v>
      </c>
      <c r="L159" s="2" t="s">
        <v>219</v>
      </c>
      <c r="M159" s="10" t="s">
        <v>220</v>
      </c>
      <c r="N159" s="9" t="s">
        <v>22</v>
      </c>
      <c r="O159" s="16" t="s">
        <v>5396</v>
      </c>
      <c r="P159" s="2" t="s">
        <v>221</v>
      </c>
      <c r="Q159" s="2" t="s">
        <v>24</v>
      </c>
      <c r="R159" s="2" t="s">
        <v>7</v>
      </c>
      <c r="S159" s="2" t="s">
        <v>7</v>
      </c>
      <c r="T159" s="2" t="s">
        <v>7</v>
      </c>
      <c r="U159" s="2"/>
    </row>
    <row r="160" spans="1:21" customFormat="1" ht="51">
      <c r="A160" s="2" t="s">
        <v>180</v>
      </c>
      <c r="B160" s="2" t="s">
        <v>181</v>
      </c>
      <c r="C160" s="2"/>
      <c r="D160" s="30" t="s">
        <v>624</v>
      </c>
      <c r="E160" s="78" t="s">
        <v>3</v>
      </c>
      <c r="F160" s="102" t="s">
        <v>5352</v>
      </c>
      <c r="G160" s="102" t="s">
        <v>5392</v>
      </c>
      <c r="H160" s="102" t="s">
        <v>35</v>
      </c>
      <c r="I160" s="103"/>
      <c r="J160" s="103"/>
      <c r="K160" s="103">
        <v>4</v>
      </c>
      <c r="L160" s="20" t="s">
        <v>625</v>
      </c>
      <c r="M160" s="26" t="s">
        <v>626</v>
      </c>
      <c r="N160" s="9" t="s">
        <v>22</v>
      </c>
      <c r="O160" s="20" t="s">
        <v>5322</v>
      </c>
      <c r="P160" s="20" t="s">
        <v>4</v>
      </c>
      <c r="Q160" s="20"/>
      <c r="R160" s="20" t="s">
        <v>176</v>
      </c>
      <c r="S160" s="20" t="s">
        <v>7</v>
      </c>
      <c r="T160" s="20" t="s">
        <v>176</v>
      </c>
      <c r="U160" s="20"/>
    </row>
    <row r="161" spans="1:21" customFormat="1" ht="51">
      <c r="A161" s="2" t="s">
        <v>180</v>
      </c>
      <c r="B161" s="2" t="s">
        <v>181</v>
      </c>
      <c r="C161" s="2"/>
      <c r="D161" s="30" t="s">
        <v>655</v>
      </c>
      <c r="E161" s="78" t="s">
        <v>3</v>
      </c>
      <c r="F161" s="102" t="s">
        <v>5352</v>
      </c>
      <c r="G161" s="102" t="s">
        <v>5392</v>
      </c>
      <c r="H161" s="102" t="s">
        <v>35</v>
      </c>
      <c r="I161" s="103"/>
      <c r="J161" s="103"/>
      <c r="K161" s="103">
        <v>4</v>
      </c>
      <c r="L161" s="20" t="s">
        <v>656</v>
      </c>
      <c r="M161" s="26" t="s">
        <v>657</v>
      </c>
      <c r="N161" s="9" t="s">
        <v>22</v>
      </c>
      <c r="O161" s="20" t="s">
        <v>5322</v>
      </c>
      <c r="P161" s="20" t="s">
        <v>4</v>
      </c>
      <c r="Q161" s="20"/>
      <c r="R161" s="20" t="s">
        <v>176</v>
      </c>
      <c r="S161" s="20" t="s">
        <v>7</v>
      </c>
      <c r="T161" s="20" t="s">
        <v>176</v>
      </c>
      <c r="U161" s="20"/>
    </row>
    <row r="162" spans="1:21" ht="38.25">
      <c r="A162" s="2" t="s">
        <v>180</v>
      </c>
      <c r="B162" s="2" t="s">
        <v>181</v>
      </c>
      <c r="C162" s="2"/>
      <c r="D162" s="30" t="s">
        <v>436</v>
      </c>
      <c r="E162" s="78" t="s">
        <v>3</v>
      </c>
      <c r="F162" s="102" t="s">
        <v>5352</v>
      </c>
      <c r="G162" s="102" t="s">
        <v>5392</v>
      </c>
      <c r="H162" s="102" t="s">
        <v>35</v>
      </c>
      <c r="I162" s="103"/>
      <c r="J162" s="103"/>
      <c r="K162" s="103">
        <v>4</v>
      </c>
      <c r="L162" s="2" t="s">
        <v>438</v>
      </c>
      <c r="M162" s="10" t="s">
        <v>439</v>
      </c>
      <c r="N162" s="9" t="s">
        <v>22</v>
      </c>
      <c r="O162" s="2" t="s">
        <v>5322</v>
      </c>
      <c r="P162" s="2" t="s">
        <v>4</v>
      </c>
      <c r="Q162" s="2"/>
      <c r="R162" s="2" t="s">
        <v>7</v>
      </c>
      <c r="S162" s="2" t="s">
        <v>7</v>
      </c>
      <c r="T162" s="2" t="s">
        <v>7</v>
      </c>
      <c r="U162" s="2"/>
    </row>
    <row r="163" spans="1:21" ht="38.25">
      <c r="A163" s="2" t="s">
        <v>180</v>
      </c>
      <c r="B163" s="2" t="s">
        <v>181</v>
      </c>
      <c r="C163" s="2"/>
      <c r="D163" s="37" t="s">
        <v>242</v>
      </c>
      <c r="E163" s="44" t="s">
        <v>77</v>
      </c>
      <c r="F163" s="9" t="s">
        <v>78</v>
      </c>
      <c r="G163" s="104"/>
      <c r="H163" s="104"/>
      <c r="I163" s="104"/>
      <c r="J163" s="104"/>
      <c r="K163" s="104">
        <v>2</v>
      </c>
      <c r="L163" s="16" t="s">
        <v>5642</v>
      </c>
      <c r="M163" s="76" t="s">
        <v>5643</v>
      </c>
      <c r="N163" s="9" t="s">
        <v>22</v>
      </c>
      <c r="O163" s="2" t="s">
        <v>81</v>
      </c>
      <c r="P163" s="2" t="s">
        <v>4</v>
      </c>
      <c r="Q163" s="2" t="s">
        <v>24</v>
      </c>
      <c r="R163" s="2" t="s">
        <v>7</v>
      </c>
      <c r="S163" s="2" t="s">
        <v>7</v>
      </c>
      <c r="T163" s="2" t="s">
        <v>7</v>
      </c>
      <c r="U163" s="2"/>
    </row>
    <row r="164" spans="1:21" ht="38.25">
      <c r="A164" s="2" t="s">
        <v>16</v>
      </c>
      <c r="B164" s="70" t="s">
        <v>33</v>
      </c>
      <c r="C164" s="73" t="s">
        <v>5515</v>
      </c>
      <c r="D164" s="10" t="s">
        <v>537</v>
      </c>
      <c r="E164" s="5" t="s">
        <v>77</v>
      </c>
      <c r="F164" s="5" t="s">
        <v>78</v>
      </c>
      <c r="G164" s="103"/>
      <c r="H164" s="103"/>
      <c r="I164" s="103"/>
      <c r="J164" s="103"/>
      <c r="K164" s="103">
        <v>1</v>
      </c>
      <c r="L164" s="16" t="s">
        <v>5644</v>
      </c>
      <c r="M164" s="76" t="s">
        <v>5645</v>
      </c>
      <c r="N164" s="9" t="s">
        <v>22</v>
      </c>
      <c r="O164" s="2" t="s">
        <v>81</v>
      </c>
      <c r="P164" s="2" t="s">
        <v>4</v>
      </c>
      <c r="Q164" s="2"/>
      <c r="R164" s="2" t="s">
        <v>176</v>
      </c>
      <c r="S164" s="2" t="s">
        <v>176</v>
      </c>
      <c r="T164" s="2" t="s">
        <v>7</v>
      </c>
      <c r="U164" s="2" t="s">
        <v>87</v>
      </c>
    </row>
    <row r="165" spans="1:21" customFormat="1" ht="51">
      <c r="A165" s="2" t="s">
        <v>180</v>
      </c>
      <c r="B165" s="2" t="s">
        <v>181</v>
      </c>
      <c r="C165" s="2"/>
      <c r="D165" s="30" t="s">
        <v>449</v>
      </c>
      <c r="E165" s="78" t="s">
        <v>3</v>
      </c>
      <c r="F165" s="102" t="s">
        <v>5352</v>
      </c>
      <c r="G165" s="102" t="s">
        <v>5392</v>
      </c>
      <c r="H165" s="102" t="s">
        <v>5421</v>
      </c>
      <c r="I165" s="103"/>
      <c r="J165" s="103"/>
      <c r="K165" s="103">
        <v>4</v>
      </c>
      <c r="L165" s="20" t="s">
        <v>450</v>
      </c>
      <c r="M165" s="26" t="s">
        <v>451</v>
      </c>
      <c r="N165" s="9" t="s">
        <v>22</v>
      </c>
      <c r="O165" s="20" t="s">
        <v>5322</v>
      </c>
      <c r="P165" s="20" t="s">
        <v>4</v>
      </c>
      <c r="Q165" s="20"/>
      <c r="R165" s="20" t="s">
        <v>7</v>
      </c>
      <c r="S165" s="20" t="s">
        <v>7</v>
      </c>
      <c r="T165" s="20" t="s">
        <v>176</v>
      </c>
      <c r="U165" s="20"/>
    </row>
    <row r="166" spans="1:21" ht="38.25">
      <c r="A166" s="2" t="s">
        <v>180</v>
      </c>
      <c r="B166" s="2" t="s">
        <v>181</v>
      </c>
      <c r="C166" s="2"/>
      <c r="D166" s="30" t="s">
        <v>358</v>
      </c>
      <c r="E166" s="78" t="s">
        <v>3</v>
      </c>
      <c r="F166" s="102" t="s">
        <v>5352</v>
      </c>
      <c r="G166" s="102" t="s">
        <v>5392</v>
      </c>
      <c r="H166" s="102" t="s">
        <v>35</v>
      </c>
      <c r="I166" s="103"/>
      <c r="J166" s="103"/>
      <c r="K166" s="103">
        <v>4</v>
      </c>
      <c r="L166" s="2" t="s">
        <v>359</v>
      </c>
      <c r="M166" s="10" t="s">
        <v>360</v>
      </c>
      <c r="N166" s="9" t="s">
        <v>22</v>
      </c>
      <c r="O166" s="2" t="s">
        <v>5322</v>
      </c>
      <c r="P166" s="2" t="s">
        <v>260</v>
      </c>
      <c r="Q166" s="2"/>
      <c r="R166" s="2" t="s">
        <v>7</v>
      </c>
      <c r="S166" s="2" t="s">
        <v>7</v>
      </c>
      <c r="T166" s="2" t="s">
        <v>7</v>
      </c>
      <c r="U166" s="2"/>
    </row>
    <row r="167" spans="1:21" ht="51">
      <c r="A167" s="2" t="s">
        <v>180</v>
      </c>
      <c r="B167" s="2" t="s">
        <v>181</v>
      </c>
      <c r="C167" s="2"/>
      <c r="D167" s="30" t="s">
        <v>323</v>
      </c>
      <c r="E167" s="78" t="s">
        <v>3</v>
      </c>
      <c r="F167" s="102" t="s">
        <v>35</v>
      </c>
      <c r="G167" s="102" t="s">
        <v>5352</v>
      </c>
      <c r="H167" s="102" t="s">
        <v>8</v>
      </c>
      <c r="I167" s="103"/>
      <c r="J167" s="103"/>
      <c r="K167" s="103">
        <v>4</v>
      </c>
      <c r="L167" s="2" t="s">
        <v>324</v>
      </c>
      <c r="M167" s="10" t="s">
        <v>325</v>
      </c>
      <c r="N167" s="9" t="s">
        <v>22</v>
      </c>
      <c r="O167" s="2" t="s">
        <v>5322</v>
      </c>
      <c r="P167" s="2" t="s">
        <v>4</v>
      </c>
      <c r="Q167" s="2"/>
      <c r="R167" s="2" t="s">
        <v>7</v>
      </c>
      <c r="S167" s="2" t="s">
        <v>7</v>
      </c>
      <c r="T167" s="2" t="s">
        <v>7</v>
      </c>
      <c r="U167" s="2"/>
    </row>
    <row r="168" spans="1:21" ht="25.5">
      <c r="A168" s="2" t="s">
        <v>180</v>
      </c>
      <c r="B168" s="2" t="s">
        <v>181</v>
      </c>
      <c r="C168" s="2"/>
      <c r="D168" s="10" t="s">
        <v>212</v>
      </c>
      <c r="E168" s="5" t="s">
        <v>77</v>
      </c>
      <c r="F168" s="5" t="s">
        <v>78</v>
      </c>
      <c r="G168" s="103"/>
      <c r="H168" s="103"/>
      <c r="I168" s="103"/>
      <c r="J168" s="103"/>
      <c r="K168" s="103">
        <v>1</v>
      </c>
      <c r="L168" s="16" t="s">
        <v>5646</v>
      </c>
      <c r="M168" s="76" t="s">
        <v>5647</v>
      </c>
      <c r="N168" s="9" t="s">
        <v>22</v>
      </c>
      <c r="O168" s="2" t="s">
        <v>81</v>
      </c>
      <c r="P168" s="2" t="s">
        <v>4</v>
      </c>
      <c r="Q168" s="2" t="s">
        <v>24</v>
      </c>
      <c r="R168" s="2" t="s">
        <v>7</v>
      </c>
      <c r="S168" s="2" t="s">
        <v>7</v>
      </c>
      <c r="T168" s="2" t="s">
        <v>7</v>
      </c>
      <c r="U168" s="2"/>
    </row>
    <row r="169" spans="1:21" customFormat="1" ht="38.25">
      <c r="A169" s="2" t="s">
        <v>180</v>
      </c>
      <c r="B169" s="2" t="s">
        <v>181</v>
      </c>
      <c r="C169" s="2"/>
      <c r="D169" s="30" t="s">
        <v>341</v>
      </c>
      <c r="E169" s="78" t="s">
        <v>3</v>
      </c>
      <c r="F169" s="102" t="s">
        <v>35</v>
      </c>
      <c r="G169" s="102" t="s">
        <v>5352</v>
      </c>
      <c r="H169" s="102" t="s">
        <v>8</v>
      </c>
      <c r="I169" s="103"/>
      <c r="J169" s="103"/>
      <c r="K169" s="103">
        <v>1</v>
      </c>
      <c r="L169" s="20" t="s">
        <v>342</v>
      </c>
      <c r="M169" s="26" t="s">
        <v>343</v>
      </c>
      <c r="N169" s="9" t="s">
        <v>22</v>
      </c>
      <c r="O169" s="20" t="s">
        <v>5322</v>
      </c>
      <c r="P169" s="20" t="s">
        <v>260</v>
      </c>
      <c r="Q169" s="20"/>
      <c r="R169" s="20" t="s">
        <v>7</v>
      </c>
      <c r="S169" s="20" t="s">
        <v>7</v>
      </c>
      <c r="T169" s="20" t="s">
        <v>176</v>
      </c>
      <c r="U169" s="20"/>
    </row>
    <row r="170" spans="1:21" customFormat="1" ht="38.25">
      <c r="A170" s="2" t="s">
        <v>180</v>
      </c>
      <c r="B170" s="2" t="s">
        <v>181</v>
      </c>
      <c r="C170" s="2"/>
      <c r="D170" s="30" t="s">
        <v>273</v>
      </c>
      <c r="E170" s="78" t="s">
        <v>5413</v>
      </c>
      <c r="F170" s="102" t="s">
        <v>35</v>
      </c>
      <c r="G170" s="102" t="s">
        <v>5352</v>
      </c>
      <c r="H170" s="102" t="s">
        <v>8</v>
      </c>
      <c r="I170" s="103"/>
      <c r="J170" s="103"/>
      <c r="K170" s="103">
        <v>1</v>
      </c>
      <c r="L170" s="20" t="s">
        <v>274</v>
      </c>
      <c r="M170" s="26" t="s">
        <v>275</v>
      </c>
      <c r="N170" s="9" t="s">
        <v>22</v>
      </c>
      <c r="O170" s="20" t="s">
        <v>5322</v>
      </c>
      <c r="P170" s="20" t="s">
        <v>4</v>
      </c>
      <c r="Q170" s="20" t="s">
        <v>24</v>
      </c>
      <c r="R170" s="20" t="s">
        <v>7</v>
      </c>
      <c r="S170" s="20" t="s">
        <v>7</v>
      </c>
      <c r="T170" s="20" t="s">
        <v>176</v>
      </c>
      <c r="U170" s="20"/>
    </row>
    <row r="171" spans="1:21" ht="38.25">
      <c r="A171" s="2" t="s">
        <v>180</v>
      </c>
      <c r="B171" s="2" t="s">
        <v>181</v>
      </c>
      <c r="C171" s="2"/>
      <c r="D171" s="30" t="s">
        <v>256</v>
      </c>
      <c r="E171" s="118" t="s">
        <v>3</v>
      </c>
      <c r="F171" s="119" t="s">
        <v>35</v>
      </c>
      <c r="G171" s="119" t="s">
        <v>5352</v>
      </c>
      <c r="H171" s="119" t="s">
        <v>8</v>
      </c>
      <c r="I171" s="101"/>
      <c r="J171" s="101"/>
      <c r="K171" s="101">
        <v>1</v>
      </c>
      <c r="L171" s="2" t="s">
        <v>258</v>
      </c>
      <c r="M171" s="10" t="s">
        <v>259</v>
      </c>
      <c r="N171" s="9" t="s">
        <v>22</v>
      </c>
      <c r="O171" s="2" t="s">
        <v>5322</v>
      </c>
      <c r="P171" s="2" t="s">
        <v>260</v>
      </c>
      <c r="Q171" s="2" t="s">
        <v>24</v>
      </c>
      <c r="R171" s="2" t="s">
        <v>7</v>
      </c>
      <c r="S171" s="2" t="s">
        <v>7</v>
      </c>
      <c r="T171" s="2" t="s">
        <v>7</v>
      </c>
      <c r="U171" s="2"/>
    </row>
    <row r="172" spans="1:21" ht="25.5">
      <c r="A172" s="2" t="s">
        <v>180</v>
      </c>
      <c r="B172" s="2" t="s">
        <v>181</v>
      </c>
      <c r="C172" s="2"/>
      <c r="D172" s="10" t="s">
        <v>308</v>
      </c>
      <c r="E172" s="5" t="s">
        <v>77</v>
      </c>
      <c r="F172" s="5" t="s">
        <v>78</v>
      </c>
      <c r="G172" s="103"/>
      <c r="H172" s="103"/>
      <c r="I172" s="103"/>
      <c r="J172" s="103"/>
      <c r="K172" s="103">
        <v>1</v>
      </c>
      <c r="L172" s="16" t="s">
        <v>5648</v>
      </c>
      <c r="M172" s="76" t="s">
        <v>5649</v>
      </c>
      <c r="N172" s="9" t="s">
        <v>22</v>
      </c>
      <c r="O172" s="2" t="s">
        <v>81</v>
      </c>
      <c r="P172" s="2" t="s">
        <v>4</v>
      </c>
      <c r="Q172" s="2"/>
      <c r="R172" s="2" t="s">
        <v>7</v>
      </c>
      <c r="S172" s="2" t="s">
        <v>7</v>
      </c>
      <c r="T172" s="2" t="s">
        <v>7</v>
      </c>
      <c r="U172" s="2"/>
    </row>
    <row r="173" spans="1:21" ht="25.5">
      <c r="A173" s="2" t="s">
        <v>180</v>
      </c>
      <c r="B173" s="2" t="s">
        <v>181</v>
      </c>
      <c r="C173" s="2"/>
      <c r="D173" s="10" t="s">
        <v>286</v>
      </c>
      <c r="E173" s="3" t="s">
        <v>77</v>
      </c>
      <c r="F173" s="72" t="s">
        <v>78</v>
      </c>
      <c r="G173" s="72"/>
      <c r="H173" s="72"/>
      <c r="I173" s="72"/>
      <c r="J173" s="72"/>
      <c r="K173" s="72">
        <v>1</v>
      </c>
      <c r="L173" s="16" t="s">
        <v>5650</v>
      </c>
      <c r="M173" s="76" t="s">
        <v>5651</v>
      </c>
      <c r="N173" s="9" t="s">
        <v>22</v>
      </c>
      <c r="O173" s="2" t="s">
        <v>81</v>
      </c>
      <c r="P173" s="2" t="s">
        <v>260</v>
      </c>
      <c r="Q173" s="2" t="s">
        <v>24</v>
      </c>
      <c r="R173" s="2" t="s">
        <v>7</v>
      </c>
      <c r="S173" s="2" t="s">
        <v>7</v>
      </c>
      <c r="T173" s="2" t="s">
        <v>7</v>
      </c>
      <c r="U173" s="2"/>
    </row>
    <row r="174" spans="1:21" ht="76.5">
      <c r="A174" s="2" t="s">
        <v>180</v>
      </c>
      <c r="B174" s="2" t="s">
        <v>181</v>
      </c>
      <c r="C174" s="2"/>
      <c r="D174" s="30" t="s">
        <v>621</v>
      </c>
      <c r="E174" s="118" t="s">
        <v>3</v>
      </c>
      <c r="F174" s="119" t="s">
        <v>5421</v>
      </c>
      <c r="G174" s="119" t="s">
        <v>5352</v>
      </c>
      <c r="H174" s="119" t="s">
        <v>8</v>
      </c>
      <c r="I174" s="101"/>
      <c r="J174" s="101"/>
      <c r="K174" s="101">
        <v>2</v>
      </c>
      <c r="L174" s="2" t="s">
        <v>622</v>
      </c>
      <c r="M174" s="10" t="s">
        <v>623</v>
      </c>
      <c r="N174" s="9" t="s">
        <v>22</v>
      </c>
      <c r="O174" s="2" t="s">
        <v>5322</v>
      </c>
      <c r="P174" s="2" t="s">
        <v>260</v>
      </c>
      <c r="Q174" s="2"/>
      <c r="R174" s="2" t="s">
        <v>176</v>
      </c>
      <c r="S174" s="2" t="s">
        <v>7</v>
      </c>
      <c r="T174" s="2" t="s">
        <v>7</v>
      </c>
      <c r="U174" s="2"/>
    </row>
    <row r="175" spans="1:21" customFormat="1" ht="51">
      <c r="A175" s="2" t="s">
        <v>180</v>
      </c>
      <c r="B175" s="2" t="s">
        <v>181</v>
      </c>
      <c r="C175" s="2"/>
      <c r="D175" s="30" t="s">
        <v>665</v>
      </c>
      <c r="E175" s="78" t="s">
        <v>5411</v>
      </c>
      <c r="F175" s="102" t="s">
        <v>35</v>
      </c>
      <c r="G175" s="102" t="s">
        <v>5352</v>
      </c>
      <c r="H175" s="102" t="s">
        <v>5392</v>
      </c>
      <c r="I175" s="103"/>
      <c r="J175" s="103"/>
      <c r="K175" s="103">
        <v>2</v>
      </c>
      <c r="L175" s="20" t="s">
        <v>666</v>
      </c>
      <c r="M175" s="26" t="s">
        <v>667</v>
      </c>
      <c r="N175" s="9" t="s">
        <v>22</v>
      </c>
      <c r="O175" s="20" t="s">
        <v>5322</v>
      </c>
      <c r="P175" s="20" t="s">
        <v>4</v>
      </c>
      <c r="Q175" s="20"/>
      <c r="R175" s="20" t="s">
        <v>176</v>
      </c>
      <c r="S175" s="20" t="s">
        <v>22</v>
      </c>
      <c r="T175" s="20" t="s">
        <v>176</v>
      </c>
      <c r="U175" s="20"/>
    </row>
    <row r="176" spans="1:21" ht="38.25">
      <c r="A176" s="2" t="s">
        <v>180</v>
      </c>
      <c r="B176" s="2" t="s">
        <v>181</v>
      </c>
      <c r="C176" s="2"/>
      <c r="D176" s="30" t="s">
        <v>662</v>
      </c>
      <c r="E176" s="78" t="s">
        <v>8</v>
      </c>
      <c r="F176" s="102" t="s">
        <v>35</v>
      </c>
      <c r="G176" s="102" t="s">
        <v>5352</v>
      </c>
      <c r="H176" s="102" t="s">
        <v>5392</v>
      </c>
      <c r="I176" s="103"/>
      <c r="J176" s="103"/>
      <c r="K176" s="103">
        <v>1</v>
      </c>
      <c r="L176" s="2" t="s">
        <v>663</v>
      </c>
      <c r="M176" s="10" t="s">
        <v>664</v>
      </c>
      <c r="N176" s="9" t="s">
        <v>22</v>
      </c>
      <c r="O176" s="2" t="s">
        <v>5322</v>
      </c>
      <c r="P176" s="2" t="s">
        <v>4</v>
      </c>
      <c r="Q176" s="2"/>
      <c r="R176" s="2" t="s">
        <v>176</v>
      </c>
      <c r="S176" s="2" t="s">
        <v>176</v>
      </c>
      <c r="T176" s="2" t="s">
        <v>7</v>
      </c>
      <c r="U176" s="2"/>
    </row>
    <row r="177" spans="1:21" ht="38.25">
      <c r="A177" s="2" t="s">
        <v>180</v>
      </c>
      <c r="B177" s="2" t="s">
        <v>181</v>
      </c>
      <c r="C177" s="2"/>
      <c r="D177" s="10" t="s">
        <v>453</v>
      </c>
      <c r="E177" s="5" t="s">
        <v>77</v>
      </c>
      <c r="F177" s="5" t="s">
        <v>78</v>
      </c>
      <c r="G177" s="103"/>
      <c r="H177" s="103"/>
      <c r="I177" s="103"/>
      <c r="J177" s="103"/>
      <c r="K177" s="103">
        <v>1</v>
      </c>
      <c r="L177" s="16" t="s">
        <v>5652</v>
      </c>
      <c r="M177" s="76" t="s">
        <v>5653</v>
      </c>
      <c r="N177" s="9" t="s">
        <v>22</v>
      </c>
      <c r="O177" s="2" t="s">
        <v>81</v>
      </c>
      <c r="P177" s="2" t="s">
        <v>4</v>
      </c>
      <c r="Q177" s="2"/>
      <c r="R177" s="2" t="s">
        <v>7</v>
      </c>
      <c r="S177" s="2" t="s">
        <v>7</v>
      </c>
      <c r="T177" s="2" t="s">
        <v>7</v>
      </c>
      <c r="U177" s="2"/>
    </row>
    <row r="178" spans="1:21" ht="51">
      <c r="A178" s="2" t="s">
        <v>180</v>
      </c>
      <c r="B178" s="2" t="s">
        <v>181</v>
      </c>
      <c r="C178" s="2"/>
      <c r="D178" s="10" t="s">
        <v>371</v>
      </c>
      <c r="E178" s="78" t="s">
        <v>3</v>
      </c>
      <c r="F178" s="102" t="s">
        <v>35</v>
      </c>
      <c r="G178" s="102" t="s">
        <v>5415</v>
      </c>
      <c r="H178" s="102" t="s">
        <v>5392</v>
      </c>
      <c r="I178" s="103"/>
      <c r="J178" s="103"/>
      <c r="K178" s="103">
        <v>3</v>
      </c>
      <c r="L178" s="2" t="s">
        <v>372</v>
      </c>
      <c r="M178" s="10" t="s">
        <v>373</v>
      </c>
      <c r="N178" s="9" t="s">
        <v>22</v>
      </c>
      <c r="O178" s="2" t="s">
        <v>5322</v>
      </c>
      <c r="P178" s="2" t="s">
        <v>4</v>
      </c>
      <c r="Q178" s="2"/>
      <c r="R178" s="2" t="s">
        <v>7</v>
      </c>
      <c r="S178" s="2" t="s">
        <v>7</v>
      </c>
      <c r="T178" s="2" t="s">
        <v>7</v>
      </c>
      <c r="U178" s="2"/>
    </row>
    <row r="179" spans="1:21" ht="25.5">
      <c r="A179" s="2" t="s">
        <v>180</v>
      </c>
      <c r="B179" s="2" t="s">
        <v>181</v>
      </c>
      <c r="C179" s="2"/>
      <c r="D179" s="10" t="s">
        <v>432</v>
      </c>
      <c r="E179" s="5" t="s">
        <v>77</v>
      </c>
      <c r="F179" s="5" t="s">
        <v>78</v>
      </c>
      <c r="G179" s="103"/>
      <c r="H179" s="103"/>
      <c r="I179" s="103"/>
      <c r="J179" s="103"/>
      <c r="K179" s="103">
        <v>1</v>
      </c>
      <c r="L179" s="16" t="s">
        <v>5654</v>
      </c>
      <c r="M179" s="76" t="s">
        <v>5655</v>
      </c>
      <c r="N179" s="9" t="s">
        <v>22</v>
      </c>
      <c r="O179" s="2" t="s">
        <v>81</v>
      </c>
      <c r="P179" s="2" t="s">
        <v>4</v>
      </c>
      <c r="Q179" s="2"/>
      <c r="R179" s="2" t="s">
        <v>7</v>
      </c>
      <c r="S179" s="2" t="s">
        <v>7</v>
      </c>
      <c r="T179" s="2" t="s">
        <v>7</v>
      </c>
      <c r="U179" s="2"/>
    </row>
    <row r="180" spans="1:21" ht="38.25">
      <c r="A180" s="2" t="s">
        <v>180</v>
      </c>
      <c r="B180" s="2" t="s">
        <v>181</v>
      </c>
      <c r="C180" s="2"/>
      <c r="D180" s="30" t="s">
        <v>236</v>
      </c>
      <c r="E180" s="118" t="s">
        <v>3</v>
      </c>
      <c r="F180" s="119" t="s">
        <v>35</v>
      </c>
      <c r="G180" s="119" t="s">
        <v>5352</v>
      </c>
      <c r="H180" s="119" t="s">
        <v>8</v>
      </c>
      <c r="I180" s="101"/>
      <c r="J180" s="101"/>
      <c r="K180" s="101">
        <v>3</v>
      </c>
      <c r="L180" s="2" t="s">
        <v>237</v>
      </c>
      <c r="M180" s="10" t="s">
        <v>238</v>
      </c>
      <c r="N180" s="9" t="s">
        <v>22</v>
      </c>
      <c r="O180" s="2" t="s">
        <v>5322</v>
      </c>
      <c r="P180" s="2" t="s">
        <v>239</v>
      </c>
      <c r="Q180" s="2" t="s">
        <v>24</v>
      </c>
      <c r="R180" s="2" t="s">
        <v>7</v>
      </c>
      <c r="S180" s="2" t="s">
        <v>7</v>
      </c>
      <c r="T180" s="2" t="s">
        <v>7</v>
      </c>
      <c r="U180" s="2"/>
    </row>
    <row r="181" spans="1:21" ht="51">
      <c r="A181" s="2" t="s">
        <v>180</v>
      </c>
      <c r="B181" s="2" t="s">
        <v>181</v>
      </c>
      <c r="C181" s="2"/>
      <c r="D181" s="30" t="s">
        <v>628</v>
      </c>
      <c r="E181" s="78" t="s">
        <v>5419</v>
      </c>
      <c r="F181" s="102" t="s">
        <v>5416</v>
      </c>
      <c r="G181" s="102" t="s">
        <v>5352</v>
      </c>
      <c r="H181" s="102" t="s">
        <v>5422</v>
      </c>
      <c r="I181" s="103"/>
      <c r="J181" s="103"/>
      <c r="K181" s="103">
        <v>2</v>
      </c>
      <c r="L181" s="2" t="s">
        <v>629</v>
      </c>
      <c r="M181" s="10" t="s">
        <v>630</v>
      </c>
      <c r="N181" s="9" t="s">
        <v>22</v>
      </c>
      <c r="O181" s="2" t="s">
        <v>5322</v>
      </c>
      <c r="P181" s="2" t="s">
        <v>4</v>
      </c>
      <c r="Q181" s="2"/>
      <c r="R181" s="2" t="s">
        <v>176</v>
      </c>
      <c r="S181" s="2" t="s">
        <v>176</v>
      </c>
      <c r="T181" s="2" t="s">
        <v>7</v>
      </c>
      <c r="U181" s="2"/>
    </row>
    <row r="182" spans="1:21" ht="38.25">
      <c r="A182" s="2" t="s">
        <v>180</v>
      </c>
      <c r="B182" s="2" t="s">
        <v>181</v>
      </c>
      <c r="C182" s="2"/>
      <c r="D182" s="30" t="s">
        <v>280</v>
      </c>
      <c r="E182" s="78" t="s">
        <v>3</v>
      </c>
      <c r="F182" s="102" t="s">
        <v>35</v>
      </c>
      <c r="G182" s="102" t="s">
        <v>5352</v>
      </c>
      <c r="H182" s="102" t="s">
        <v>8</v>
      </c>
      <c r="I182" s="103"/>
      <c r="J182" s="103"/>
      <c r="K182" s="103">
        <v>4</v>
      </c>
      <c r="L182" s="2" t="s">
        <v>281</v>
      </c>
      <c r="M182" s="10" t="s">
        <v>282</v>
      </c>
      <c r="N182" s="9" t="s">
        <v>22</v>
      </c>
      <c r="O182" s="2" t="s">
        <v>5322</v>
      </c>
      <c r="P182" s="2" t="s">
        <v>4</v>
      </c>
      <c r="Q182" s="2" t="s">
        <v>24</v>
      </c>
      <c r="R182" s="2" t="s">
        <v>7</v>
      </c>
      <c r="S182" s="2" t="s">
        <v>7</v>
      </c>
      <c r="T182" s="2" t="s">
        <v>7</v>
      </c>
      <c r="U182" s="2"/>
    </row>
    <row r="183" spans="1:21" ht="25.5">
      <c r="A183" s="2" t="s">
        <v>180</v>
      </c>
      <c r="B183" s="2" t="s">
        <v>181</v>
      </c>
      <c r="C183" s="2"/>
      <c r="D183" s="10" t="s">
        <v>188</v>
      </c>
      <c r="E183" s="5" t="s">
        <v>77</v>
      </c>
      <c r="F183" s="5" t="s">
        <v>78</v>
      </c>
      <c r="G183" s="103"/>
      <c r="H183" s="103"/>
      <c r="I183" s="103"/>
      <c r="J183" s="103"/>
      <c r="K183" s="103">
        <v>1</v>
      </c>
      <c r="L183" s="16" t="s">
        <v>5656</v>
      </c>
      <c r="M183" s="76" t="s">
        <v>5657</v>
      </c>
      <c r="N183" s="9" t="s">
        <v>22</v>
      </c>
      <c r="O183" s="2" t="s">
        <v>81</v>
      </c>
      <c r="P183" s="2" t="s">
        <v>4</v>
      </c>
      <c r="Q183" s="2" t="s">
        <v>24</v>
      </c>
      <c r="R183" s="2" t="s">
        <v>7</v>
      </c>
      <c r="S183" s="2" t="s">
        <v>7</v>
      </c>
      <c r="T183" s="2" t="s">
        <v>7</v>
      </c>
      <c r="U183" s="2"/>
    </row>
    <row r="184" spans="1:21" ht="38.25">
      <c r="A184" s="2" t="s">
        <v>180</v>
      </c>
      <c r="B184" s="2" t="s">
        <v>181</v>
      </c>
      <c r="C184" s="2"/>
      <c r="D184" s="30" t="s">
        <v>415</v>
      </c>
      <c r="E184" s="78" t="s">
        <v>3</v>
      </c>
      <c r="F184" s="102" t="s">
        <v>35</v>
      </c>
      <c r="G184" s="102" t="s">
        <v>5352</v>
      </c>
      <c r="H184" s="102" t="s">
        <v>8</v>
      </c>
      <c r="I184" s="103"/>
      <c r="J184" s="103"/>
      <c r="K184" s="103">
        <v>4</v>
      </c>
      <c r="L184" s="2" t="s">
        <v>417</v>
      </c>
      <c r="M184" s="10" t="s">
        <v>418</v>
      </c>
      <c r="N184" s="9" t="s">
        <v>22</v>
      </c>
      <c r="O184" s="2" t="s">
        <v>5322</v>
      </c>
      <c r="P184" s="2" t="s">
        <v>4</v>
      </c>
      <c r="Q184" s="2"/>
      <c r="R184" s="2" t="s">
        <v>7</v>
      </c>
      <c r="S184" s="2" t="s">
        <v>7</v>
      </c>
      <c r="T184" s="2" t="s">
        <v>7</v>
      </c>
      <c r="U184" s="2"/>
    </row>
    <row r="185" spans="1:21" ht="38.25">
      <c r="A185" s="2" t="s">
        <v>180</v>
      </c>
      <c r="B185" s="2" t="s">
        <v>181</v>
      </c>
      <c r="C185" s="2"/>
      <c r="D185" s="33" t="s">
        <v>276</v>
      </c>
      <c r="E185" s="2" t="s">
        <v>77</v>
      </c>
      <c r="F185" s="18" t="s">
        <v>78</v>
      </c>
      <c r="G185" s="104"/>
      <c r="H185" s="104"/>
      <c r="I185" s="104"/>
      <c r="J185" s="104"/>
      <c r="K185" s="104">
        <v>2</v>
      </c>
      <c r="L185" s="16" t="s">
        <v>5658</v>
      </c>
      <c r="M185" s="76" t="s">
        <v>5659</v>
      </c>
      <c r="N185" s="9" t="s">
        <v>22</v>
      </c>
      <c r="O185" s="2" t="s">
        <v>81</v>
      </c>
      <c r="P185" s="2" t="s">
        <v>260</v>
      </c>
      <c r="Q185" s="2" t="s">
        <v>24</v>
      </c>
      <c r="R185" s="2" t="s">
        <v>7</v>
      </c>
      <c r="S185" s="2" t="s">
        <v>7</v>
      </c>
      <c r="T185" s="2" t="s">
        <v>7</v>
      </c>
      <c r="U185" s="2"/>
    </row>
    <row r="186" spans="1:21" customFormat="1" ht="63.75">
      <c r="A186" s="2" t="s">
        <v>180</v>
      </c>
      <c r="B186" s="2" t="s">
        <v>181</v>
      </c>
      <c r="C186" s="2"/>
      <c r="D186" s="30" t="s">
        <v>375</v>
      </c>
      <c r="E186" s="78" t="s">
        <v>3</v>
      </c>
      <c r="F186" s="102" t="s">
        <v>5421</v>
      </c>
      <c r="G186" s="102" t="s">
        <v>5352</v>
      </c>
      <c r="H186" s="102" t="s">
        <v>8</v>
      </c>
      <c r="I186" s="103"/>
      <c r="J186" s="103"/>
      <c r="K186" s="103">
        <v>2</v>
      </c>
      <c r="L186" s="20" t="s">
        <v>377</v>
      </c>
      <c r="M186" s="26" t="s">
        <v>378</v>
      </c>
      <c r="N186" s="9" t="s">
        <v>22</v>
      </c>
      <c r="O186" s="20" t="s">
        <v>5322</v>
      </c>
      <c r="P186" s="20" t="s">
        <v>4</v>
      </c>
      <c r="Q186" s="20"/>
      <c r="R186" s="20" t="s">
        <v>7</v>
      </c>
      <c r="S186" s="20" t="s">
        <v>7</v>
      </c>
      <c r="T186" s="20" t="s">
        <v>176</v>
      </c>
      <c r="U186" s="20"/>
    </row>
    <row r="187" spans="1:21" ht="38.25">
      <c r="A187" s="2" t="s">
        <v>180</v>
      </c>
      <c r="B187" s="2" t="s">
        <v>181</v>
      </c>
      <c r="C187" s="2"/>
      <c r="D187" s="30" t="s">
        <v>299</v>
      </c>
      <c r="E187" s="118" t="s">
        <v>3</v>
      </c>
      <c r="F187" s="119" t="s">
        <v>35</v>
      </c>
      <c r="G187" s="119" t="s">
        <v>5415</v>
      </c>
      <c r="H187" s="119" t="s">
        <v>5423</v>
      </c>
      <c r="I187" s="101"/>
      <c r="J187" s="101"/>
      <c r="K187" s="101">
        <v>3</v>
      </c>
      <c r="L187" s="2" t="s">
        <v>300</v>
      </c>
      <c r="M187" s="10" t="s">
        <v>301</v>
      </c>
      <c r="N187" s="9" t="s">
        <v>22</v>
      </c>
      <c r="O187" s="2" t="s">
        <v>5322</v>
      </c>
      <c r="P187" s="2" t="s">
        <v>239</v>
      </c>
      <c r="Q187" s="2" t="s">
        <v>24</v>
      </c>
      <c r="R187" s="2" t="s">
        <v>7</v>
      </c>
      <c r="S187" s="2" t="s">
        <v>7</v>
      </c>
      <c r="T187" s="2" t="s">
        <v>7</v>
      </c>
      <c r="U187" s="2"/>
    </row>
    <row r="188" spans="1:21" ht="51">
      <c r="A188" s="2" t="s">
        <v>180</v>
      </c>
      <c r="B188" s="2" t="s">
        <v>181</v>
      </c>
      <c r="C188" s="2"/>
      <c r="D188" s="10" t="s">
        <v>261</v>
      </c>
      <c r="E188" s="118" t="s">
        <v>3</v>
      </c>
      <c r="F188" s="119" t="s">
        <v>5392</v>
      </c>
      <c r="G188" s="119" t="s">
        <v>5352</v>
      </c>
      <c r="H188" s="119" t="s">
        <v>5424</v>
      </c>
      <c r="I188" s="101"/>
      <c r="J188" s="101"/>
      <c r="K188" s="101">
        <v>3</v>
      </c>
      <c r="L188" s="2" t="s">
        <v>262</v>
      </c>
      <c r="M188" s="10" t="s">
        <v>263</v>
      </c>
      <c r="N188" s="9" t="s">
        <v>22</v>
      </c>
      <c r="O188" s="2" t="s">
        <v>5322</v>
      </c>
      <c r="P188" s="2" t="s">
        <v>239</v>
      </c>
      <c r="Q188" s="2" t="s">
        <v>24</v>
      </c>
      <c r="R188" s="2" t="s">
        <v>7</v>
      </c>
      <c r="S188" s="2" t="s">
        <v>7</v>
      </c>
      <c r="T188" s="2" t="s">
        <v>7</v>
      </c>
      <c r="U188" s="2"/>
    </row>
    <row r="189" spans="1:21" ht="76.5">
      <c r="A189" s="2" t="s">
        <v>180</v>
      </c>
      <c r="B189" s="2" t="s">
        <v>181</v>
      </c>
      <c r="C189" s="2"/>
      <c r="D189" s="34" t="s">
        <v>349</v>
      </c>
      <c r="E189" s="78" t="s">
        <v>3</v>
      </c>
      <c r="F189" s="102" t="s">
        <v>5392</v>
      </c>
      <c r="G189" s="102" t="s">
        <v>5352</v>
      </c>
      <c r="H189" s="102" t="s">
        <v>5424</v>
      </c>
      <c r="I189" s="103"/>
      <c r="J189" s="103"/>
      <c r="K189" s="103">
        <v>3</v>
      </c>
      <c r="L189" s="2" t="s">
        <v>351</v>
      </c>
      <c r="M189" s="10" t="s">
        <v>352</v>
      </c>
      <c r="N189" s="9" t="s">
        <v>22</v>
      </c>
      <c r="O189" s="2" t="s">
        <v>5322</v>
      </c>
      <c r="P189" s="2" t="s">
        <v>4</v>
      </c>
      <c r="Q189" s="2"/>
      <c r="R189" s="2" t="s">
        <v>7</v>
      </c>
      <c r="S189" s="2" t="s">
        <v>7</v>
      </c>
      <c r="T189" s="2" t="s">
        <v>7</v>
      </c>
      <c r="U189" s="2"/>
    </row>
    <row r="190" spans="1:21" ht="25.5">
      <c r="A190" s="83" t="s">
        <v>16</v>
      </c>
      <c r="B190" s="83" t="s">
        <v>17</v>
      </c>
      <c r="C190" s="121" t="s">
        <v>5513</v>
      </c>
      <c r="D190" s="88" t="s">
        <v>575</v>
      </c>
      <c r="E190" s="104" t="s">
        <v>77</v>
      </c>
      <c r="F190" s="9" t="s">
        <v>78</v>
      </c>
      <c r="G190" s="104"/>
      <c r="H190" s="104"/>
      <c r="I190" s="104"/>
      <c r="J190" s="104"/>
      <c r="K190" s="104">
        <v>2</v>
      </c>
      <c r="L190" s="16" t="s">
        <v>5660</v>
      </c>
      <c r="M190" s="123" t="s">
        <v>5661</v>
      </c>
      <c r="N190" s="9" t="s">
        <v>22</v>
      </c>
      <c r="O190" s="2" t="s">
        <v>81</v>
      </c>
      <c r="P190" s="2" t="s">
        <v>4</v>
      </c>
      <c r="Q190" s="2"/>
      <c r="R190" s="2" t="s">
        <v>176</v>
      </c>
      <c r="S190" s="2" t="s">
        <v>176</v>
      </c>
      <c r="T190" s="2" t="s">
        <v>7</v>
      </c>
      <c r="U190" s="2" t="s">
        <v>25</v>
      </c>
    </row>
    <row r="191" spans="1:21" ht="38.25">
      <c r="A191" s="2" t="s">
        <v>180</v>
      </c>
      <c r="B191" s="2" t="s">
        <v>181</v>
      </c>
      <c r="C191" s="2"/>
      <c r="D191" s="10" t="s">
        <v>659</v>
      </c>
      <c r="E191" s="78" t="s">
        <v>3</v>
      </c>
      <c r="F191" s="102" t="s">
        <v>5425</v>
      </c>
      <c r="G191" s="102" t="s">
        <v>5426</v>
      </c>
      <c r="H191" s="102" t="s">
        <v>5352</v>
      </c>
      <c r="I191" s="103"/>
      <c r="J191" s="103"/>
      <c r="K191" s="103">
        <v>2</v>
      </c>
      <c r="L191" s="2" t="s">
        <v>660</v>
      </c>
      <c r="M191" s="10" t="s">
        <v>661</v>
      </c>
      <c r="N191" s="9" t="s">
        <v>22</v>
      </c>
      <c r="O191" s="2" t="s">
        <v>5322</v>
      </c>
      <c r="P191" s="2" t="s">
        <v>4</v>
      </c>
      <c r="Q191" s="2"/>
      <c r="R191" s="2" t="s">
        <v>176</v>
      </c>
      <c r="S191" s="2" t="s">
        <v>176</v>
      </c>
      <c r="T191" s="2" t="s">
        <v>7</v>
      </c>
      <c r="U191" s="2"/>
    </row>
    <row r="192" spans="1:21" ht="51">
      <c r="A192" s="2" t="s">
        <v>180</v>
      </c>
      <c r="B192" s="2" t="s">
        <v>181</v>
      </c>
      <c r="C192" s="2"/>
      <c r="D192" s="10" t="s">
        <v>668</v>
      </c>
      <c r="E192" s="5" t="s">
        <v>77</v>
      </c>
      <c r="F192" s="5" t="s">
        <v>78</v>
      </c>
      <c r="G192" s="103"/>
      <c r="H192" s="103"/>
      <c r="I192" s="103"/>
      <c r="J192" s="103"/>
      <c r="K192" s="103">
        <v>1</v>
      </c>
      <c r="L192" s="16" t="s">
        <v>5662</v>
      </c>
      <c r="M192" s="76" t="s">
        <v>5663</v>
      </c>
      <c r="N192" s="9" t="s">
        <v>22</v>
      </c>
      <c r="O192" s="2" t="s">
        <v>81</v>
      </c>
      <c r="P192" s="2" t="s">
        <v>4</v>
      </c>
      <c r="Q192" s="2"/>
      <c r="R192" s="2" t="s">
        <v>176</v>
      </c>
      <c r="S192" s="2" t="s">
        <v>176</v>
      </c>
      <c r="T192" s="2" t="s">
        <v>7</v>
      </c>
      <c r="U192" s="2"/>
    </row>
    <row r="193" spans="1:21" ht="76.5">
      <c r="A193" s="3" t="s">
        <v>180</v>
      </c>
      <c r="B193" s="2" t="s">
        <v>181</v>
      </c>
      <c r="C193" s="2"/>
      <c r="D193" s="10" t="s">
        <v>679</v>
      </c>
      <c r="E193" s="5" t="s">
        <v>77</v>
      </c>
      <c r="F193" s="5" t="s">
        <v>78</v>
      </c>
      <c r="G193" s="103"/>
      <c r="H193" s="103"/>
      <c r="I193" s="103"/>
      <c r="J193" s="103"/>
      <c r="K193" s="103">
        <v>1</v>
      </c>
      <c r="L193" s="16" t="s">
        <v>5664</v>
      </c>
      <c r="M193" s="76" t="s">
        <v>5665</v>
      </c>
      <c r="N193" s="9" t="s">
        <v>22</v>
      </c>
      <c r="O193" s="2" t="s">
        <v>81</v>
      </c>
      <c r="P193" s="2" t="s">
        <v>4</v>
      </c>
      <c r="Q193" s="2"/>
      <c r="R193" s="3" t="s">
        <v>176</v>
      </c>
      <c r="S193" s="3" t="s">
        <v>176</v>
      </c>
      <c r="T193" s="3" t="s">
        <v>7</v>
      </c>
      <c r="U193" s="2"/>
    </row>
    <row r="194" spans="1:21" ht="229.5">
      <c r="A194" s="2" t="s">
        <v>16</v>
      </c>
      <c r="B194" s="70" t="s">
        <v>33</v>
      </c>
      <c r="C194" s="73" t="s">
        <v>5513</v>
      </c>
      <c r="D194" s="76" t="s">
        <v>5519</v>
      </c>
      <c r="E194" s="78" t="s">
        <v>5499</v>
      </c>
      <c r="F194" s="102" t="s">
        <v>5488</v>
      </c>
      <c r="G194" s="102" t="s">
        <v>5498</v>
      </c>
      <c r="H194" s="102" t="s">
        <v>5489</v>
      </c>
      <c r="I194" s="103"/>
      <c r="J194" s="103"/>
      <c r="K194" s="102" t="s">
        <v>5500</v>
      </c>
      <c r="L194" s="2" t="s">
        <v>59</v>
      </c>
      <c r="M194" s="10" t="s">
        <v>60</v>
      </c>
      <c r="N194" s="9" t="s">
        <v>22</v>
      </c>
      <c r="O194" s="16" t="s">
        <v>132</v>
      </c>
      <c r="P194" s="2" t="s">
        <v>62</v>
      </c>
      <c r="Q194" s="2" t="s">
        <v>24</v>
      </c>
      <c r="R194" s="2" t="s">
        <v>7</v>
      </c>
      <c r="S194" s="2" t="s">
        <v>7</v>
      </c>
      <c r="T194" s="2" t="s">
        <v>7</v>
      </c>
      <c r="U194" s="2" t="s">
        <v>25</v>
      </c>
    </row>
    <row r="195" spans="1:21" ht="89.25">
      <c r="A195" s="2" t="s">
        <v>16</v>
      </c>
      <c r="B195" s="2" t="s">
        <v>33</v>
      </c>
      <c r="C195" s="16" t="s">
        <v>5513</v>
      </c>
      <c r="D195" s="76" t="s">
        <v>5520</v>
      </c>
      <c r="E195" s="112" t="s">
        <v>5490</v>
      </c>
      <c r="F195" s="113" t="s">
        <v>5503</v>
      </c>
      <c r="G195" s="113" t="s">
        <v>5491</v>
      </c>
      <c r="H195" s="113" t="s">
        <v>5502</v>
      </c>
      <c r="I195" s="104"/>
      <c r="J195" s="104"/>
      <c r="K195" s="113" t="s">
        <v>5501</v>
      </c>
      <c r="L195" s="2" t="s">
        <v>147</v>
      </c>
      <c r="M195" s="10" t="s">
        <v>148</v>
      </c>
      <c r="N195" s="9" t="s">
        <v>22</v>
      </c>
      <c r="O195" s="16" t="s">
        <v>132</v>
      </c>
      <c r="P195" s="2" t="s">
        <v>4</v>
      </c>
      <c r="Q195" s="2"/>
      <c r="R195" s="2" t="s">
        <v>7</v>
      </c>
      <c r="S195" s="2" t="s">
        <v>7</v>
      </c>
      <c r="T195" s="2" t="s">
        <v>7</v>
      </c>
      <c r="U195" s="2" t="s">
        <v>25</v>
      </c>
    </row>
    <row r="196" spans="1:21" ht="25.5">
      <c r="A196" s="2" t="s">
        <v>180</v>
      </c>
      <c r="B196" s="2" t="s">
        <v>181</v>
      </c>
      <c r="C196" s="2"/>
      <c r="D196" s="10" t="s">
        <v>618</v>
      </c>
      <c r="E196" s="78" t="s">
        <v>5416</v>
      </c>
      <c r="F196" s="102" t="s">
        <v>2</v>
      </c>
      <c r="G196" s="102" t="s">
        <v>5352</v>
      </c>
      <c r="H196" s="102" t="s">
        <v>8</v>
      </c>
      <c r="I196" s="103"/>
      <c r="J196" s="103"/>
      <c r="K196" s="103">
        <v>1</v>
      </c>
      <c r="L196" s="2" t="s">
        <v>619</v>
      </c>
      <c r="M196" s="10" t="s">
        <v>620</v>
      </c>
      <c r="N196" s="9" t="s">
        <v>22</v>
      </c>
      <c r="O196" s="2" t="s">
        <v>5322</v>
      </c>
      <c r="P196" s="2" t="s">
        <v>4</v>
      </c>
      <c r="Q196" s="2"/>
      <c r="R196" s="2" t="s">
        <v>176</v>
      </c>
      <c r="S196" s="2" t="s">
        <v>7</v>
      </c>
      <c r="T196" s="2" t="s">
        <v>7</v>
      </c>
      <c r="U196" s="2"/>
    </row>
    <row r="197" spans="1:21" ht="216.75">
      <c r="A197" s="2" t="s">
        <v>16</v>
      </c>
      <c r="B197" s="70" t="s">
        <v>17</v>
      </c>
      <c r="C197" s="73" t="s">
        <v>5513</v>
      </c>
      <c r="D197" s="76" t="s">
        <v>5521</v>
      </c>
      <c r="E197" s="78" t="s">
        <v>5492</v>
      </c>
      <c r="F197" s="102" t="s">
        <v>5505</v>
      </c>
      <c r="G197" s="102" t="s">
        <v>5504</v>
      </c>
      <c r="H197" s="102" t="s">
        <v>5493</v>
      </c>
      <c r="I197" s="103"/>
      <c r="J197" s="103"/>
      <c r="K197" s="102" t="s">
        <v>5506</v>
      </c>
      <c r="L197" s="2" t="s">
        <v>120</v>
      </c>
      <c r="M197" s="10" t="s">
        <v>121</v>
      </c>
      <c r="N197" s="9" t="s">
        <v>22</v>
      </c>
      <c r="O197" s="16" t="s">
        <v>132</v>
      </c>
      <c r="P197" s="2" t="s">
        <v>4</v>
      </c>
      <c r="Q197" s="2" t="s">
        <v>24</v>
      </c>
      <c r="R197" s="2" t="s">
        <v>7</v>
      </c>
      <c r="S197" s="2" t="s">
        <v>7</v>
      </c>
      <c r="T197" s="2" t="s">
        <v>7</v>
      </c>
      <c r="U197" s="2" t="s">
        <v>25</v>
      </c>
    </row>
    <row r="198" spans="1:21" ht="38.25">
      <c r="A198" s="2" t="s">
        <v>193</v>
      </c>
      <c r="B198" s="2" t="s">
        <v>198</v>
      </c>
      <c r="C198" s="2"/>
      <c r="D198" s="28" t="s">
        <v>467</v>
      </c>
      <c r="E198" s="78" t="s">
        <v>3</v>
      </c>
      <c r="F198" s="102" t="s">
        <v>35</v>
      </c>
      <c r="G198" s="102" t="s">
        <v>5352</v>
      </c>
      <c r="H198" s="102" t="s">
        <v>5392</v>
      </c>
      <c r="I198" s="103"/>
      <c r="J198" s="103"/>
      <c r="K198" s="103">
        <v>1</v>
      </c>
      <c r="L198" s="2" t="s">
        <v>468</v>
      </c>
      <c r="M198" s="10" t="s">
        <v>469</v>
      </c>
      <c r="N198" s="9" t="s">
        <v>22</v>
      </c>
      <c r="O198" s="2" t="s">
        <v>5322</v>
      </c>
      <c r="P198" s="2" t="s">
        <v>4</v>
      </c>
      <c r="Q198" s="2" t="s">
        <v>24</v>
      </c>
      <c r="R198" s="2" t="s">
        <v>7</v>
      </c>
      <c r="S198" s="2" t="s">
        <v>22</v>
      </c>
      <c r="T198" s="2" t="s">
        <v>22</v>
      </c>
      <c r="U198" s="2"/>
    </row>
    <row r="199" spans="1:21" ht="38.25">
      <c r="A199" s="83" t="s">
        <v>16</v>
      </c>
      <c r="B199" s="84" t="s">
        <v>41</v>
      </c>
      <c r="C199" s="120" t="s">
        <v>5512</v>
      </c>
      <c r="D199" s="89" t="s">
        <v>115</v>
      </c>
      <c r="E199" s="6" t="s">
        <v>5476</v>
      </c>
      <c r="F199" s="109" t="s">
        <v>5477</v>
      </c>
      <c r="G199" s="109" t="s">
        <v>5395</v>
      </c>
      <c r="H199" s="109"/>
      <c r="I199" s="109"/>
      <c r="J199" s="109"/>
      <c r="K199" s="109">
        <v>2</v>
      </c>
      <c r="L199" s="2" t="s">
        <v>116</v>
      </c>
      <c r="M199" s="10" t="s">
        <v>117</v>
      </c>
      <c r="N199" s="9" t="s">
        <v>22</v>
      </c>
      <c r="O199" s="2" t="s">
        <v>5322</v>
      </c>
      <c r="P199" s="2"/>
      <c r="Q199" s="2" t="s">
        <v>24</v>
      </c>
      <c r="R199" s="2" t="s">
        <v>22</v>
      </c>
      <c r="S199" s="2" t="s">
        <v>22</v>
      </c>
      <c r="T199" s="2" t="s">
        <v>22</v>
      </c>
      <c r="U199" s="2" t="s">
        <v>48</v>
      </c>
    </row>
    <row r="200" spans="1:21" ht="38.25">
      <c r="A200" s="83" t="s">
        <v>16</v>
      </c>
      <c r="B200" s="84" t="s">
        <v>41</v>
      </c>
      <c r="C200" s="120" t="s">
        <v>5514</v>
      </c>
      <c r="D200" s="89" t="s">
        <v>588</v>
      </c>
      <c r="E200" s="6" t="s">
        <v>5382</v>
      </c>
      <c r="F200" s="109" t="s">
        <v>5380</v>
      </c>
      <c r="G200" s="109" t="s">
        <v>5381</v>
      </c>
      <c r="H200" s="109"/>
      <c r="I200" s="109"/>
      <c r="J200" s="109"/>
      <c r="K200" s="109">
        <v>2</v>
      </c>
      <c r="L200" s="2" t="s">
        <v>589</v>
      </c>
      <c r="M200" s="10" t="s">
        <v>590</v>
      </c>
      <c r="N200" s="9" t="s">
        <v>22</v>
      </c>
      <c r="O200" s="2" t="s">
        <v>5322</v>
      </c>
      <c r="P200" s="2"/>
      <c r="Q200" s="2"/>
      <c r="R200" s="2" t="s">
        <v>176</v>
      </c>
      <c r="S200" s="2" t="s">
        <v>22</v>
      </c>
      <c r="T200" s="2" t="s">
        <v>22</v>
      </c>
      <c r="U200" s="2" t="s">
        <v>48</v>
      </c>
    </row>
    <row r="201" spans="1:21" ht="76.5">
      <c r="A201" s="83" t="s">
        <v>16</v>
      </c>
      <c r="B201" s="84" t="s">
        <v>41</v>
      </c>
      <c r="C201" s="120" t="s">
        <v>5514</v>
      </c>
      <c r="D201" s="89" t="s">
        <v>42</v>
      </c>
      <c r="E201" s="6" t="s">
        <v>5376</v>
      </c>
      <c r="F201" s="109" t="s">
        <v>5377</v>
      </c>
      <c r="G201" s="109" t="s">
        <v>5378</v>
      </c>
      <c r="H201" s="109" t="s">
        <v>5379</v>
      </c>
      <c r="I201" s="109"/>
      <c r="J201" s="109"/>
      <c r="K201" s="109">
        <v>4</v>
      </c>
      <c r="L201" s="2" t="s">
        <v>46</v>
      </c>
      <c r="M201" s="10" t="s">
        <v>47</v>
      </c>
      <c r="N201" s="9" t="s">
        <v>22</v>
      </c>
      <c r="O201" s="2" t="s">
        <v>5322</v>
      </c>
      <c r="P201" s="2"/>
      <c r="Q201" s="2" t="s">
        <v>24</v>
      </c>
      <c r="R201" s="2" t="s">
        <v>22</v>
      </c>
      <c r="S201" s="2" t="s">
        <v>22</v>
      </c>
      <c r="T201" s="2" t="s">
        <v>22</v>
      </c>
      <c r="U201" s="2" t="s">
        <v>48</v>
      </c>
    </row>
    <row r="202" spans="1:21" ht="165.75">
      <c r="A202" s="83" t="s">
        <v>16</v>
      </c>
      <c r="B202" s="84" t="s">
        <v>41</v>
      </c>
      <c r="C202" s="120" t="s">
        <v>5512</v>
      </c>
      <c r="D202" s="89" t="s">
        <v>498</v>
      </c>
      <c r="E202" s="6" t="s">
        <v>5372</v>
      </c>
      <c r="F202" s="109" t="s">
        <v>5373</v>
      </c>
      <c r="G202" s="109" t="s">
        <v>5374</v>
      </c>
      <c r="H202" s="109" t="s">
        <v>5375</v>
      </c>
      <c r="I202" s="109" t="s">
        <v>5452</v>
      </c>
      <c r="J202" s="109"/>
      <c r="K202" s="109">
        <v>5</v>
      </c>
      <c r="L202" s="2" t="s">
        <v>499</v>
      </c>
      <c r="M202" s="10" t="s">
        <v>500</v>
      </c>
      <c r="N202" s="9" t="s">
        <v>22</v>
      </c>
      <c r="O202" s="2" t="s">
        <v>5322</v>
      </c>
      <c r="P202" s="2"/>
      <c r="Q202" s="2"/>
      <c r="R202" s="2" t="s">
        <v>176</v>
      </c>
      <c r="S202" s="2" t="s">
        <v>176</v>
      </c>
      <c r="T202" s="2" t="s">
        <v>22</v>
      </c>
      <c r="U202" s="2" t="s">
        <v>48</v>
      </c>
    </row>
    <row r="203" spans="1:21" ht="51">
      <c r="A203" s="2" t="s">
        <v>180</v>
      </c>
      <c r="B203" s="10" t="s">
        <v>181</v>
      </c>
      <c r="C203" s="72"/>
      <c r="D203" s="9" t="s">
        <v>639</v>
      </c>
      <c r="E203" s="44" t="s">
        <v>77</v>
      </c>
      <c r="F203" s="33" t="s">
        <v>78</v>
      </c>
      <c r="G203" s="110"/>
      <c r="H203" s="110"/>
      <c r="I203" s="110"/>
      <c r="J203" s="110"/>
      <c r="K203" s="110">
        <v>1</v>
      </c>
      <c r="L203" s="16" t="s">
        <v>5666</v>
      </c>
      <c r="M203" s="76" t="s">
        <v>5667</v>
      </c>
      <c r="N203" s="9" t="s">
        <v>22</v>
      </c>
      <c r="O203" s="2" t="s">
        <v>81</v>
      </c>
      <c r="P203" s="2" t="s">
        <v>4</v>
      </c>
      <c r="Q203" s="2"/>
      <c r="R203" s="2" t="s">
        <v>176</v>
      </c>
      <c r="S203" s="2" t="s">
        <v>22</v>
      </c>
      <c r="T203" s="2" t="s">
        <v>22</v>
      </c>
      <c r="U203" s="2"/>
    </row>
    <row r="204" spans="1:21" ht="51">
      <c r="A204" s="2" t="s">
        <v>16</v>
      </c>
      <c r="B204" s="74" t="s">
        <v>33</v>
      </c>
      <c r="C204" s="75" t="s">
        <v>5512</v>
      </c>
      <c r="D204" s="99" t="s">
        <v>165</v>
      </c>
      <c r="E204" s="16" t="s">
        <v>5370</v>
      </c>
      <c r="F204" s="16" t="s">
        <v>1</v>
      </c>
      <c r="G204" s="16" t="s">
        <v>5371</v>
      </c>
      <c r="H204" s="2"/>
      <c r="I204" s="2"/>
      <c r="J204" s="2"/>
      <c r="K204" s="2">
        <v>2</v>
      </c>
      <c r="L204" s="2" t="s">
        <v>167</v>
      </c>
      <c r="M204" s="10" t="s">
        <v>168</v>
      </c>
      <c r="N204" s="9" t="s">
        <v>22</v>
      </c>
      <c r="O204" s="2" t="s">
        <v>5322</v>
      </c>
      <c r="P204" s="2"/>
      <c r="Q204" s="2"/>
      <c r="R204" s="2" t="s">
        <v>22</v>
      </c>
      <c r="S204" s="2" t="s">
        <v>22</v>
      </c>
      <c r="T204" s="2" t="s">
        <v>22</v>
      </c>
      <c r="U204" s="2" t="s">
        <v>82</v>
      </c>
    </row>
    <row r="205" spans="1:21" ht="51">
      <c r="A205" s="2" t="s">
        <v>16</v>
      </c>
      <c r="B205" s="74" t="s">
        <v>33</v>
      </c>
      <c r="C205" s="75" t="s">
        <v>5512</v>
      </c>
      <c r="D205" s="99" t="s">
        <v>107</v>
      </c>
      <c r="E205" s="2" t="s">
        <v>77</v>
      </c>
      <c r="F205" s="2" t="s">
        <v>78</v>
      </c>
      <c r="G205" s="2"/>
      <c r="H205" s="2"/>
      <c r="I205" s="2"/>
      <c r="J205" s="2"/>
      <c r="K205" s="2">
        <v>1</v>
      </c>
      <c r="L205" s="16" t="s">
        <v>5668</v>
      </c>
      <c r="M205" s="76" t="s">
        <v>5669</v>
      </c>
      <c r="N205" s="9" t="s">
        <v>22</v>
      </c>
      <c r="O205" s="2" t="s">
        <v>81</v>
      </c>
      <c r="P205" s="2"/>
      <c r="Q205" s="2" t="s">
        <v>24</v>
      </c>
      <c r="R205" s="2" t="s">
        <v>22</v>
      </c>
      <c r="S205" s="2" t="s">
        <v>22</v>
      </c>
      <c r="T205" s="2" t="s">
        <v>22</v>
      </c>
      <c r="U205" s="2" t="s">
        <v>82</v>
      </c>
    </row>
    <row r="206" spans="1:21" ht="51">
      <c r="A206" s="2" t="s">
        <v>180</v>
      </c>
      <c r="B206" s="10" t="s">
        <v>181</v>
      </c>
      <c r="C206" s="72"/>
      <c r="D206" s="99" t="s">
        <v>319</v>
      </c>
      <c r="E206" s="16" t="s">
        <v>5427</v>
      </c>
      <c r="F206" s="16" t="s">
        <v>5428</v>
      </c>
      <c r="G206" s="16" t="s">
        <v>5429</v>
      </c>
      <c r="H206" s="16" t="s">
        <v>5</v>
      </c>
      <c r="I206" s="2"/>
      <c r="J206" s="2"/>
      <c r="K206" s="2">
        <v>2</v>
      </c>
      <c r="L206" s="2" t="s">
        <v>320</v>
      </c>
      <c r="M206" s="10" t="s">
        <v>321</v>
      </c>
      <c r="N206" s="9" t="s">
        <v>22</v>
      </c>
      <c r="O206" s="2" t="s">
        <v>5322</v>
      </c>
      <c r="P206" s="2"/>
      <c r="Q206" s="2"/>
      <c r="R206" s="2" t="s">
        <v>22</v>
      </c>
      <c r="S206" s="2" t="s">
        <v>22</v>
      </c>
      <c r="T206" s="2" t="s">
        <v>22</v>
      </c>
      <c r="U206" s="2"/>
    </row>
    <row r="207" spans="1:21" ht="63.75" customHeight="1">
      <c r="A207" s="83" t="s">
        <v>16</v>
      </c>
      <c r="B207" s="84" t="s">
        <v>33</v>
      </c>
      <c r="C207" s="120" t="s">
        <v>5512</v>
      </c>
      <c r="D207" s="100" t="s">
        <v>154</v>
      </c>
      <c r="E207" s="33" t="s">
        <v>77</v>
      </c>
      <c r="F207" s="33" t="s">
        <v>78</v>
      </c>
      <c r="G207" s="33"/>
      <c r="H207" s="33"/>
      <c r="I207" s="33"/>
      <c r="J207" s="33"/>
      <c r="K207" s="33">
        <v>2</v>
      </c>
      <c r="L207" s="16" t="s">
        <v>5670</v>
      </c>
      <c r="M207" s="76" t="s">
        <v>5671</v>
      </c>
      <c r="N207" s="9" t="s">
        <v>22</v>
      </c>
      <c r="O207" s="2" t="s">
        <v>81</v>
      </c>
      <c r="P207" s="2"/>
      <c r="Q207" s="2"/>
      <c r="R207" s="2" t="s">
        <v>22</v>
      </c>
      <c r="S207" s="2" t="s">
        <v>22</v>
      </c>
      <c r="T207" s="2" t="s">
        <v>22</v>
      </c>
      <c r="U207" s="2" t="s">
        <v>82</v>
      </c>
    </row>
  </sheetData>
  <autoFilter ref="A2:U207" xr:uid="{00000000-0009-0000-0000-000000000000}"/>
  <mergeCells count="1">
    <mergeCell ref="R2:T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Fill="0" autoPict="0" macro="[0]!generaJS2">
                <anchor moveWithCells="1" sizeWithCells="1">
                  <from>
                    <xdr:col>1</xdr:col>
                    <xdr:colOff>704850</xdr:colOff>
                    <xdr:row>3</xdr:row>
                    <xdr:rowOff>28575</xdr:rowOff>
                  </from>
                  <to>
                    <xdr:col>3</xdr:col>
                    <xdr:colOff>19050</xdr:colOff>
                    <xdr:row>3</xdr:row>
                    <xdr:rowOff>304800</xdr:rowOff>
                  </to>
                </anchor>
              </controlPr>
            </control>
          </mc:Choice>
        </mc:AlternateContent>
        <mc:AlternateContent xmlns:mc="http://schemas.openxmlformats.org/markup-compatibility/2006">
          <mc:Choice Requires="x14">
            <control shapeId="5133" r:id="rId5" name="Button 13">
              <controlPr defaultSize="0" print="0" autoFill="0" autoPict="0" macro="[0]!generaJS_T1">
                <anchor moveWithCells="1" sizeWithCells="1">
                  <from>
                    <xdr:col>3</xdr:col>
                    <xdr:colOff>466725</xdr:colOff>
                    <xdr:row>0</xdr:row>
                    <xdr:rowOff>19050</xdr:rowOff>
                  </from>
                  <to>
                    <xdr:col>3</xdr:col>
                    <xdr:colOff>1428750</xdr:colOff>
                    <xdr:row>1</xdr:row>
                    <xdr:rowOff>104775</xdr:rowOff>
                  </to>
                </anchor>
              </controlPr>
            </control>
          </mc:Choice>
        </mc:AlternateContent>
        <mc:AlternateContent xmlns:mc="http://schemas.openxmlformats.org/markup-compatibility/2006">
          <mc:Choice Requires="x14">
            <control shapeId="5134" r:id="rId6" name="Button 14">
              <controlPr defaultSize="0" print="0" autoFill="0" autoPict="0" macro="[0]!generaJS_T2">
                <anchor moveWithCells="1" sizeWithCells="1">
                  <from>
                    <xdr:col>4</xdr:col>
                    <xdr:colOff>85725</xdr:colOff>
                    <xdr:row>0</xdr:row>
                    <xdr:rowOff>28575</xdr:rowOff>
                  </from>
                  <to>
                    <xdr:col>4</xdr:col>
                    <xdr:colOff>1162050</xdr:colOff>
                    <xdr:row>1</xdr:row>
                    <xdr:rowOff>104775</xdr:rowOff>
                  </to>
                </anchor>
              </controlPr>
            </control>
          </mc:Choice>
        </mc:AlternateContent>
        <mc:AlternateContent xmlns:mc="http://schemas.openxmlformats.org/markup-compatibility/2006">
          <mc:Choice Requires="x14">
            <control shapeId="5135" r:id="rId7" name="Button 15">
              <controlPr defaultSize="0" print="0" autoFill="0" autoPict="0" macro="[0]!generaJS_T3">
                <anchor moveWithCells="1" sizeWithCells="1">
                  <from>
                    <xdr:col>5</xdr:col>
                    <xdr:colOff>247650</xdr:colOff>
                    <xdr:row>0</xdr:row>
                    <xdr:rowOff>28575</xdr:rowOff>
                  </from>
                  <to>
                    <xdr:col>5</xdr:col>
                    <xdr:colOff>1190625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L4"/>
  <sheetViews>
    <sheetView workbookViewId="0">
      <selection activeCell="D4" sqref="D4"/>
    </sheetView>
  </sheetViews>
  <sheetFormatPr baseColWidth="10" defaultColWidth="11.42578125" defaultRowHeight="12.75"/>
  <sheetData>
    <row r="2" spans="1:12" ht="15">
      <c r="A2" s="77" t="s">
        <v>5273</v>
      </c>
    </row>
    <row r="4" spans="1:12" ht="127.5">
      <c r="A4" s="2" t="s">
        <v>16</v>
      </c>
      <c r="B4" s="81" t="s">
        <v>33</v>
      </c>
      <c r="C4" s="73" t="s">
        <v>5268</v>
      </c>
      <c r="D4" s="76" t="s">
        <v>537</v>
      </c>
      <c r="E4" s="5" t="s">
        <v>77</v>
      </c>
      <c r="F4" s="9" t="s">
        <v>22</v>
      </c>
      <c r="G4" s="20" t="s">
        <v>81</v>
      </c>
      <c r="H4" s="20"/>
      <c r="I4" s="20" t="s">
        <v>176</v>
      </c>
      <c r="J4" s="20" t="s">
        <v>176</v>
      </c>
      <c r="K4" s="20" t="s">
        <v>7</v>
      </c>
      <c r="L4" s="2" t="s">
        <v>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U6"/>
  <sheetViews>
    <sheetView topLeftCell="A13" workbookViewId="0">
      <selection activeCell="D6" sqref="D6"/>
    </sheetView>
  </sheetViews>
  <sheetFormatPr baseColWidth="10" defaultColWidth="11.42578125" defaultRowHeight="12.75"/>
  <cols>
    <col min="2" max="2" width="14" customWidth="1"/>
    <col min="3" max="3" width="18.42578125" customWidth="1"/>
    <col min="4" max="4" width="27.42578125" customWidth="1"/>
    <col min="5" max="5" width="21.85546875" customWidth="1"/>
  </cols>
  <sheetData>
    <row r="2" spans="1:21" ht="15">
      <c r="A2" s="77" t="s">
        <v>5274</v>
      </c>
    </row>
    <row r="4" spans="1:21" ht="89.25">
      <c r="A4" s="2" t="s">
        <v>16</v>
      </c>
      <c r="B4" s="81" t="s">
        <v>33</v>
      </c>
      <c r="C4" s="73" t="s">
        <v>5270</v>
      </c>
      <c r="D4" s="76" t="s">
        <v>105</v>
      </c>
      <c r="E4" s="5" t="s">
        <v>77</v>
      </c>
      <c r="F4" s="9" t="s">
        <v>22</v>
      </c>
      <c r="G4" s="20" t="s">
        <v>81</v>
      </c>
      <c r="H4" s="20" t="s">
        <v>24</v>
      </c>
      <c r="I4" s="20" t="s">
        <v>7</v>
      </c>
      <c r="J4" s="20" t="s">
        <v>7</v>
      </c>
      <c r="K4" s="20" t="s">
        <v>7</v>
      </c>
      <c r="L4" s="2" t="s">
        <v>87</v>
      </c>
    </row>
    <row r="5" spans="1:21" s="82" customFormat="1" ht="140.25">
      <c r="A5" s="83" t="s">
        <v>16</v>
      </c>
      <c r="B5" s="84" t="s">
        <v>41</v>
      </c>
      <c r="C5" s="120" t="s">
        <v>5454</v>
      </c>
      <c r="D5" s="122" t="s">
        <v>588</v>
      </c>
      <c r="E5" s="6" t="s">
        <v>5382</v>
      </c>
      <c r="F5" s="109" t="s">
        <v>5380</v>
      </c>
      <c r="G5" s="109" t="s">
        <v>5381</v>
      </c>
      <c r="H5" s="109"/>
      <c r="I5" s="109"/>
      <c r="J5" s="109"/>
      <c r="K5" s="109">
        <v>2</v>
      </c>
      <c r="L5" s="2" t="s">
        <v>589</v>
      </c>
      <c r="M5" s="10" t="s">
        <v>590</v>
      </c>
      <c r="N5" s="9" t="s">
        <v>22</v>
      </c>
      <c r="O5" s="2" t="s">
        <v>5322</v>
      </c>
      <c r="P5" s="2"/>
      <c r="Q5" s="2"/>
      <c r="R5" s="2" t="s">
        <v>176</v>
      </c>
      <c r="S5" s="2" t="s">
        <v>22</v>
      </c>
      <c r="T5" s="2" t="s">
        <v>22</v>
      </c>
      <c r="U5" s="2" t="s">
        <v>48</v>
      </c>
    </row>
    <row r="6" spans="1:21" s="82" customFormat="1" ht="255">
      <c r="A6" s="83" t="s">
        <v>16</v>
      </c>
      <c r="B6" s="84" t="s">
        <v>41</v>
      </c>
      <c r="C6" s="120" t="s">
        <v>5454</v>
      </c>
      <c r="D6" s="122" t="s">
        <v>42</v>
      </c>
      <c r="E6" s="6" t="s">
        <v>5376</v>
      </c>
      <c r="F6" s="109" t="s">
        <v>5377</v>
      </c>
      <c r="G6" s="109" t="s">
        <v>5378</v>
      </c>
      <c r="H6" s="109" t="s">
        <v>5379</v>
      </c>
      <c r="I6" s="109"/>
      <c r="J6" s="109"/>
      <c r="K6" s="109">
        <v>4</v>
      </c>
      <c r="L6" s="2" t="s">
        <v>46</v>
      </c>
      <c r="M6" s="10" t="s">
        <v>47</v>
      </c>
      <c r="N6" s="9" t="s">
        <v>22</v>
      </c>
      <c r="O6" s="2" t="s">
        <v>5322</v>
      </c>
      <c r="P6" s="2"/>
      <c r="Q6" s="2" t="s">
        <v>24</v>
      </c>
      <c r="R6" s="2" t="s">
        <v>22</v>
      </c>
      <c r="S6" s="2" t="s">
        <v>22</v>
      </c>
      <c r="T6" s="2" t="s">
        <v>22</v>
      </c>
      <c r="U6" s="2" t="s">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
  <sheetViews>
    <sheetView workbookViewId="0">
      <selection activeCell="A2" sqref="A2"/>
    </sheetView>
  </sheetViews>
  <sheetFormatPr baseColWidth="10" defaultColWidth="11.42578125" defaultRowHeight="12.75"/>
  <sheetData>
    <row r="2" spans="1:1" ht="15">
      <c r="A2" s="77" t="s">
        <v>5275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U59"/>
  <sheetViews>
    <sheetView zoomScale="70" zoomScaleNormal="70" workbookViewId="0">
      <selection activeCell="D59" sqref="D59"/>
    </sheetView>
  </sheetViews>
  <sheetFormatPr baseColWidth="10" defaultColWidth="11.42578125" defaultRowHeight="12.75"/>
  <cols>
    <col min="3" max="3" width="17.7109375" customWidth="1"/>
    <col min="4" max="4" width="32" customWidth="1"/>
    <col min="5" max="5" width="25.140625" customWidth="1"/>
  </cols>
  <sheetData>
    <row r="2" spans="1:13" ht="15">
      <c r="A2" s="77" t="s">
        <v>5276</v>
      </c>
    </row>
    <row r="4" spans="1:13" ht="76.5">
      <c r="A4" s="2" t="s">
        <v>16</v>
      </c>
      <c r="B4" s="2" t="s">
        <v>96</v>
      </c>
      <c r="C4" s="75" t="s">
        <v>5280</v>
      </c>
      <c r="D4" s="76" t="s">
        <v>161</v>
      </c>
      <c r="E4" s="5" t="s">
        <v>162</v>
      </c>
      <c r="F4" s="9" t="s">
        <v>22</v>
      </c>
      <c r="G4" s="20" t="s">
        <v>114</v>
      </c>
      <c r="H4" s="20"/>
      <c r="I4" s="20" t="s">
        <v>7</v>
      </c>
      <c r="J4" s="20" t="s">
        <v>7</v>
      </c>
      <c r="K4" s="20" t="s">
        <v>7</v>
      </c>
      <c r="L4" s="2" t="s">
        <v>48</v>
      </c>
      <c r="M4">
        <v>1</v>
      </c>
    </row>
    <row r="5" spans="1:13" s="82" customFormat="1" ht="204">
      <c r="A5" s="2" t="s">
        <v>16</v>
      </c>
      <c r="B5" s="81" t="s">
        <v>17</v>
      </c>
      <c r="C5" s="75" t="s">
        <v>5282</v>
      </c>
      <c r="D5" s="30" t="s">
        <v>578</v>
      </c>
      <c r="E5" s="5" t="s">
        <v>213</v>
      </c>
      <c r="F5" s="9" t="s">
        <v>22</v>
      </c>
      <c r="G5" s="2" t="s">
        <v>23</v>
      </c>
      <c r="H5" s="2"/>
      <c r="I5" s="2" t="s">
        <v>176</v>
      </c>
      <c r="J5" s="2" t="s">
        <v>176</v>
      </c>
      <c r="K5" s="2" t="s">
        <v>7</v>
      </c>
      <c r="L5" s="2" t="s">
        <v>25</v>
      </c>
      <c r="M5" s="82">
        <v>1</v>
      </c>
    </row>
    <row r="6" spans="1:13" ht="216.75">
      <c r="A6" s="2" t="s">
        <v>16</v>
      </c>
      <c r="B6" s="81" t="s">
        <v>17</v>
      </c>
      <c r="C6" s="75" t="s">
        <v>5282</v>
      </c>
      <c r="D6" s="30" t="s">
        <v>532</v>
      </c>
      <c r="E6" s="5" t="s">
        <v>215</v>
      </c>
      <c r="F6" s="9" t="s">
        <v>22</v>
      </c>
      <c r="G6" s="20" t="s">
        <v>23</v>
      </c>
      <c r="H6" s="20"/>
      <c r="I6" s="20" t="s">
        <v>176</v>
      </c>
      <c r="J6" s="20" t="s">
        <v>176</v>
      </c>
      <c r="K6" s="20" t="s">
        <v>7</v>
      </c>
      <c r="L6" s="2" t="s">
        <v>25</v>
      </c>
      <c r="M6">
        <v>1</v>
      </c>
    </row>
    <row r="7" spans="1:13" ht="114.75">
      <c r="A7" s="2" t="s">
        <v>16</v>
      </c>
      <c r="B7" s="2" t="s">
        <v>17</v>
      </c>
      <c r="C7" s="75" t="s">
        <v>5284</v>
      </c>
      <c r="D7" s="30" t="s">
        <v>18</v>
      </c>
      <c r="E7" s="78" t="s">
        <v>19</v>
      </c>
      <c r="F7" s="9" t="s">
        <v>22</v>
      </c>
      <c r="G7" s="20" t="s">
        <v>23</v>
      </c>
      <c r="H7" s="20" t="s">
        <v>24</v>
      </c>
      <c r="I7" s="20" t="s">
        <v>7</v>
      </c>
      <c r="J7" s="20" t="s">
        <v>7</v>
      </c>
      <c r="K7" s="20" t="s">
        <v>7</v>
      </c>
      <c r="L7" s="2" t="s">
        <v>25</v>
      </c>
      <c r="M7">
        <v>1</v>
      </c>
    </row>
    <row r="8" spans="1:13" ht="63.75">
      <c r="A8" s="2" t="s">
        <v>16</v>
      </c>
      <c r="B8" s="2" t="s">
        <v>17</v>
      </c>
      <c r="C8" s="75" t="s">
        <v>5284</v>
      </c>
      <c r="D8" s="76" t="s">
        <v>587</v>
      </c>
      <c r="E8" s="5" t="s">
        <v>77</v>
      </c>
      <c r="F8" s="9" t="s">
        <v>22</v>
      </c>
      <c r="G8" s="20" t="s">
        <v>81</v>
      </c>
      <c r="H8" s="20"/>
      <c r="I8" s="20" t="s">
        <v>176</v>
      </c>
      <c r="J8" s="20" t="s">
        <v>176</v>
      </c>
      <c r="K8" s="20" t="s">
        <v>7</v>
      </c>
      <c r="L8" s="2" t="s">
        <v>25</v>
      </c>
      <c r="M8">
        <v>1</v>
      </c>
    </row>
    <row r="9" spans="1:13" ht="63.75">
      <c r="A9" s="2" t="s">
        <v>16</v>
      </c>
      <c r="B9" s="2" t="s">
        <v>17</v>
      </c>
      <c r="C9" s="75" t="s">
        <v>5284</v>
      </c>
      <c r="D9" s="76" t="s">
        <v>574</v>
      </c>
      <c r="E9" s="5" t="s">
        <v>77</v>
      </c>
      <c r="F9" s="9" t="s">
        <v>22</v>
      </c>
      <c r="G9" s="27" t="s">
        <v>81</v>
      </c>
      <c r="H9" s="20"/>
      <c r="I9" s="20" t="s">
        <v>176</v>
      </c>
      <c r="J9" s="20" t="s">
        <v>176</v>
      </c>
      <c r="K9" s="20" t="s">
        <v>7</v>
      </c>
      <c r="L9" s="2" t="s">
        <v>25</v>
      </c>
      <c r="M9">
        <v>1</v>
      </c>
    </row>
    <row r="10" spans="1:13" ht="114.75">
      <c r="A10" s="2" t="s">
        <v>16</v>
      </c>
      <c r="B10" s="2" t="s">
        <v>17</v>
      </c>
      <c r="C10" s="75" t="s">
        <v>5283</v>
      </c>
      <c r="D10" s="28" t="s">
        <v>128</v>
      </c>
      <c r="E10" s="5" t="s">
        <v>129</v>
      </c>
      <c r="F10" s="9" t="s">
        <v>22</v>
      </c>
      <c r="G10" s="31" t="s">
        <v>132</v>
      </c>
      <c r="H10" s="20" t="s">
        <v>24</v>
      </c>
      <c r="I10" s="20" t="s">
        <v>7</v>
      </c>
      <c r="J10" s="20" t="s">
        <v>7</v>
      </c>
      <c r="K10" s="20" t="s">
        <v>7</v>
      </c>
      <c r="L10" s="10" t="s">
        <v>25</v>
      </c>
      <c r="M10">
        <v>1</v>
      </c>
    </row>
    <row r="11" spans="1:13" ht="409.5">
      <c r="A11" s="2" t="s">
        <v>16</v>
      </c>
      <c r="B11" s="10" t="s">
        <v>96</v>
      </c>
      <c r="C11" s="75" t="s">
        <v>5285</v>
      </c>
      <c r="D11" s="32" t="s">
        <v>97</v>
      </c>
      <c r="E11" s="5" t="s">
        <v>102</v>
      </c>
      <c r="F11" s="9" t="s">
        <v>22</v>
      </c>
      <c r="G11" s="20" t="s">
        <v>61</v>
      </c>
      <c r="H11" s="20" t="s">
        <v>24</v>
      </c>
      <c r="I11" s="20" t="s">
        <v>7</v>
      </c>
      <c r="J11" s="33" t="s">
        <v>7</v>
      </c>
      <c r="K11" s="20" t="s">
        <v>7</v>
      </c>
      <c r="L11" s="2" t="s">
        <v>48</v>
      </c>
      <c r="M11">
        <v>1</v>
      </c>
    </row>
    <row r="12" spans="1:13" ht="38.25">
      <c r="A12" s="2" t="s">
        <v>16</v>
      </c>
      <c r="B12" s="2" t="s">
        <v>96</v>
      </c>
      <c r="C12" s="75" t="s">
        <v>5286</v>
      </c>
      <c r="D12" s="123" t="s">
        <v>137</v>
      </c>
      <c r="E12" s="9" t="s">
        <v>78</v>
      </c>
      <c r="F12" s="9" t="s">
        <v>22</v>
      </c>
      <c r="G12" s="20" t="s">
        <v>81</v>
      </c>
      <c r="H12" s="20" t="s">
        <v>24</v>
      </c>
      <c r="I12" s="20" t="s">
        <v>7</v>
      </c>
      <c r="J12" s="20" t="s">
        <v>7</v>
      </c>
      <c r="K12" s="20" t="s">
        <v>7</v>
      </c>
      <c r="L12" s="2" t="s">
        <v>48</v>
      </c>
      <c r="M12">
        <v>1</v>
      </c>
    </row>
    <row r="13" spans="1:13" ht="51">
      <c r="A13" s="2" t="s">
        <v>16</v>
      </c>
      <c r="B13" s="2" t="s">
        <v>96</v>
      </c>
      <c r="C13" s="75" t="s">
        <v>5286</v>
      </c>
      <c r="D13" s="76" t="s">
        <v>106</v>
      </c>
      <c r="E13" s="5" t="s">
        <v>77</v>
      </c>
      <c r="F13" s="9" t="s">
        <v>22</v>
      </c>
      <c r="G13" s="20" t="s">
        <v>81</v>
      </c>
      <c r="H13" s="20" t="s">
        <v>24</v>
      </c>
      <c r="I13" s="20" t="s">
        <v>7</v>
      </c>
      <c r="J13" s="20" t="s">
        <v>7</v>
      </c>
      <c r="K13" s="20" t="s">
        <v>7</v>
      </c>
      <c r="L13" s="2" t="s">
        <v>48</v>
      </c>
      <c r="M13">
        <v>1</v>
      </c>
    </row>
    <row r="14" spans="1:13" ht="51">
      <c r="A14" s="2" t="s">
        <v>16</v>
      </c>
      <c r="B14" s="2" t="s">
        <v>96</v>
      </c>
      <c r="C14" s="75" t="s">
        <v>5286</v>
      </c>
      <c r="D14" s="30" t="s">
        <v>719</v>
      </c>
      <c r="E14" s="5" t="s">
        <v>173</v>
      </c>
      <c r="F14" s="9" t="s">
        <v>22</v>
      </c>
      <c r="G14" s="20" t="s">
        <v>23</v>
      </c>
      <c r="H14" s="20"/>
      <c r="I14" s="20" t="s">
        <v>7</v>
      </c>
      <c r="J14" s="20" t="s">
        <v>176</v>
      </c>
      <c r="K14" s="20" t="s">
        <v>7</v>
      </c>
      <c r="L14" s="2" t="s">
        <v>48</v>
      </c>
      <c r="M14">
        <v>1</v>
      </c>
    </row>
    <row r="15" spans="1:13" ht="51">
      <c r="A15" s="2" t="s">
        <v>16</v>
      </c>
      <c r="B15" s="2" t="s">
        <v>96</v>
      </c>
      <c r="C15" s="75" t="s">
        <v>5286</v>
      </c>
      <c r="D15" s="30" t="s">
        <v>720</v>
      </c>
      <c r="E15" s="5" t="s">
        <v>177</v>
      </c>
      <c r="F15" s="9" t="s">
        <v>22</v>
      </c>
      <c r="G15" s="20" t="s">
        <v>23</v>
      </c>
      <c r="H15" s="20"/>
      <c r="I15" s="20" t="s">
        <v>7</v>
      </c>
      <c r="J15" s="20" t="s">
        <v>176</v>
      </c>
      <c r="K15" s="20" t="s">
        <v>7</v>
      </c>
      <c r="L15" s="2" t="s">
        <v>48</v>
      </c>
      <c r="M15">
        <v>1</v>
      </c>
    </row>
    <row r="16" spans="1:13" ht="51">
      <c r="A16" s="2" t="s">
        <v>16</v>
      </c>
      <c r="B16" s="2" t="s">
        <v>96</v>
      </c>
      <c r="C16" s="75" t="s">
        <v>5281</v>
      </c>
      <c r="D16" s="124" t="s">
        <v>126</v>
      </c>
      <c r="E16" s="5" t="s">
        <v>77</v>
      </c>
      <c r="F16" s="9" t="s">
        <v>22</v>
      </c>
      <c r="G16" s="20" t="s">
        <v>81</v>
      </c>
      <c r="H16" s="20" t="s">
        <v>24</v>
      </c>
      <c r="I16" s="20" t="s">
        <v>7</v>
      </c>
      <c r="J16" s="20" t="s">
        <v>7</v>
      </c>
      <c r="K16" s="20" t="s">
        <v>7</v>
      </c>
      <c r="L16" s="2" t="s">
        <v>48</v>
      </c>
      <c r="M16">
        <v>1</v>
      </c>
    </row>
    <row r="17" spans="1:13" ht="216.75">
      <c r="A17" s="2" t="s">
        <v>16</v>
      </c>
      <c r="B17" s="2" t="s">
        <v>96</v>
      </c>
      <c r="C17" s="75" t="s">
        <v>5281</v>
      </c>
      <c r="D17" s="30" t="s">
        <v>490</v>
      </c>
      <c r="E17" s="5" t="s">
        <v>252</v>
      </c>
      <c r="F17" s="9" t="s">
        <v>22</v>
      </c>
      <c r="G17" s="20" t="s">
        <v>23</v>
      </c>
      <c r="H17" s="20" t="s">
        <v>24</v>
      </c>
      <c r="I17" s="20" t="s">
        <v>176</v>
      </c>
      <c r="J17" s="20" t="s">
        <v>7</v>
      </c>
      <c r="K17" s="20" t="s">
        <v>7</v>
      </c>
      <c r="L17" s="2" t="s">
        <v>48</v>
      </c>
      <c r="M17">
        <v>1</v>
      </c>
    </row>
    <row r="18" spans="1:13" ht="191.25">
      <c r="A18" s="2" t="s">
        <v>16</v>
      </c>
      <c r="B18" s="2" t="s">
        <v>17</v>
      </c>
      <c r="C18" s="75" t="s">
        <v>5282</v>
      </c>
      <c r="D18" s="30" t="s">
        <v>509</v>
      </c>
      <c r="E18" s="17" t="s">
        <v>277</v>
      </c>
      <c r="F18" s="9" t="s">
        <v>22</v>
      </c>
      <c r="G18" s="20" t="s">
        <v>23</v>
      </c>
      <c r="H18" s="20"/>
      <c r="I18" s="20" t="s">
        <v>176</v>
      </c>
      <c r="J18" s="20" t="s">
        <v>176</v>
      </c>
      <c r="K18" s="20" t="s">
        <v>7</v>
      </c>
      <c r="L18" s="2" t="s">
        <v>25</v>
      </c>
      <c r="M18">
        <v>1</v>
      </c>
    </row>
    <row r="19" spans="1:13" ht="38.25">
      <c r="A19" s="2" t="s">
        <v>16</v>
      </c>
      <c r="B19" s="81" t="s">
        <v>17</v>
      </c>
      <c r="C19" s="75" t="s">
        <v>5289</v>
      </c>
      <c r="D19" s="76" t="s">
        <v>572</v>
      </c>
      <c r="E19" s="5" t="s">
        <v>77</v>
      </c>
      <c r="F19" s="9" t="s">
        <v>22</v>
      </c>
      <c r="G19" s="20" t="s">
        <v>81</v>
      </c>
      <c r="H19" s="20"/>
      <c r="I19" s="20" t="s">
        <v>176</v>
      </c>
      <c r="J19" s="20" t="s">
        <v>176</v>
      </c>
      <c r="K19" s="20" t="s">
        <v>7</v>
      </c>
      <c r="L19" s="2" t="s">
        <v>25</v>
      </c>
      <c r="M19">
        <v>1</v>
      </c>
    </row>
    <row r="20" spans="1:13" ht="51">
      <c r="A20" s="2" t="s">
        <v>16</v>
      </c>
      <c r="B20" s="81" t="s">
        <v>33</v>
      </c>
      <c r="C20" s="73" t="s">
        <v>5269</v>
      </c>
      <c r="D20" s="112" t="s">
        <v>34</v>
      </c>
      <c r="E20" s="5" t="s">
        <v>36</v>
      </c>
      <c r="F20" s="9" t="s">
        <v>22</v>
      </c>
      <c r="G20" s="20" t="s">
        <v>23</v>
      </c>
      <c r="H20" s="20" t="s">
        <v>24</v>
      </c>
      <c r="I20" s="20" t="s">
        <v>7</v>
      </c>
      <c r="J20" s="20" t="s">
        <v>7</v>
      </c>
      <c r="K20" s="20" t="s">
        <v>7</v>
      </c>
      <c r="L20" s="2" t="s">
        <v>0</v>
      </c>
      <c r="M20">
        <v>1</v>
      </c>
    </row>
    <row r="21" spans="1:13" ht="76.5">
      <c r="A21" s="2" t="s">
        <v>16</v>
      </c>
      <c r="B21" s="81" t="s">
        <v>33</v>
      </c>
      <c r="C21" s="73" t="s">
        <v>5269</v>
      </c>
      <c r="D21" s="30" t="s">
        <v>157</v>
      </c>
      <c r="E21" s="5" t="s">
        <v>158</v>
      </c>
      <c r="F21" s="9" t="s">
        <v>22</v>
      </c>
      <c r="G21" s="20" t="s">
        <v>23</v>
      </c>
      <c r="H21" s="20"/>
      <c r="I21" s="20" t="s">
        <v>7</v>
      </c>
      <c r="J21" s="20" t="s">
        <v>7</v>
      </c>
      <c r="K21" s="20" t="s">
        <v>7</v>
      </c>
      <c r="L21" s="2" t="s">
        <v>0</v>
      </c>
      <c r="M21">
        <v>1</v>
      </c>
    </row>
    <row r="22" spans="1:13" ht="63.75">
      <c r="A22" s="2" t="s">
        <v>16</v>
      </c>
      <c r="B22" s="2" t="s">
        <v>17</v>
      </c>
      <c r="C22" s="75" t="s">
        <v>5290</v>
      </c>
      <c r="D22" s="76" t="s">
        <v>108</v>
      </c>
      <c r="E22" s="5" t="s">
        <v>77</v>
      </c>
      <c r="F22" s="9" t="s">
        <v>22</v>
      </c>
      <c r="G22" s="20" t="s">
        <v>81</v>
      </c>
      <c r="H22" s="20" t="s">
        <v>24</v>
      </c>
      <c r="I22" s="20" t="s">
        <v>7</v>
      </c>
      <c r="J22" s="20" t="s">
        <v>7</v>
      </c>
      <c r="K22" s="20" t="s">
        <v>7</v>
      </c>
      <c r="L22" s="2" t="s">
        <v>25</v>
      </c>
      <c r="M22">
        <v>1</v>
      </c>
    </row>
    <row r="23" spans="1:13" ht="63.75">
      <c r="A23" s="2" t="s">
        <v>16</v>
      </c>
      <c r="B23" s="2" t="s">
        <v>17</v>
      </c>
      <c r="C23" s="75" t="s">
        <v>5291</v>
      </c>
      <c r="D23" s="76" t="s">
        <v>514</v>
      </c>
      <c r="E23" s="5" t="s">
        <v>77</v>
      </c>
      <c r="F23" s="9" t="s">
        <v>22</v>
      </c>
      <c r="G23" s="20" t="s">
        <v>81</v>
      </c>
      <c r="H23" s="20"/>
      <c r="I23" s="20" t="s">
        <v>176</v>
      </c>
      <c r="J23" s="20" t="s">
        <v>7</v>
      </c>
      <c r="K23" s="20" t="s">
        <v>7</v>
      </c>
      <c r="L23" s="2" t="s">
        <v>25</v>
      </c>
      <c r="M23">
        <v>1</v>
      </c>
    </row>
    <row r="24" spans="1:13" ht="63.75">
      <c r="A24" s="2" t="s">
        <v>16</v>
      </c>
      <c r="B24" s="2" t="s">
        <v>96</v>
      </c>
      <c r="C24" s="75" t="s">
        <v>5292</v>
      </c>
      <c r="D24" s="123" t="s">
        <v>109</v>
      </c>
      <c r="E24" s="9" t="s">
        <v>78</v>
      </c>
      <c r="F24" s="9" t="s">
        <v>22</v>
      </c>
      <c r="G24" s="20" t="s">
        <v>81</v>
      </c>
      <c r="H24" s="20" t="s">
        <v>24</v>
      </c>
      <c r="I24" s="20" t="s">
        <v>7</v>
      </c>
      <c r="J24" s="20" t="s">
        <v>7</v>
      </c>
      <c r="K24" s="20" t="s">
        <v>7</v>
      </c>
      <c r="L24" s="2" t="s">
        <v>48</v>
      </c>
      <c r="M24">
        <v>1</v>
      </c>
    </row>
    <row r="25" spans="1:13" ht="63.75">
      <c r="A25" s="2" t="s">
        <v>16</v>
      </c>
      <c r="B25" s="2" t="s">
        <v>41</v>
      </c>
      <c r="C25" s="75" t="s">
        <v>5294</v>
      </c>
      <c r="D25" s="30" t="s">
        <v>149</v>
      </c>
      <c r="E25" s="5" t="s">
        <v>150</v>
      </c>
      <c r="F25" s="9" t="s">
        <v>22</v>
      </c>
      <c r="G25" s="20" t="s">
        <v>23</v>
      </c>
      <c r="H25" s="20"/>
      <c r="I25" s="20" t="s">
        <v>7</v>
      </c>
      <c r="J25" s="20" t="s">
        <v>7</v>
      </c>
      <c r="K25" s="20" t="s">
        <v>7</v>
      </c>
      <c r="L25" s="2" t="s">
        <v>48</v>
      </c>
      <c r="M25">
        <v>1</v>
      </c>
    </row>
    <row r="26" spans="1:13" ht="38.25">
      <c r="A26" s="2" t="s">
        <v>16</v>
      </c>
      <c r="B26" s="2" t="s">
        <v>41</v>
      </c>
      <c r="C26" s="73" t="s">
        <v>5295</v>
      </c>
      <c r="D26" s="76" t="s">
        <v>370</v>
      </c>
      <c r="E26" s="5" t="s">
        <v>77</v>
      </c>
      <c r="F26" s="9" t="s">
        <v>22</v>
      </c>
      <c r="G26" s="20" t="s">
        <v>81</v>
      </c>
      <c r="H26" s="20"/>
      <c r="I26" s="20" t="s">
        <v>176</v>
      </c>
      <c r="J26" s="20" t="s">
        <v>176</v>
      </c>
      <c r="K26" s="20" t="s">
        <v>22</v>
      </c>
      <c r="L26" s="2" t="s">
        <v>48</v>
      </c>
      <c r="M26">
        <v>1</v>
      </c>
    </row>
    <row r="27" spans="1:13" ht="51">
      <c r="A27" s="2" t="s">
        <v>16</v>
      </c>
      <c r="B27" s="2" t="s">
        <v>41</v>
      </c>
      <c r="C27" s="73" t="s">
        <v>5295</v>
      </c>
      <c r="D27" s="76" t="s">
        <v>546</v>
      </c>
      <c r="E27" s="38" t="b">
        <v>1</v>
      </c>
      <c r="F27" s="9" t="s">
        <v>22</v>
      </c>
      <c r="G27" s="20" t="s">
        <v>81</v>
      </c>
      <c r="H27" s="20"/>
      <c r="I27" s="20" t="s">
        <v>176</v>
      </c>
      <c r="J27" s="20" t="s">
        <v>176</v>
      </c>
      <c r="K27" s="20" t="s">
        <v>22</v>
      </c>
      <c r="L27" s="2" t="s">
        <v>48</v>
      </c>
      <c r="M27">
        <v>1</v>
      </c>
    </row>
    <row r="28" spans="1:13" ht="89.25">
      <c r="A28" s="2" t="s">
        <v>16</v>
      </c>
      <c r="B28" s="2" t="s">
        <v>41</v>
      </c>
      <c r="C28" s="73" t="s">
        <v>5296</v>
      </c>
      <c r="D28" s="30" t="s">
        <v>724</v>
      </c>
      <c r="E28" s="5" t="s">
        <v>376</v>
      </c>
      <c r="F28" s="9" t="s">
        <v>22</v>
      </c>
      <c r="G28" s="20" t="s">
        <v>23</v>
      </c>
      <c r="H28" s="20"/>
      <c r="I28" s="20" t="s">
        <v>176</v>
      </c>
      <c r="J28" s="20" t="s">
        <v>7</v>
      </c>
      <c r="K28" s="20" t="s">
        <v>7</v>
      </c>
      <c r="L28" s="2" t="s">
        <v>48</v>
      </c>
      <c r="M28">
        <v>1</v>
      </c>
    </row>
    <row r="29" spans="1:13" ht="89.25">
      <c r="A29" s="2" t="s">
        <v>16</v>
      </c>
      <c r="B29" s="2" t="s">
        <v>41</v>
      </c>
      <c r="C29" s="73" t="s">
        <v>5296</v>
      </c>
      <c r="D29" s="30" t="s">
        <v>725</v>
      </c>
      <c r="E29" s="5" t="s">
        <v>380</v>
      </c>
      <c r="F29" s="9" t="s">
        <v>22</v>
      </c>
      <c r="G29" s="20" t="s">
        <v>23</v>
      </c>
      <c r="H29" s="20"/>
      <c r="I29" s="20" t="s">
        <v>176</v>
      </c>
      <c r="J29" s="20" t="s">
        <v>7</v>
      </c>
      <c r="K29" s="20" t="s">
        <v>7</v>
      </c>
      <c r="L29" s="2" t="s">
        <v>48</v>
      </c>
      <c r="M29">
        <v>1</v>
      </c>
    </row>
    <row r="30" spans="1:13" ht="89.25">
      <c r="A30" s="2" t="s">
        <v>16</v>
      </c>
      <c r="B30" s="2" t="s">
        <v>41</v>
      </c>
      <c r="C30" s="73" t="s">
        <v>5296</v>
      </c>
      <c r="D30" s="30" t="s">
        <v>726</v>
      </c>
      <c r="E30" s="5" t="s">
        <v>383</v>
      </c>
      <c r="F30" s="9" t="s">
        <v>22</v>
      </c>
      <c r="G30" s="20" t="s">
        <v>23</v>
      </c>
      <c r="H30" s="20"/>
      <c r="I30" s="20" t="s">
        <v>176</v>
      </c>
      <c r="J30" s="20" t="s">
        <v>7</v>
      </c>
      <c r="K30" s="20" t="s">
        <v>7</v>
      </c>
      <c r="L30" s="2" t="s">
        <v>48</v>
      </c>
      <c r="M30">
        <v>1</v>
      </c>
    </row>
    <row r="31" spans="1:13" ht="89.25">
      <c r="A31" s="91" t="s">
        <v>16</v>
      </c>
      <c r="B31" s="91" t="s">
        <v>41</v>
      </c>
      <c r="C31" s="73" t="s">
        <v>5297</v>
      </c>
      <c r="D31" s="30" t="s">
        <v>727</v>
      </c>
      <c r="E31" s="5" t="s">
        <v>387</v>
      </c>
      <c r="F31" s="9" t="s">
        <v>22</v>
      </c>
      <c r="G31" s="20" t="s">
        <v>23</v>
      </c>
      <c r="H31" s="20"/>
      <c r="I31" s="20" t="s">
        <v>176</v>
      </c>
      <c r="J31" s="20" t="s">
        <v>7</v>
      </c>
      <c r="K31" s="20" t="s">
        <v>7</v>
      </c>
      <c r="L31" s="2" t="s">
        <v>48</v>
      </c>
      <c r="M31">
        <v>1</v>
      </c>
    </row>
    <row r="32" spans="1:13" ht="89.25">
      <c r="A32" s="2" t="s">
        <v>16</v>
      </c>
      <c r="B32" s="2" t="s">
        <v>41</v>
      </c>
      <c r="C32" s="73" t="s">
        <v>5296</v>
      </c>
      <c r="D32" s="30" t="s">
        <v>728</v>
      </c>
      <c r="E32" s="5" t="s">
        <v>390</v>
      </c>
      <c r="F32" s="9" t="s">
        <v>22</v>
      </c>
      <c r="G32" s="20" t="s">
        <v>23</v>
      </c>
      <c r="H32" s="20"/>
      <c r="I32" s="20" t="s">
        <v>176</v>
      </c>
      <c r="J32" s="20" t="s">
        <v>7</v>
      </c>
      <c r="K32" s="20" t="s">
        <v>7</v>
      </c>
      <c r="L32" s="2" t="s">
        <v>48</v>
      </c>
      <c r="M32">
        <v>1</v>
      </c>
    </row>
    <row r="33" spans="1:13" ht="76.5">
      <c r="A33" s="2" t="s">
        <v>16</v>
      </c>
      <c r="B33" s="2" t="s">
        <v>41</v>
      </c>
      <c r="C33" s="73" t="s">
        <v>5296</v>
      </c>
      <c r="D33" s="30" t="s">
        <v>729</v>
      </c>
      <c r="E33" s="5" t="s">
        <v>392</v>
      </c>
      <c r="F33" s="9" t="s">
        <v>22</v>
      </c>
      <c r="G33" s="20" t="s">
        <v>23</v>
      </c>
      <c r="H33" s="20"/>
      <c r="I33" s="20" t="s">
        <v>176</v>
      </c>
      <c r="J33" s="20" t="s">
        <v>7</v>
      </c>
      <c r="K33" s="20" t="s">
        <v>7</v>
      </c>
      <c r="L33" s="2" t="s">
        <v>48</v>
      </c>
      <c r="M33">
        <v>1</v>
      </c>
    </row>
    <row r="34" spans="1:13" ht="76.5">
      <c r="A34" s="2" t="s">
        <v>16</v>
      </c>
      <c r="B34" s="2" t="s">
        <v>41</v>
      </c>
      <c r="C34" s="73" t="s">
        <v>5296</v>
      </c>
      <c r="D34" s="30" t="s">
        <v>730</v>
      </c>
      <c r="E34" s="5" t="s">
        <v>392</v>
      </c>
      <c r="F34" s="9" t="s">
        <v>22</v>
      </c>
      <c r="G34" s="20" t="s">
        <v>23</v>
      </c>
      <c r="H34" s="20"/>
      <c r="I34" s="20" t="s">
        <v>176</v>
      </c>
      <c r="J34" s="20" t="s">
        <v>7</v>
      </c>
      <c r="K34" s="20" t="s">
        <v>7</v>
      </c>
      <c r="L34" s="2" t="s">
        <v>48</v>
      </c>
      <c r="M34">
        <v>1</v>
      </c>
    </row>
    <row r="35" spans="1:13" ht="76.5">
      <c r="A35" s="2" t="s">
        <v>16</v>
      </c>
      <c r="B35" s="2" t="s">
        <v>41</v>
      </c>
      <c r="C35" s="73" t="s">
        <v>5296</v>
      </c>
      <c r="D35" s="30" t="s">
        <v>731</v>
      </c>
      <c r="E35" s="5" t="s">
        <v>397</v>
      </c>
      <c r="F35" s="9" t="s">
        <v>22</v>
      </c>
      <c r="G35" s="20" t="s">
        <v>23</v>
      </c>
      <c r="H35" s="20"/>
      <c r="I35" s="20" t="s">
        <v>176</v>
      </c>
      <c r="J35" s="20" t="s">
        <v>7</v>
      </c>
      <c r="K35" s="20" t="s">
        <v>7</v>
      </c>
      <c r="L35" s="2" t="s">
        <v>48</v>
      </c>
      <c r="M35">
        <v>1</v>
      </c>
    </row>
    <row r="36" spans="1:13" ht="76.5">
      <c r="A36" s="2" t="s">
        <v>16</v>
      </c>
      <c r="B36" s="2" t="s">
        <v>41</v>
      </c>
      <c r="C36" s="73" t="s">
        <v>5296</v>
      </c>
      <c r="D36" s="30" t="s">
        <v>732</v>
      </c>
      <c r="E36" s="5" t="s">
        <v>401</v>
      </c>
      <c r="F36" s="9" t="s">
        <v>22</v>
      </c>
      <c r="G36" s="20" t="s">
        <v>23</v>
      </c>
      <c r="H36" s="20"/>
      <c r="I36" s="20" t="s">
        <v>176</v>
      </c>
      <c r="J36" s="20" t="s">
        <v>7</v>
      </c>
      <c r="K36" s="20" t="s">
        <v>7</v>
      </c>
      <c r="L36" s="2" t="s">
        <v>48</v>
      </c>
      <c r="M36">
        <v>1</v>
      </c>
    </row>
    <row r="37" spans="1:13" ht="76.5">
      <c r="A37" s="2" t="s">
        <v>16</v>
      </c>
      <c r="B37" s="2" t="s">
        <v>41</v>
      </c>
      <c r="C37" s="73" t="s">
        <v>5296</v>
      </c>
      <c r="D37" s="30" t="s">
        <v>733</v>
      </c>
      <c r="E37" s="5" t="s">
        <v>404</v>
      </c>
      <c r="F37" s="9" t="s">
        <v>22</v>
      </c>
      <c r="G37" s="20" t="s">
        <v>23</v>
      </c>
      <c r="H37" s="20"/>
      <c r="I37" s="20" t="s">
        <v>176</v>
      </c>
      <c r="J37" s="20" t="s">
        <v>7</v>
      </c>
      <c r="K37" s="20" t="s">
        <v>7</v>
      </c>
      <c r="L37" s="2" t="s">
        <v>48</v>
      </c>
      <c r="M37">
        <v>1</v>
      </c>
    </row>
    <row r="38" spans="1:13" ht="89.25">
      <c r="A38" s="2" t="s">
        <v>16</v>
      </c>
      <c r="B38" s="2" t="s">
        <v>41</v>
      </c>
      <c r="C38" s="73" t="s">
        <v>5298</v>
      </c>
      <c r="D38" s="30" t="s">
        <v>734</v>
      </c>
      <c r="E38" s="5" t="s">
        <v>407</v>
      </c>
      <c r="F38" s="9" t="s">
        <v>22</v>
      </c>
      <c r="G38" s="20" t="s">
        <v>23</v>
      </c>
      <c r="H38" s="20"/>
      <c r="I38" s="20" t="s">
        <v>176</v>
      </c>
      <c r="J38" s="20" t="s">
        <v>7</v>
      </c>
      <c r="K38" s="20" t="s">
        <v>7</v>
      </c>
      <c r="L38" s="2" t="s">
        <v>48</v>
      </c>
      <c r="M38">
        <v>1</v>
      </c>
    </row>
    <row r="39" spans="1:13" ht="89.25">
      <c r="A39" s="2" t="s">
        <v>16</v>
      </c>
      <c r="B39" s="2" t="s">
        <v>41</v>
      </c>
      <c r="C39" s="73" t="s">
        <v>5298</v>
      </c>
      <c r="D39" s="30" t="s">
        <v>735</v>
      </c>
      <c r="E39" s="5" t="s">
        <v>407</v>
      </c>
      <c r="F39" s="9" t="s">
        <v>22</v>
      </c>
      <c r="G39" s="20" t="s">
        <v>23</v>
      </c>
      <c r="H39" s="20"/>
      <c r="I39" s="20" t="s">
        <v>176</v>
      </c>
      <c r="J39" s="20" t="s">
        <v>7</v>
      </c>
      <c r="K39" s="20" t="s">
        <v>7</v>
      </c>
      <c r="L39" s="2" t="s">
        <v>48</v>
      </c>
      <c r="M39">
        <v>1</v>
      </c>
    </row>
    <row r="40" spans="1:13" ht="89.25">
      <c r="A40" s="2" t="s">
        <v>16</v>
      </c>
      <c r="B40" s="2" t="s">
        <v>41</v>
      </c>
      <c r="C40" s="73" t="s">
        <v>5298</v>
      </c>
      <c r="D40" s="30" t="s">
        <v>736</v>
      </c>
      <c r="E40" s="5" t="s">
        <v>407</v>
      </c>
      <c r="F40" s="9" t="s">
        <v>22</v>
      </c>
      <c r="G40" s="20" t="s">
        <v>23</v>
      </c>
      <c r="H40" s="20"/>
      <c r="I40" s="20" t="s">
        <v>176</v>
      </c>
      <c r="J40" s="20" t="s">
        <v>7</v>
      </c>
      <c r="K40" s="20" t="s">
        <v>7</v>
      </c>
      <c r="L40" s="2" t="s">
        <v>48</v>
      </c>
      <c r="M40">
        <v>1</v>
      </c>
    </row>
    <row r="41" spans="1:13" ht="76.5">
      <c r="A41" s="2" t="s">
        <v>16</v>
      </c>
      <c r="B41" s="2" t="s">
        <v>41</v>
      </c>
      <c r="C41" s="73" t="s">
        <v>5298</v>
      </c>
      <c r="D41" s="30" t="s">
        <v>737</v>
      </c>
      <c r="E41" s="5" t="s">
        <v>419</v>
      </c>
      <c r="F41" s="9" t="s">
        <v>22</v>
      </c>
      <c r="G41" s="20" t="s">
        <v>23</v>
      </c>
      <c r="H41" s="20"/>
      <c r="I41" s="20" t="s">
        <v>176</v>
      </c>
      <c r="J41" s="20" t="s">
        <v>7</v>
      </c>
      <c r="K41" s="20" t="s">
        <v>7</v>
      </c>
      <c r="L41" s="2" t="s">
        <v>48</v>
      </c>
      <c r="M41">
        <v>1</v>
      </c>
    </row>
    <row r="42" spans="1:13" ht="76.5">
      <c r="A42" s="2" t="s">
        <v>16</v>
      </c>
      <c r="B42" s="2" t="s">
        <v>41</v>
      </c>
      <c r="C42" s="73" t="s">
        <v>5298</v>
      </c>
      <c r="D42" s="30" t="s">
        <v>739</v>
      </c>
      <c r="E42" s="5" t="s">
        <v>422</v>
      </c>
      <c r="F42" s="9" t="s">
        <v>22</v>
      </c>
      <c r="G42" s="20" t="s">
        <v>23</v>
      </c>
      <c r="H42" s="20"/>
      <c r="I42" s="20" t="s">
        <v>176</v>
      </c>
      <c r="J42" s="20" t="s">
        <v>7</v>
      </c>
      <c r="K42" s="20" t="s">
        <v>7</v>
      </c>
      <c r="L42" s="2" t="s">
        <v>48</v>
      </c>
      <c r="M42">
        <v>1</v>
      </c>
    </row>
    <row r="43" spans="1:13" ht="76.5">
      <c r="A43" s="2" t="s">
        <v>16</v>
      </c>
      <c r="B43" s="2" t="s">
        <v>41</v>
      </c>
      <c r="C43" s="73" t="s">
        <v>5298</v>
      </c>
      <c r="D43" s="30" t="s">
        <v>740</v>
      </c>
      <c r="E43" s="5" t="s">
        <v>426</v>
      </c>
      <c r="F43" s="9" t="s">
        <v>22</v>
      </c>
      <c r="G43" s="20" t="s">
        <v>23</v>
      </c>
      <c r="H43" s="20"/>
      <c r="I43" s="20" t="s">
        <v>176</v>
      </c>
      <c r="J43" s="20" t="s">
        <v>7</v>
      </c>
      <c r="K43" s="20" t="s">
        <v>7</v>
      </c>
      <c r="L43" s="2" t="s">
        <v>48</v>
      </c>
      <c r="M43">
        <v>1</v>
      </c>
    </row>
    <row r="44" spans="1:13" ht="76.5">
      <c r="A44" s="2" t="s">
        <v>16</v>
      </c>
      <c r="B44" s="2" t="s">
        <v>41</v>
      </c>
      <c r="C44" s="73" t="s">
        <v>5301</v>
      </c>
      <c r="D44" s="30" t="s">
        <v>741</v>
      </c>
      <c r="E44" s="5" t="s">
        <v>428</v>
      </c>
      <c r="F44" s="9" t="s">
        <v>22</v>
      </c>
      <c r="G44" s="20" t="s">
        <v>23</v>
      </c>
      <c r="H44" s="20"/>
      <c r="I44" s="20" t="s">
        <v>176</v>
      </c>
      <c r="J44" s="20" t="s">
        <v>7</v>
      </c>
      <c r="K44" s="20" t="s">
        <v>7</v>
      </c>
      <c r="L44" s="2" t="s">
        <v>48</v>
      </c>
      <c r="M44">
        <v>1</v>
      </c>
    </row>
    <row r="45" spans="1:13" ht="89.25">
      <c r="A45" s="2" t="s">
        <v>16</v>
      </c>
      <c r="B45" s="2" t="s">
        <v>41</v>
      </c>
      <c r="C45" s="73" t="s">
        <v>5301</v>
      </c>
      <c r="D45" s="30" t="s">
        <v>742</v>
      </c>
      <c r="E45" s="5" t="s">
        <v>431</v>
      </c>
      <c r="F45" s="9" t="s">
        <v>22</v>
      </c>
      <c r="G45" s="20" t="s">
        <v>23</v>
      </c>
      <c r="H45" s="20"/>
      <c r="I45" s="20" t="s">
        <v>176</v>
      </c>
      <c r="J45" s="20" t="s">
        <v>7</v>
      </c>
      <c r="K45" s="20" t="s">
        <v>7</v>
      </c>
      <c r="L45" s="2" t="s">
        <v>48</v>
      </c>
      <c r="M45">
        <v>1</v>
      </c>
    </row>
    <row r="46" spans="1:13" ht="76.5">
      <c r="A46" s="2" t="s">
        <v>16</v>
      </c>
      <c r="B46" s="2" t="s">
        <v>41</v>
      </c>
      <c r="C46" s="73" t="s">
        <v>5296</v>
      </c>
      <c r="D46" s="30" t="s">
        <v>743</v>
      </c>
      <c r="E46" s="5" t="s">
        <v>434</v>
      </c>
      <c r="F46" s="9" t="s">
        <v>22</v>
      </c>
      <c r="G46" s="20" t="s">
        <v>23</v>
      </c>
      <c r="H46" s="20"/>
      <c r="I46" s="20" t="s">
        <v>176</v>
      </c>
      <c r="J46" s="20" t="s">
        <v>7</v>
      </c>
      <c r="K46" s="20" t="s">
        <v>7</v>
      </c>
      <c r="L46" s="2" t="s">
        <v>48</v>
      </c>
      <c r="M46">
        <v>1</v>
      </c>
    </row>
    <row r="47" spans="1:13" ht="76.5">
      <c r="A47" s="2" t="s">
        <v>16</v>
      </c>
      <c r="B47" s="2" t="s">
        <v>41</v>
      </c>
      <c r="C47" s="73" t="s">
        <v>5296</v>
      </c>
      <c r="D47" s="30" t="s">
        <v>744</v>
      </c>
      <c r="E47" s="5" t="s">
        <v>437</v>
      </c>
      <c r="F47" s="9" t="s">
        <v>22</v>
      </c>
      <c r="G47" s="20" t="s">
        <v>23</v>
      </c>
      <c r="H47" s="20"/>
      <c r="I47" s="20" t="s">
        <v>176</v>
      </c>
      <c r="J47" s="20" t="s">
        <v>7</v>
      </c>
      <c r="K47" s="20" t="s">
        <v>7</v>
      </c>
      <c r="L47" s="2" t="s">
        <v>48</v>
      </c>
      <c r="M47">
        <v>1</v>
      </c>
    </row>
    <row r="48" spans="1:13" ht="76.5">
      <c r="A48" s="2" t="s">
        <v>16</v>
      </c>
      <c r="B48" s="2" t="s">
        <v>41</v>
      </c>
      <c r="C48" s="73" t="s">
        <v>5296</v>
      </c>
      <c r="D48" s="30" t="s">
        <v>745</v>
      </c>
      <c r="E48" s="5" t="s">
        <v>441</v>
      </c>
      <c r="F48" s="9" t="s">
        <v>22</v>
      </c>
      <c r="G48" s="20" t="s">
        <v>23</v>
      </c>
      <c r="H48" s="20"/>
      <c r="I48" s="20" t="s">
        <v>176</v>
      </c>
      <c r="J48" s="20" t="s">
        <v>7</v>
      </c>
      <c r="K48" s="20" t="s">
        <v>7</v>
      </c>
      <c r="L48" s="2" t="s">
        <v>48</v>
      </c>
      <c r="M48">
        <v>1</v>
      </c>
    </row>
    <row r="49" spans="1:21" ht="76.5">
      <c r="A49" s="2" t="s">
        <v>16</v>
      </c>
      <c r="B49" s="2" t="s">
        <v>41</v>
      </c>
      <c r="C49" s="73" t="s">
        <v>5296</v>
      </c>
      <c r="D49" s="30" t="s">
        <v>747</v>
      </c>
      <c r="E49" s="5" t="s">
        <v>437</v>
      </c>
      <c r="F49" s="9" t="s">
        <v>22</v>
      </c>
      <c r="G49" s="20" t="s">
        <v>23</v>
      </c>
      <c r="H49" s="20"/>
      <c r="I49" s="20" t="s">
        <v>176</v>
      </c>
      <c r="J49" s="20" t="s">
        <v>7</v>
      </c>
      <c r="K49" s="20" t="s">
        <v>7</v>
      </c>
      <c r="L49" s="2" t="s">
        <v>48</v>
      </c>
      <c r="M49">
        <v>1</v>
      </c>
    </row>
    <row r="50" spans="1:21" ht="76.5">
      <c r="A50" s="2" t="s">
        <v>16</v>
      </c>
      <c r="B50" s="2" t="s">
        <v>41</v>
      </c>
      <c r="C50" s="73" t="s">
        <v>5296</v>
      </c>
      <c r="D50" s="30" t="s">
        <v>748</v>
      </c>
      <c r="E50" s="5" t="s">
        <v>434</v>
      </c>
      <c r="F50" s="9" t="s">
        <v>22</v>
      </c>
      <c r="G50" s="20" t="s">
        <v>23</v>
      </c>
      <c r="H50" s="20"/>
      <c r="I50" s="20" t="s">
        <v>176</v>
      </c>
      <c r="J50" s="20" t="s">
        <v>7</v>
      </c>
      <c r="K50" s="20" t="s">
        <v>7</v>
      </c>
      <c r="L50" s="2" t="s">
        <v>48</v>
      </c>
      <c r="M50">
        <v>1</v>
      </c>
    </row>
    <row r="51" spans="1:21" ht="344.25">
      <c r="A51" s="2" t="s">
        <v>16</v>
      </c>
      <c r="B51" s="81" t="s">
        <v>33</v>
      </c>
      <c r="C51" s="73" t="s">
        <v>5267</v>
      </c>
      <c r="D51" s="125" t="s">
        <v>55</v>
      </c>
      <c r="E51" s="5" t="s">
        <v>58</v>
      </c>
      <c r="F51" s="9" t="s">
        <v>22</v>
      </c>
      <c r="G51" s="20" t="s">
        <v>61</v>
      </c>
      <c r="H51" s="20" t="s">
        <v>24</v>
      </c>
      <c r="I51" s="20" t="s">
        <v>7</v>
      </c>
      <c r="J51" s="20" t="s">
        <v>7</v>
      </c>
      <c r="K51" s="20" t="s">
        <v>7</v>
      </c>
      <c r="L51" s="2" t="s">
        <v>25</v>
      </c>
      <c r="M51">
        <v>1</v>
      </c>
    </row>
    <row r="52" spans="1:21" ht="102">
      <c r="A52" s="2" t="s">
        <v>16</v>
      </c>
      <c r="B52" s="2" t="s">
        <v>33</v>
      </c>
      <c r="C52" s="90" t="s">
        <v>5299</v>
      </c>
      <c r="D52" s="76" t="s">
        <v>145</v>
      </c>
      <c r="E52" s="9" t="s">
        <v>146</v>
      </c>
      <c r="F52" s="9" t="s">
        <v>22</v>
      </c>
      <c r="G52" s="20" t="s">
        <v>61</v>
      </c>
      <c r="H52" s="20"/>
      <c r="I52" s="20" t="s">
        <v>7</v>
      </c>
      <c r="J52" s="20" t="s">
        <v>7</v>
      </c>
      <c r="K52" s="20" t="s">
        <v>7</v>
      </c>
      <c r="L52" s="2" t="s">
        <v>25</v>
      </c>
      <c r="M52">
        <v>1</v>
      </c>
    </row>
    <row r="53" spans="1:21" ht="293.25">
      <c r="A53" s="2" t="s">
        <v>16</v>
      </c>
      <c r="B53" s="81" t="s">
        <v>17</v>
      </c>
      <c r="C53" s="73" t="s">
        <v>5300</v>
      </c>
      <c r="D53" s="76" t="s">
        <v>118</v>
      </c>
      <c r="E53" s="5" t="s">
        <v>119</v>
      </c>
      <c r="F53" s="9" t="s">
        <v>22</v>
      </c>
      <c r="G53" s="20" t="s">
        <v>61</v>
      </c>
      <c r="H53" s="20" t="s">
        <v>24</v>
      </c>
      <c r="I53" s="20" t="s">
        <v>7</v>
      </c>
      <c r="J53" s="20" t="s">
        <v>7</v>
      </c>
      <c r="K53" s="20" t="s">
        <v>7</v>
      </c>
      <c r="L53" s="2" t="s">
        <v>25</v>
      </c>
      <c r="M53">
        <v>1</v>
      </c>
    </row>
    <row r="54" spans="1:21" s="98" customFormat="1" ht="165.75">
      <c r="A54" s="83" t="s">
        <v>16</v>
      </c>
      <c r="B54" s="83" t="s">
        <v>26</v>
      </c>
      <c r="C54" s="121" t="s">
        <v>5457</v>
      </c>
      <c r="D54" s="87" t="s">
        <v>76</v>
      </c>
      <c r="E54" s="114" t="s">
        <v>77</v>
      </c>
      <c r="F54" s="85" t="s">
        <v>78</v>
      </c>
      <c r="G54" s="105"/>
      <c r="H54" s="105"/>
      <c r="I54" s="105"/>
      <c r="J54" s="105"/>
      <c r="K54" s="105">
        <v>2</v>
      </c>
      <c r="L54" s="2" t="s">
        <v>79</v>
      </c>
      <c r="M54" s="34" t="s">
        <v>80</v>
      </c>
      <c r="N54" s="85" t="s">
        <v>22</v>
      </c>
      <c r="O54" s="83" t="s">
        <v>81</v>
      </c>
      <c r="P54" s="2" t="s">
        <v>4</v>
      </c>
      <c r="Q54" s="83" t="s">
        <v>24</v>
      </c>
      <c r="R54" s="83" t="s">
        <v>7</v>
      </c>
      <c r="S54" s="83" t="s">
        <v>7</v>
      </c>
      <c r="T54" s="83" t="s">
        <v>7</v>
      </c>
      <c r="U54" s="83" t="s">
        <v>82</v>
      </c>
    </row>
    <row r="55" spans="1:21" s="82" customFormat="1" ht="107.25" customHeight="1">
      <c r="A55" s="83" t="s">
        <v>16</v>
      </c>
      <c r="B55" s="83" t="s">
        <v>17</v>
      </c>
      <c r="C55" s="121" t="s">
        <v>5457</v>
      </c>
      <c r="D55" s="87" t="s">
        <v>557</v>
      </c>
      <c r="E55" s="17" t="s">
        <v>77</v>
      </c>
      <c r="F55" s="5" t="s">
        <v>78</v>
      </c>
      <c r="G55" s="107"/>
      <c r="H55" s="107"/>
      <c r="I55" s="107"/>
      <c r="J55" s="107"/>
      <c r="K55" s="107">
        <v>1</v>
      </c>
      <c r="L55" s="2" t="s">
        <v>558</v>
      </c>
      <c r="M55" s="10" t="s">
        <v>559</v>
      </c>
      <c r="N55" s="9" t="s">
        <v>22</v>
      </c>
      <c r="O55" s="2" t="s">
        <v>81</v>
      </c>
      <c r="P55" s="2" t="s">
        <v>278</v>
      </c>
      <c r="Q55" s="2"/>
      <c r="R55" s="2" t="s">
        <v>176</v>
      </c>
      <c r="S55" s="2" t="s">
        <v>176</v>
      </c>
      <c r="T55" s="2" t="s">
        <v>7</v>
      </c>
      <c r="U55" s="2" t="s">
        <v>25</v>
      </c>
    </row>
    <row r="56" spans="1:21" s="82" customFormat="1" ht="86.25" customHeight="1">
      <c r="A56" s="83" t="s">
        <v>16</v>
      </c>
      <c r="B56" s="83" t="s">
        <v>17</v>
      </c>
      <c r="C56" s="121" t="s">
        <v>5457</v>
      </c>
      <c r="D56" s="87" t="s">
        <v>569</v>
      </c>
      <c r="E56" s="78" t="s">
        <v>5447</v>
      </c>
      <c r="F56" s="102" t="s">
        <v>5446</v>
      </c>
      <c r="G56" s="102" t="s">
        <v>5445</v>
      </c>
      <c r="H56" s="103"/>
      <c r="I56" s="103"/>
      <c r="J56" s="103"/>
      <c r="K56" s="103"/>
      <c r="L56" s="2" t="s">
        <v>570</v>
      </c>
      <c r="M56" s="10" t="s">
        <v>571</v>
      </c>
      <c r="N56" s="9" t="s">
        <v>22</v>
      </c>
      <c r="O56" s="2" t="s">
        <v>61</v>
      </c>
      <c r="P56" s="2" t="s">
        <v>4</v>
      </c>
      <c r="Q56" s="2"/>
      <c r="R56" s="2" t="s">
        <v>176</v>
      </c>
      <c r="S56" s="2" t="s">
        <v>7</v>
      </c>
      <c r="T56" s="2" t="s">
        <v>7</v>
      </c>
      <c r="U56" s="2" t="s">
        <v>25</v>
      </c>
    </row>
    <row r="57" spans="1:21" s="82" customFormat="1" ht="50.25" customHeight="1">
      <c r="A57" s="83" t="s">
        <v>16</v>
      </c>
      <c r="B57" s="83" t="s">
        <v>17</v>
      </c>
      <c r="C57" s="121" t="s">
        <v>5457</v>
      </c>
      <c r="D57" s="87" t="s">
        <v>138</v>
      </c>
      <c r="E57" s="5" t="s">
        <v>77</v>
      </c>
      <c r="F57" s="5" t="s">
        <v>78</v>
      </c>
      <c r="G57" s="103"/>
      <c r="H57" s="103"/>
      <c r="I57" s="103"/>
      <c r="J57" s="103"/>
      <c r="K57" s="103">
        <v>2</v>
      </c>
      <c r="L57" s="2" t="s">
        <v>139</v>
      </c>
      <c r="M57" s="10" t="s">
        <v>140</v>
      </c>
      <c r="N57" s="9" t="s">
        <v>22</v>
      </c>
      <c r="O57" s="2" t="s">
        <v>81</v>
      </c>
      <c r="P57" s="2" t="s">
        <v>4</v>
      </c>
      <c r="Q57" s="2" t="s">
        <v>24</v>
      </c>
      <c r="R57" s="2" t="s">
        <v>7</v>
      </c>
      <c r="S57" s="2" t="s">
        <v>7</v>
      </c>
      <c r="T57" s="2" t="s">
        <v>7</v>
      </c>
      <c r="U57" s="2" t="s">
        <v>25</v>
      </c>
    </row>
    <row r="58" spans="1:21" s="82" customFormat="1" ht="117.75" customHeight="1">
      <c r="A58" s="83" t="s">
        <v>16</v>
      </c>
      <c r="B58" s="83" t="s">
        <v>64</v>
      </c>
      <c r="C58" s="121" t="s">
        <v>5457</v>
      </c>
      <c r="D58" s="126" t="s">
        <v>65</v>
      </c>
      <c r="E58" s="78" t="s">
        <v>35</v>
      </c>
      <c r="F58" s="102" t="s">
        <v>3</v>
      </c>
      <c r="G58" s="102" t="s">
        <v>5352</v>
      </c>
      <c r="H58" s="102" t="s">
        <v>5392</v>
      </c>
      <c r="I58" s="103"/>
      <c r="J58" s="103"/>
      <c r="K58" s="102" t="s">
        <v>5351</v>
      </c>
      <c r="L58" s="2" t="s">
        <v>68</v>
      </c>
      <c r="M58" s="10" t="s">
        <v>70</v>
      </c>
      <c r="N58" s="9" t="s">
        <v>22</v>
      </c>
      <c r="O58" s="16" t="s">
        <v>5396</v>
      </c>
      <c r="P58" s="2" t="s">
        <v>4</v>
      </c>
      <c r="Q58" s="2" t="s">
        <v>24</v>
      </c>
      <c r="R58" s="2" t="s">
        <v>7</v>
      </c>
      <c r="S58" s="2" t="s">
        <v>7</v>
      </c>
      <c r="T58" s="2" t="s">
        <v>7</v>
      </c>
      <c r="U58" s="2" t="s">
        <v>72</v>
      </c>
    </row>
    <row r="59" spans="1:21" s="82" customFormat="1" ht="165.75">
      <c r="A59" s="83" t="s">
        <v>16</v>
      </c>
      <c r="B59" s="83" t="s">
        <v>17</v>
      </c>
      <c r="C59" s="121" t="s">
        <v>5457</v>
      </c>
      <c r="D59" s="126" t="s">
        <v>575</v>
      </c>
      <c r="E59" s="104" t="s">
        <v>77</v>
      </c>
      <c r="F59" s="9" t="s">
        <v>78</v>
      </c>
      <c r="G59" s="104"/>
      <c r="H59" s="104"/>
      <c r="I59" s="104"/>
      <c r="J59" s="104"/>
      <c r="K59" s="104">
        <v>2</v>
      </c>
      <c r="L59" s="2" t="s">
        <v>576</v>
      </c>
      <c r="M59" s="34" t="s">
        <v>577</v>
      </c>
      <c r="N59" s="9" t="s">
        <v>22</v>
      </c>
      <c r="O59" s="2" t="s">
        <v>81</v>
      </c>
      <c r="P59" s="2" t="s">
        <v>4</v>
      </c>
      <c r="Q59" s="2"/>
      <c r="R59" s="2" t="s">
        <v>176</v>
      </c>
      <c r="S59" s="2" t="s">
        <v>176</v>
      </c>
      <c r="T59" s="2" t="s">
        <v>7</v>
      </c>
      <c r="U59" s="2" t="s">
        <v>25</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U18"/>
  <sheetViews>
    <sheetView zoomScale="80" zoomScaleNormal="80" workbookViewId="0">
      <selection activeCell="B1" sqref="B1"/>
    </sheetView>
  </sheetViews>
  <sheetFormatPr baseColWidth="10" defaultColWidth="11.42578125" defaultRowHeight="12.75"/>
  <cols>
    <col min="4" max="4" width="20.7109375" customWidth="1"/>
    <col min="5" max="5" width="33.28515625" customWidth="1"/>
  </cols>
  <sheetData>
    <row r="2" spans="1:21" ht="15">
      <c r="A2" s="77" t="s">
        <v>5277</v>
      </c>
    </row>
    <row r="3" spans="1:21">
      <c r="C3" s="80" t="s">
        <v>5279</v>
      </c>
    </row>
    <row r="4" spans="1:21" ht="89.25">
      <c r="A4" s="2" t="s">
        <v>16</v>
      </c>
      <c r="B4" s="2" t="s">
        <v>26</v>
      </c>
      <c r="C4" s="75" t="s">
        <v>5278</v>
      </c>
      <c r="D4" s="28" t="s">
        <v>110</v>
      </c>
      <c r="E4" s="78" t="s">
        <v>111</v>
      </c>
      <c r="F4" s="9" t="s">
        <v>22</v>
      </c>
      <c r="G4" s="20" t="s">
        <v>114</v>
      </c>
      <c r="H4" s="20" t="s">
        <v>24</v>
      </c>
      <c r="I4" s="20" t="s">
        <v>22</v>
      </c>
      <c r="J4" s="20" t="s">
        <v>22</v>
      </c>
      <c r="K4" s="20" t="s">
        <v>22</v>
      </c>
      <c r="L4" s="2" t="s">
        <v>26</v>
      </c>
      <c r="M4">
        <v>1</v>
      </c>
    </row>
    <row r="5" spans="1:21" ht="128.25">
      <c r="A5" s="2" t="s">
        <v>16</v>
      </c>
      <c r="B5" s="79" t="s">
        <v>17</v>
      </c>
      <c r="C5" s="75" t="s">
        <v>5272</v>
      </c>
      <c r="D5" s="29" t="s">
        <v>172</v>
      </c>
      <c r="E5" s="5" t="s">
        <v>77</v>
      </c>
      <c r="F5" s="9" t="s">
        <v>22</v>
      </c>
      <c r="G5" s="20" t="s">
        <v>81</v>
      </c>
      <c r="H5" s="20"/>
      <c r="I5" s="20" t="s">
        <v>22</v>
      </c>
      <c r="J5" s="20" t="s">
        <v>22</v>
      </c>
      <c r="K5" s="20" t="s">
        <v>22</v>
      </c>
      <c r="L5" s="2" t="s">
        <v>0</v>
      </c>
      <c r="M5">
        <v>1</v>
      </c>
    </row>
    <row r="6" spans="1:21" ht="89.25">
      <c r="A6" s="2" t="s">
        <v>16</v>
      </c>
      <c r="B6" s="81" t="s">
        <v>33</v>
      </c>
      <c r="C6" s="73" t="s">
        <v>5271</v>
      </c>
      <c r="D6" s="76" t="s">
        <v>91</v>
      </c>
      <c r="E6" s="5" t="s">
        <v>77</v>
      </c>
      <c r="F6" s="9" t="s">
        <v>22</v>
      </c>
      <c r="G6" s="20" t="s">
        <v>81</v>
      </c>
      <c r="H6" s="20" t="s">
        <v>24</v>
      </c>
      <c r="I6" s="20" t="s">
        <v>7</v>
      </c>
      <c r="J6" s="20" t="s">
        <v>7</v>
      </c>
      <c r="K6" s="20" t="s">
        <v>7</v>
      </c>
      <c r="L6" s="2" t="s">
        <v>82</v>
      </c>
      <c r="M6">
        <v>1</v>
      </c>
    </row>
    <row r="7" spans="1:21" ht="63.75">
      <c r="A7" s="2" t="s">
        <v>16</v>
      </c>
      <c r="B7" s="81" t="s">
        <v>33</v>
      </c>
      <c r="C7" s="73" t="s">
        <v>5271</v>
      </c>
      <c r="D7" s="76" t="s">
        <v>153</v>
      </c>
      <c r="E7" s="5" t="s">
        <v>77</v>
      </c>
      <c r="F7" s="9" t="s">
        <v>22</v>
      </c>
      <c r="G7" s="20" t="s">
        <v>81</v>
      </c>
      <c r="H7" s="20"/>
      <c r="I7" s="20" t="s">
        <v>7</v>
      </c>
      <c r="J7" s="20" t="s">
        <v>7</v>
      </c>
      <c r="K7" s="20" t="s">
        <v>7</v>
      </c>
      <c r="L7" s="2" t="s">
        <v>82</v>
      </c>
      <c r="M7">
        <v>1</v>
      </c>
    </row>
    <row r="8" spans="1:21" ht="63.75">
      <c r="A8" s="2" t="s">
        <v>16</v>
      </c>
      <c r="B8" s="2" t="s">
        <v>26</v>
      </c>
      <c r="C8" s="73" t="s">
        <v>5287</v>
      </c>
      <c r="D8" s="30" t="s">
        <v>721</v>
      </c>
      <c r="E8" s="16" t="s">
        <v>169</v>
      </c>
      <c r="F8" s="9" t="s">
        <v>22</v>
      </c>
      <c r="G8" s="20" t="s">
        <v>23</v>
      </c>
      <c r="H8" s="20"/>
      <c r="I8" s="20" t="s">
        <v>7</v>
      </c>
      <c r="J8" s="20" t="s">
        <v>7</v>
      </c>
      <c r="K8" s="20" t="s">
        <v>7</v>
      </c>
      <c r="L8" s="2" t="s">
        <v>26</v>
      </c>
      <c r="M8">
        <v>1</v>
      </c>
    </row>
    <row r="9" spans="1:21" ht="76.5">
      <c r="A9" s="2" t="s">
        <v>16</v>
      </c>
      <c r="B9" s="2" t="s">
        <v>26</v>
      </c>
      <c r="C9" s="73" t="s">
        <v>5288</v>
      </c>
      <c r="D9" s="35" t="s">
        <v>141</v>
      </c>
      <c r="E9" s="86" t="s">
        <v>142</v>
      </c>
      <c r="F9" s="9" t="s">
        <v>22</v>
      </c>
      <c r="G9" s="20"/>
      <c r="H9" s="20" t="s">
        <v>24</v>
      </c>
      <c r="I9" s="20" t="s">
        <v>22</v>
      </c>
      <c r="J9" s="20" t="s">
        <v>22</v>
      </c>
      <c r="K9" s="20" t="s">
        <v>22</v>
      </c>
      <c r="L9" s="2" t="s">
        <v>26</v>
      </c>
      <c r="M9">
        <v>1</v>
      </c>
    </row>
    <row r="10" spans="1:21" ht="51">
      <c r="A10" s="2" t="s">
        <v>16</v>
      </c>
      <c r="B10" s="2" t="s">
        <v>26</v>
      </c>
      <c r="C10" s="73" t="s">
        <v>5293</v>
      </c>
      <c r="D10" s="30" t="s">
        <v>133</v>
      </c>
      <c r="E10" s="5" t="s">
        <v>134</v>
      </c>
      <c r="F10" s="9" t="s">
        <v>22</v>
      </c>
      <c r="G10" s="20" t="s">
        <v>23</v>
      </c>
      <c r="H10" s="20" t="s">
        <v>24</v>
      </c>
      <c r="I10" s="20" t="s">
        <v>7</v>
      </c>
      <c r="J10" s="20" t="s">
        <v>7</v>
      </c>
      <c r="K10" s="20" t="s">
        <v>7</v>
      </c>
      <c r="L10" s="2" t="s">
        <v>26</v>
      </c>
      <c r="M10">
        <v>1</v>
      </c>
    </row>
    <row r="11" spans="1:21" ht="140.25">
      <c r="A11" s="2" t="s">
        <v>16</v>
      </c>
      <c r="B11" s="2" t="s">
        <v>26</v>
      </c>
      <c r="C11" s="73" t="s">
        <v>5293</v>
      </c>
      <c r="D11" s="76" t="s">
        <v>27</v>
      </c>
      <c r="E11" s="5" t="s">
        <v>28</v>
      </c>
      <c r="F11" s="9" t="s">
        <v>22</v>
      </c>
      <c r="G11" s="20" t="s">
        <v>23</v>
      </c>
      <c r="H11" s="20" t="s">
        <v>24</v>
      </c>
      <c r="I11" s="20" t="s">
        <v>7</v>
      </c>
      <c r="J11" s="20" t="s">
        <v>7</v>
      </c>
      <c r="K11" s="20" t="s">
        <v>7</v>
      </c>
      <c r="L11" s="2" t="s">
        <v>26</v>
      </c>
      <c r="M11">
        <v>1</v>
      </c>
    </row>
    <row r="12" spans="1:21" ht="140.25">
      <c r="A12" s="2" t="s">
        <v>16</v>
      </c>
      <c r="B12" s="2" t="s">
        <v>26</v>
      </c>
      <c r="C12" s="73" t="s">
        <v>5293</v>
      </c>
      <c r="D12" s="30" t="s">
        <v>50</v>
      </c>
      <c r="E12" s="5" t="s">
        <v>51</v>
      </c>
      <c r="F12" s="9" t="s">
        <v>22</v>
      </c>
      <c r="G12" s="20" t="s">
        <v>23</v>
      </c>
      <c r="H12" s="20" t="s">
        <v>24</v>
      </c>
      <c r="I12" s="20" t="s">
        <v>7</v>
      </c>
      <c r="J12" s="20" t="s">
        <v>7</v>
      </c>
      <c r="K12" s="20" t="s">
        <v>7</v>
      </c>
      <c r="L12" s="2" t="s">
        <v>26</v>
      </c>
      <c r="M12">
        <v>1</v>
      </c>
    </row>
    <row r="13" spans="1:21" ht="76.5">
      <c r="A13" s="2" t="s">
        <v>16</v>
      </c>
      <c r="B13" s="2" t="s">
        <v>26</v>
      </c>
      <c r="C13" s="73" t="s">
        <v>5302</v>
      </c>
      <c r="D13" s="76" t="s">
        <v>122</v>
      </c>
      <c r="E13" s="5" t="s">
        <v>123</v>
      </c>
      <c r="F13" s="9" t="s">
        <v>22</v>
      </c>
      <c r="G13" s="20" t="s">
        <v>23</v>
      </c>
      <c r="H13" s="20" t="s">
        <v>24</v>
      </c>
      <c r="I13" s="20" t="s">
        <v>7</v>
      </c>
      <c r="J13" s="20" t="s">
        <v>7</v>
      </c>
      <c r="K13" s="20" t="s">
        <v>7</v>
      </c>
      <c r="L13" s="2" t="s">
        <v>82</v>
      </c>
      <c r="M13">
        <v>1</v>
      </c>
    </row>
    <row r="14" spans="1:21" ht="38.25">
      <c r="A14" s="2" t="s">
        <v>16</v>
      </c>
      <c r="B14" s="79" t="s">
        <v>33</v>
      </c>
      <c r="C14" s="75" t="s">
        <v>5271</v>
      </c>
      <c r="D14" s="43" t="s">
        <v>165</v>
      </c>
      <c r="E14" s="20" t="s">
        <v>166</v>
      </c>
      <c r="F14" s="9" t="s">
        <v>22</v>
      </c>
      <c r="G14" s="20" t="s">
        <v>23</v>
      </c>
      <c r="H14" s="20"/>
      <c r="I14" s="20" t="s">
        <v>22</v>
      </c>
      <c r="J14" s="20" t="s">
        <v>22</v>
      </c>
      <c r="K14" s="20" t="s">
        <v>22</v>
      </c>
      <c r="L14" s="2" t="s">
        <v>82</v>
      </c>
      <c r="M14">
        <v>1</v>
      </c>
    </row>
    <row r="15" spans="1:21" ht="38.25">
      <c r="A15" s="2" t="s">
        <v>16</v>
      </c>
      <c r="B15" s="79" t="s">
        <v>33</v>
      </c>
      <c r="C15" s="75" t="s">
        <v>5271</v>
      </c>
      <c r="D15" s="43" t="s">
        <v>107</v>
      </c>
      <c r="E15" s="20" t="s">
        <v>77</v>
      </c>
      <c r="F15" s="9" t="s">
        <v>22</v>
      </c>
      <c r="G15" s="20" t="s">
        <v>81</v>
      </c>
      <c r="H15" s="20" t="s">
        <v>24</v>
      </c>
      <c r="I15" s="20" t="s">
        <v>22</v>
      </c>
      <c r="J15" s="20" t="s">
        <v>22</v>
      </c>
      <c r="K15" s="20" t="s">
        <v>22</v>
      </c>
      <c r="L15" s="2" t="s">
        <v>82</v>
      </c>
      <c r="M15">
        <v>1</v>
      </c>
    </row>
    <row r="16" spans="1:21" s="82" customFormat="1" ht="153">
      <c r="A16" s="83" t="s">
        <v>16</v>
      </c>
      <c r="B16" s="84" t="s">
        <v>41</v>
      </c>
      <c r="C16" s="120" t="s">
        <v>5453</v>
      </c>
      <c r="D16" s="122" t="s">
        <v>115</v>
      </c>
      <c r="E16" s="6" t="s">
        <v>5393</v>
      </c>
      <c r="F16" s="109" t="s">
        <v>5394</v>
      </c>
      <c r="G16" s="109" t="s">
        <v>5395</v>
      </c>
      <c r="H16" s="109"/>
      <c r="I16" s="109"/>
      <c r="J16" s="109"/>
      <c r="K16" s="109">
        <v>2</v>
      </c>
      <c r="L16" s="2" t="s">
        <v>116</v>
      </c>
      <c r="M16" s="10" t="s">
        <v>117</v>
      </c>
      <c r="N16" s="9" t="s">
        <v>22</v>
      </c>
      <c r="O16" s="2" t="s">
        <v>5322</v>
      </c>
      <c r="P16" s="2"/>
      <c r="Q16" s="2" t="s">
        <v>24</v>
      </c>
      <c r="R16" s="2" t="s">
        <v>22</v>
      </c>
      <c r="S16" s="2" t="s">
        <v>22</v>
      </c>
      <c r="T16" s="2" t="s">
        <v>22</v>
      </c>
      <c r="U16" s="2" t="s">
        <v>48</v>
      </c>
    </row>
    <row r="17" spans="1:21" s="82" customFormat="1" ht="409.5">
      <c r="A17" s="83" t="s">
        <v>16</v>
      </c>
      <c r="B17" s="84" t="s">
        <v>41</v>
      </c>
      <c r="C17" s="120" t="s">
        <v>5456</v>
      </c>
      <c r="D17" s="122" t="s">
        <v>498</v>
      </c>
      <c r="E17" s="6" t="s">
        <v>5372</v>
      </c>
      <c r="F17" s="109" t="s">
        <v>5373</v>
      </c>
      <c r="G17" s="109" t="s">
        <v>5374</v>
      </c>
      <c r="H17" s="109" t="s">
        <v>5375</v>
      </c>
      <c r="I17" s="109" t="s">
        <v>5452</v>
      </c>
      <c r="J17" s="109"/>
      <c r="K17" s="109">
        <v>5</v>
      </c>
      <c r="L17" s="2" t="s">
        <v>499</v>
      </c>
      <c r="M17" s="10" t="s">
        <v>500</v>
      </c>
      <c r="N17" s="9" t="s">
        <v>22</v>
      </c>
      <c r="O17" s="2" t="s">
        <v>5322</v>
      </c>
      <c r="P17" s="2"/>
      <c r="Q17" s="2"/>
      <c r="R17" s="2" t="s">
        <v>176</v>
      </c>
      <c r="S17" s="2" t="s">
        <v>176</v>
      </c>
      <c r="T17" s="2" t="s">
        <v>22</v>
      </c>
      <c r="U17" s="2" t="s">
        <v>48</v>
      </c>
    </row>
    <row r="18" spans="1:21" s="82" customFormat="1" ht="63.75" customHeight="1">
      <c r="A18" s="83" t="s">
        <v>16</v>
      </c>
      <c r="B18" s="84" t="s">
        <v>33</v>
      </c>
      <c r="C18" s="120" t="s">
        <v>5455</v>
      </c>
      <c r="D18" s="100" t="s">
        <v>154</v>
      </c>
      <c r="E18" s="33" t="s">
        <v>77</v>
      </c>
      <c r="F18" s="33" t="s">
        <v>78</v>
      </c>
      <c r="G18" s="33"/>
      <c r="H18" s="33"/>
      <c r="I18" s="33"/>
      <c r="J18" s="33"/>
      <c r="K18" s="33">
        <v>2</v>
      </c>
      <c r="L18" s="2" t="s">
        <v>155</v>
      </c>
      <c r="M18" s="10" t="s">
        <v>156</v>
      </c>
      <c r="N18" s="9" t="s">
        <v>22</v>
      </c>
      <c r="O18" s="2" t="s">
        <v>81</v>
      </c>
      <c r="P18" s="2"/>
      <c r="Q18" s="2"/>
      <c r="R18" s="2" t="s">
        <v>22</v>
      </c>
      <c r="S18" s="2" t="s">
        <v>22</v>
      </c>
      <c r="T18" s="2" t="s">
        <v>22</v>
      </c>
      <c r="U18" s="2" t="s">
        <v>82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L129"/>
  <sheetViews>
    <sheetView workbookViewId="0"/>
  </sheetViews>
  <sheetFormatPr baseColWidth="10" defaultColWidth="14.42578125" defaultRowHeight="15.75" customHeight="1"/>
  <cols>
    <col min="1" max="1" width="11.42578125" customWidth="1"/>
    <col min="3" max="3" width="13.7109375" customWidth="1"/>
    <col min="4" max="4" width="72" customWidth="1"/>
    <col min="5" max="5" width="47.42578125" customWidth="1"/>
    <col min="6" max="6" width="14.42578125" hidden="1"/>
    <col min="7" max="7" width="14" customWidth="1"/>
    <col min="8" max="8" width="13.7109375" customWidth="1"/>
    <col min="9" max="9" width="10.85546875" customWidth="1"/>
  </cols>
  <sheetData>
    <row r="1" spans="1:9" ht="15.75" customHeight="1">
      <c r="A1" s="13" t="s">
        <v>1</v>
      </c>
      <c r="B1" s="13" t="s">
        <v>194</v>
      </c>
      <c r="C1" s="13" t="s">
        <v>10</v>
      </c>
      <c r="D1" s="14" t="s">
        <v>195</v>
      </c>
      <c r="E1" s="13" t="s">
        <v>11</v>
      </c>
      <c r="F1" s="15" t="s">
        <v>708</v>
      </c>
      <c r="G1" s="13" t="s">
        <v>13</v>
      </c>
      <c r="H1" s="13" t="s">
        <v>14</v>
      </c>
      <c r="I1" s="13" t="s">
        <v>3</v>
      </c>
    </row>
    <row r="2" spans="1:9" ht="15.75" customHeight="1">
      <c r="A2" s="16" t="s">
        <v>5</v>
      </c>
      <c r="B2" s="16" t="s">
        <v>16</v>
      </c>
      <c r="C2" s="16" t="s">
        <v>196</v>
      </c>
      <c r="D2" s="16" t="s">
        <v>197</v>
      </c>
      <c r="E2" s="16" t="e">
        <f>VLOOKUP(D2,#REF!,2,)</f>
        <v>#REF!</v>
      </c>
      <c r="F2" s="11" t="s">
        <v>22</v>
      </c>
      <c r="G2" s="16" t="s">
        <v>114</v>
      </c>
      <c r="H2" s="12"/>
      <c r="I2" s="16" t="e">
        <f>VLOOKUP(D2,#REF!,6,)</f>
        <v>#REF!</v>
      </c>
    </row>
    <row r="3" spans="1:9" ht="15.75" customHeight="1">
      <c r="A3" s="16" t="s">
        <v>5</v>
      </c>
      <c r="B3" s="16" t="s">
        <v>16</v>
      </c>
      <c r="C3" s="16" t="s">
        <v>33</v>
      </c>
      <c r="D3" s="16" t="s">
        <v>203</v>
      </c>
      <c r="E3" s="16" t="e">
        <f>VLOOKUP(D3,#REF!,2,)</f>
        <v>#REF!</v>
      </c>
      <c r="F3" s="11" t="s">
        <v>22</v>
      </c>
      <c r="G3" s="16" t="s">
        <v>81</v>
      </c>
      <c r="H3" s="12"/>
      <c r="I3" s="16" t="e">
        <f>VLOOKUP(D3,#REF!,6,)</f>
        <v>#REF!</v>
      </c>
    </row>
    <row r="4" spans="1:9" ht="15.75" customHeight="1">
      <c r="A4" s="16" t="s">
        <v>5</v>
      </c>
      <c r="B4" s="16" t="s">
        <v>16</v>
      </c>
      <c r="C4" s="16" t="s">
        <v>33</v>
      </c>
      <c r="D4" s="16" t="s">
        <v>204</v>
      </c>
      <c r="E4" s="16" t="e">
        <f>VLOOKUP(D4,#REF!,2,)</f>
        <v>#REF!</v>
      </c>
      <c r="F4" s="11" t="s">
        <v>22</v>
      </c>
      <c r="G4" s="16" t="s">
        <v>81</v>
      </c>
      <c r="H4" s="12"/>
      <c r="I4" s="16" t="e">
        <f>VLOOKUP(D4,#REF!,6,)</f>
        <v>#REF!</v>
      </c>
    </row>
    <row r="5" spans="1:9" ht="15.75" customHeight="1">
      <c r="A5" s="16" t="s">
        <v>5</v>
      </c>
      <c r="B5" s="16" t="s">
        <v>16</v>
      </c>
      <c r="C5" s="16" t="s">
        <v>33</v>
      </c>
      <c r="D5" s="16" t="s">
        <v>279</v>
      </c>
      <c r="E5" s="16" t="e">
        <f>VLOOKUP(D5,#REF!,2,)</f>
        <v>#REF!</v>
      </c>
      <c r="F5" s="11" t="s">
        <v>22</v>
      </c>
      <c r="G5" s="16" t="s">
        <v>23</v>
      </c>
      <c r="H5" s="12"/>
      <c r="I5" s="16" t="e">
        <f>VLOOKUP(D5,#REF!,6,)</f>
        <v>#REF!</v>
      </c>
    </row>
    <row r="6" spans="1:9" ht="15.75" customHeight="1">
      <c r="A6" s="16" t="s">
        <v>5</v>
      </c>
      <c r="B6" s="16" t="s">
        <v>16</v>
      </c>
      <c r="C6" s="16" t="s">
        <v>33</v>
      </c>
      <c r="D6" s="16" t="s">
        <v>314</v>
      </c>
      <c r="E6" s="16" t="e">
        <f>VLOOKUP(D6,#REF!,2,)</f>
        <v>#REF!</v>
      </c>
      <c r="F6" s="11" t="s">
        <v>22</v>
      </c>
      <c r="G6" s="16" t="s">
        <v>81</v>
      </c>
      <c r="H6" s="12"/>
      <c r="I6" s="16" t="e">
        <f>VLOOKUP(D6,#REF!,6,)</f>
        <v>#REF!</v>
      </c>
    </row>
    <row r="7" spans="1:9" ht="15.75" customHeight="1">
      <c r="A7" s="16" t="s">
        <v>5</v>
      </c>
      <c r="B7" s="16" t="s">
        <v>16</v>
      </c>
      <c r="C7" s="16" t="s">
        <v>33</v>
      </c>
      <c r="D7" s="16" t="s">
        <v>34</v>
      </c>
      <c r="E7" s="16" t="e">
        <f>VLOOKUP(D7,#REF!,2,)</f>
        <v>#REF!</v>
      </c>
      <c r="F7" s="11" t="s">
        <v>22</v>
      </c>
      <c r="G7" s="16" t="s">
        <v>23</v>
      </c>
      <c r="H7" s="12"/>
      <c r="I7" s="16" t="e">
        <f>VLOOKUP(D7,#REF!,6,)</f>
        <v>#REF!</v>
      </c>
    </row>
    <row r="8" spans="1:9" ht="15.75" customHeight="1">
      <c r="A8" s="16" t="s">
        <v>5</v>
      </c>
      <c r="B8" s="16" t="s">
        <v>16</v>
      </c>
      <c r="C8" s="16" t="s">
        <v>33</v>
      </c>
      <c r="D8" s="16" t="s">
        <v>328</v>
      </c>
      <c r="E8" s="16" t="e">
        <f>VLOOKUP(D8,#REF!,2,)</f>
        <v>#REF!</v>
      </c>
      <c r="F8" s="11" t="s">
        <v>22</v>
      </c>
      <c r="G8" s="16" t="s">
        <v>23</v>
      </c>
      <c r="H8" s="12"/>
      <c r="I8" s="16" t="e">
        <f>VLOOKUP(D8,#REF!,6,)</f>
        <v>#REF!</v>
      </c>
    </row>
    <row r="9" spans="1:9" ht="15.75" customHeight="1">
      <c r="A9" s="16" t="s">
        <v>5</v>
      </c>
      <c r="B9" s="16" t="s">
        <v>16</v>
      </c>
      <c r="C9" s="16" t="s">
        <v>33</v>
      </c>
      <c r="D9" s="16" t="s">
        <v>756</v>
      </c>
      <c r="E9" s="16" t="e">
        <f>VLOOKUP(D9,#REF!,2,)</f>
        <v>#REF!</v>
      </c>
      <c r="F9" s="11" t="s">
        <v>22</v>
      </c>
      <c r="G9" s="16"/>
      <c r="H9" s="12"/>
      <c r="I9" s="16" t="e">
        <f>VLOOKUP(D9,#REF!,6,)</f>
        <v>#REF!</v>
      </c>
    </row>
    <row r="10" spans="1:9" ht="15.75" customHeight="1">
      <c r="A10" s="1" t="s">
        <v>5</v>
      </c>
      <c r="B10" s="16" t="s">
        <v>16</v>
      </c>
      <c r="C10" s="16" t="s">
        <v>33</v>
      </c>
      <c r="D10" s="1" t="s">
        <v>680</v>
      </c>
      <c r="E10" s="16" t="e">
        <f>VLOOKUP(D10,#REF!,2,)</f>
        <v>#REF!</v>
      </c>
      <c r="F10" s="11" t="s">
        <v>22</v>
      </c>
      <c r="G10" s="16" t="s">
        <v>709</v>
      </c>
      <c r="H10" s="12"/>
      <c r="I10" s="16" t="e">
        <f>VLOOKUP(D10,#REF!,6,)</f>
        <v>#REF!</v>
      </c>
    </row>
    <row r="11" spans="1:9" ht="15.75" customHeight="1">
      <c r="A11" s="1" t="s">
        <v>5</v>
      </c>
      <c r="B11" s="16" t="s">
        <v>16</v>
      </c>
      <c r="C11" s="16" t="s">
        <v>33</v>
      </c>
      <c r="D11" s="16" t="s">
        <v>682</v>
      </c>
      <c r="E11" s="16" t="e">
        <f>VLOOKUP(D11,#REF!,2,)</f>
        <v>#REF!</v>
      </c>
      <c r="F11" s="11" t="s">
        <v>22</v>
      </c>
      <c r="G11" s="16" t="s">
        <v>764</v>
      </c>
      <c r="H11" s="12"/>
      <c r="I11" s="16" t="e">
        <f>VLOOKUP(D11,#REF!,6,)</f>
        <v>#REF!</v>
      </c>
    </row>
    <row r="12" spans="1:9" ht="15.75" customHeight="1">
      <c r="A12" s="16" t="s">
        <v>5</v>
      </c>
      <c r="B12" s="16" t="s">
        <v>16</v>
      </c>
      <c r="C12" s="16" t="s">
        <v>17</v>
      </c>
      <c r="D12" s="16" t="s">
        <v>217</v>
      </c>
      <c r="E12" s="16" t="e">
        <f>VLOOKUP(D12,#REF!,2,)</f>
        <v>#REF!</v>
      </c>
      <c r="F12" s="11" t="s">
        <v>22</v>
      </c>
      <c r="G12" s="16" t="s">
        <v>23</v>
      </c>
      <c r="H12" s="12"/>
      <c r="I12" s="16" t="e">
        <f>VLOOKUP(D12,#REF!,6,)</f>
        <v>#REF!</v>
      </c>
    </row>
    <row r="13" spans="1:9" ht="15.75" customHeight="1">
      <c r="A13" s="16" t="s">
        <v>5</v>
      </c>
      <c r="B13" s="16" t="s">
        <v>16</v>
      </c>
      <c r="C13" s="16" t="s">
        <v>17</v>
      </c>
      <c r="D13" s="16" t="s">
        <v>224</v>
      </c>
      <c r="E13" s="16" t="e">
        <f>VLOOKUP(D13,#REF!,2,)</f>
        <v>#REF!</v>
      </c>
      <c r="F13" s="11" t="s">
        <v>22</v>
      </c>
      <c r="G13" s="12"/>
      <c r="H13" s="12"/>
      <c r="I13" s="16" t="e">
        <f>VLOOKUP(D13,#REF!,6,)</f>
        <v>#REF!</v>
      </c>
    </row>
    <row r="14" spans="1:9" ht="15.75" customHeight="1">
      <c r="A14" s="16" t="s">
        <v>5</v>
      </c>
      <c r="B14" s="16" t="s">
        <v>16</v>
      </c>
      <c r="C14" s="16" t="s">
        <v>17</v>
      </c>
      <c r="D14" s="16" t="s">
        <v>292</v>
      </c>
      <c r="E14" s="16" t="e">
        <f>VLOOKUP(D14,#REF!,2,)</f>
        <v>#REF!</v>
      </c>
      <c r="F14" s="11" t="s">
        <v>22</v>
      </c>
      <c r="G14" s="16" t="s">
        <v>709</v>
      </c>
      <c r="H14" s="12"/>
      <c r="I14" s="16" t="e">
        <f>VLOOKUP(D14,#REF!,6,)</f>
        <v>#REF!</v>
      </c>
    </row>
    <row r="15" spans="1:9" ht="15.75" customHeight="1">
      <c r="A15" s="16" t="s">
        <v>5</v>
      </c>
      <c r="B15" s="16" t="s">
        <v>16</v>
      </c>
      <c r="C15" s="16" t="s">
        <v>17</v>
      </c>
      <c r="D15" s="16" t="s">
        <v>329</v>
      </c>
      <c r="E15" s="16" t="e">
        <f>VLOOKUP(D15,#REF!,2,)</f>
        <v>#REF!</v>
      </c>
      <c r="F15" s="11" t="s">
        <v>22</v>
      </c>
      <c r="G15" s="16" t="s">
        <v>81</v>
      </c>
      <c r="H15" s="12"/>
      <c r="I15" s="16" t="e">
        <f>VLOOKUP(D15,#REF!,6,)</f>
        <v>#REF!</v>
      </c>
    </row>
    <row r="16" spans="1:9" ht="15.75" customHeight="1">
      <c r="A16" s="16" t="s">
        <v>5</v>
      </c>
      <c r="B16" s="16" t="s">
        <v>16</v>
      </c>
      <c r="C16" s="16" t="s">
        <v>17</v>
      </c>
      <c r="D16" s="16" t="s">
        <v>350</v>
      </c>
      <c r="E16" s="16" t="e">
        <f>VLOOKUP(D16,#REF!,2,)</f>
        <v>#REF!</v>
      </c>
      <c r="F16" s="11" t="s">
        <v>22</v>
      </c>
      <c r="G16" s="16" t="s">
        <v>81</v>
      </c>
      <c r="H16" s="12"/>
      <c r="I16" s="16" t="e">
        <f>VLOOKUP(D16,#REF!,6,)</f>
        <v>#REF!</v>
      </c>
    </row>
    <row r="17" spans="1:9" ht="15.75" customHeight="1">
      <c r="A17" s="1" t="s">
        <v>5</v>
      </c>
      <c r="B17" s="16" t="s">
        <v>16</v>
      </c>
      <c r="C17" s="16" t="s">
        <v>17</v>
      </c>
      <c r="D17" s="16" t="s">
        <v>688</v>
      </c>
      <c r="E17" s="16" t="e">
        <f>VLOOKUP(D17,#REF!,2,)</f>
        <v>#REF!</v>
      </c>
      <c r="F17" s="11" t="s">
        <v>22</v>
      </c>
      <c r="G17" s="16" t="s">
        <v>709</v>
      </c>
      <c r="H17" s="12"/>
      <c r="I17" s="16" t="e">
        <f>VLOOKUP(D17,#REF!,6,)</f>
        <v>#REF!</v>
      </c>
    </row>
    <row r="18" spans="1:9" ht="15.75" customHeight="1">
      <c r="A18" s="1" t="s">
        <v>5</v>
      </c>
      <c r="B18" s="16" t="s">
        <v>16</v>
      </c>
      <c r="C18" s="16" t="s">
        <v>17</v>
      </c>
      <c r="D18" s="16" t="s">
        <v>688</v>
      </c>
      <c r="E18" s="16" t="e">
        <f>VLOOKUP(D18,#REF!,2,)</f>
        <v>#REF!</v>
      </c>
      <c r="F18" s="11" t="s">
        <v>22</v>
      </c>
      <c r="G18" s="16" t="s">
        <v>709</v>
      </c>
      <c r="H18" s="12"/>
      <c r="I18" s="16" t="e">
        <f>VLOOKUP(D18,#REF!,6,)</f>
        <v>#REF!</v>
      </c>
    </row>
    <row r="19" spans="1:9" ht="15.75" customHeight="1">
      <c r="A19" s="16" t="s">
        <v>5</v>
      </c>
      <c r="B19" s="16" t="s">
        <v>16</v>
      </c>
      <c r="C19" s="16" t="s">
        <v>243</v>
      </c>
      <c r="D19" s="16" t="s">
        <v>244</v>
      </c>
      <c r="E19" s="16" t="e">
        <f>VLOOKUP(D19,#REF!,2,)</f>
        <v>#REF!</v>
      </c>
      <c r="F19" s="11" t="s">
        <v>22</v>
      </c>
      <c r="G19" s="16" t="s">
        <v>23</v>
      </c>
      <c r="H19" s="12"/>
      <c r="I19" s="16" t="e">
        <f>VLOOKUP(D19,#REF!,6,)</f>
        <v>#REF!</v>
      </c>
    </row>
    <row r="20" spans="1:9" ht="15.75" customHeight="1">
      <c r="A20" s="16" t="s">
        <v>5</v>
      </c>
      <c r="B20" s="16" t="s">
        <v>16</v>
      </c>
      <c r="C20" s="16" t="s">
        <v>96</v>
      </c>
      <c r="D20" s="16" t="s">
        <v>246</v>
      </c>
      <c r="E20" s="16" t="e">
        <f>VLOOKUP(D20,#REF!,2,)</f>
        <v>#REF!</v>
      </c>
      <c r="F20" s="11" t="s">
        <v>22</v>
      </c>
      <c r="G20" s="16" t="s">
        <v>81</v>
      </c>
      <c r="H20" s="12"/>
      <c r="I20" s="16" t="e">
        <f>VLOOKUP(D20,#REF!,6,)</f>
        <v>#REF!</v>
      </c>
    </row>
    <row r="21" spans="1:9" ht="15.75" customHeight="1">
      <c r="A21" s="16" t="s">
        <v>5</v>
      </c>
      <c r="B21" s="16" t="s">
        <v>16</v>
      </c>
      <c r="C21" s="16" t="s">
        <v>96</v>
      </c>
      <c r="D21" s="16" t="s">
        <v>345</v>
      </c>
      <c r="E21" s="16" t="e">
        <f>VLOOKUP(D21,#REF!,2,)</f>
        <v>#REF!</v>
      </c>
      <c r="F21" s="11" t="s">
        <v>22</v>
      </c>
      <c r="G21" s="16" t="s">
        <v>81</v>
      </c>
      <c r="H21" s="12"/>
      <c r="I21" s="16" t="e">
        <f>VLOOKUP(D21,#REF!,6,)</f>
        <v>#REF!</v>
      </c>
    </row>
    <row r="22" spans="1:9" ht="15.75" customHeight="1">
      <c r="A22" s="16" t="s">
        <v>5</v>
      </c>
      <c r="B22" s="16" t="s">
        <v>16</v>
      </c>
      <c r="C22" s="16" t="s">
        <v>41</v>
      </c>
      <c r="D22" s="16" t="s">
        <v>367</v>
      </c>
      <c r="E22" s="16" t="e">
        <f>VLOOKUP(D22,#REF!,2,)</f>
        <v>#REF!</v>
      </c>
      <c r="F22" s="11" t="s">
        <v>22</v>
      </c>
      <c r="G22" s="16" t="s">
        <v>23</v>
      </c>
      <c r="H22" s="12"/>
      <c r="I22" s="16" t="e">
        <f>VLOOKUP(D22,#REF!,6,)</f>
        <v>#REF!</v>
      </c>
    </row>
    <row r="23" spans="1:9" ht="15.75" customHeight="1">
      <c r="A23" s="16" t="s">
        <v>5</v>
      </c>
      <c r="B23" s="16" t="s">
        <v>16</v>
      </c>
      <c r="C23" s="16" t="s">
        <v>96</v>
      </c>
      <c r="D23" s="16" t="s">
        <v>201</v>
      </c>
      <c r="E23" s="16" t="e">
        <f>VLOOKUP(D23,#REF!,2,)</f>
        <v>#REF!</v>
      </c>
      <c r="F23" s="11" t="s">
        <v>22</v>
      </c>
      <c r="G23" s="1" t="s">
        <v>23</v>
      </c>
      <c r="I23" s="16" t="e">
        <f>VLOOKUP(D23,#REF!,6,)</f>
        <v>#REF!</v>
      </c>
    </row>
    <row r="24" spans="1:9" ht="25.5">
      <c r="A24" s="16" t="s">
        <v>200</v>
      </c>
      <c r="B24" s="16" t="s">
        <v>16</v>
      </c>
      <c r="C24" s="16" t="s">
        <v>96</v>
      </c>
      <c r="D24" s="8" t="s">
        <v>230</v>
      </c>
      <c r="E24" s="16" t="e">
        <f>VLOOKUP(D24,#REF!,2,)</f>
        <v>#REF!</v>
      </c>
      <c r="G24" s="1" t="s">
        <v>709</v>
      </c>
      <c r="I24" s="16" t="e">
        <f>VLOOKUP(D24,#REF!,6,)</f>
        <v>#REF!</v>
      </c>
    </row>
    <row r="25" spans="1:9" ht="25.5">
      <c r="A25" s="16" t="s">
        <v>200</v>
      </c>
      <c r="B25" s="16" t="s">
        <v>16</v>
      </c>
      <c r="C25" s="16" t="s">
        <v>96</v>
      </c>
      <c r="D25" s="16" t="s">
        <v>240</v>
      </c>
      <c r="E25" s="16" t="e">
        <f>VLOOKUP(D25,#REF!,2,)</f>
        <v>#REF!</v>
      </c>
      <c r="G25" s="16" t="s">
        <v>81</v>
      </c>
      <c r="I25" s="16" t="e">
        <f>VLOOKUP(D25,#REF!,6,)</f>
        <v>#REF!</v>
      </c>
    </row>
    <row r="26" spans="1:9" ht="25.5">
      <c r="A26" s="16" t="s">
        <v>200</v>
      </c>
      <c r="B26" s="16" t="s">
        <v>16</v>
      </c>
      <c r="C26" s="16" t="s">
        <v>96</v>
      </c>
      <c r="D26" s="16" t="s">
        <v>241</v>
      </c>
      <c r="E26" s="16" t="e">
        <f>VLOOKUP(D26,#REF!,2,)</f>
        <v>#REF!</v>
      </c>
      <c r="G26" s="16" t="s">
        <v>81</v>
      </c>
      <c r="I26" s="16" t="e">
        <f>VLOOKUP(D26,#REF!,6,)</f>
        <v>#REF!</v>
      </c>
    </row>
    <row r="27" spans="1:9" ht="25.5">
      <c r="A27" s="16" t="s">
        <v>5</v>
      </c>
      <c r="B27" s="16" t="s">
        <v>16</v>
      </c>
      <c r="C27" s="16" t="s">
        <v>96</v>
      </c>
      <c r="D27" s="16" t="s">
        <v>710</v>
      </c>
      <c r="E27" s="16" t="e">
        <f>VLOOKUP(D27,#REF!,2,)</f>
        <v>#REF!</v>
      </c>
      <c r="G27" s="16" t="s">
        <v>23</v>
      </c>
      <c r="I27" s="16" t="e">
        <f>VLOOKUP(D27,#REF!,6,)</f>
        <v>#REF!</v>
      </c>
    </row>
    <row r="28" spans="1:9" ht="25.5">
      <c r="A28" s="16" t="s">
        <v>5</v>
      </c>
      <c r="B28" s="16" t="s">
        <v>16</v>
      </c>
      <c r="C28" s="16" t="s">
        <v>96</v>
      </c>
      <c r="D28" s="16" t="s">
        <v>711</v>
      </c>
      <c r="E28" s="16" t="e">
        <f>VLOOKUP(D28,#REF!,2,)</f>
        <v>#REF!</v>
      </c>
      <c r="G28" s="16" t="s">
        <v>23</v>
      </c>
      <c r="I28" s="16" t="e">
        <f>VLOOKUP(D28,#REF!,6,)</f>
        <v>#REF!</v>
      </c>
    </row>
    <row r="29" spans="1:9" ht="25.5">
      <c r="A29" s="16" t="s">
        <v>542</v>
      </c>
      <c r="B29" s="16" t="s">
        <v>16</v>
      </c>
      <c r="C29" s="16" t="s">
        <v>64</v>
      </c>
      <c r="D29" s="16" t="s">
        <v>752</v>
      </c>
      <c r="E29" s="16" t="e">
        <f>VLOOKUP(D29,#REF!,2,)</f>
        <v>#REF!</v>
      </c>
      <c r="F29" s="11" t="s">
        <v>22</v>
      </c>
      <c r="G29" s="16" t="s">
        <v>23</v>
      </c>
      <c r="H29" s="12"/>
      <c r="I29" s="16" t="e">
        <f>VLOOKUP(D29,#REF!,6,)</f>
        <v>#REF!</v>
      </c>
    </row>
    <row r="30" spans="1:9" ht="38.25">
      <c r="A30" s="16" t="s">
        <v>5</v>
      </c>
      <c r="B30" s="16" t="s">
        <v>193</v>
      </c>
      <c r="C30" s="16" t="s">
        <v>198</v>
      </c>
      <c r="D30" s="16" t="s">
        <v>199</v>
      </c>
      <c r="E30" s="16" t="e">
        <f>VLOOKUP(D30,#REF!,2,)</f>
        <v>#REF!</v>
      </c>
      <c r="F30" s="11" t="s">
        <v>22</v>
      </c>
      <c r="G30" s="16" t="s">
        <v>114</v>
      </c>
      <c r="H30" s="12"/>
      <c r="I30" s="16" t="e">
        <f>VLOOKUP(D30,#REF!,6,)</f>
        <v>#REF!</v>
      </c>
    </row>
    <row r="31" spans="1:9" ht="38.25">
      <c r="A31" s="16" t="s">
        <v>5</v>
      </c>
      <c r="B31" s="16" t="s">
        <v>193</v>
      </c>
      <c r="C31" s="16" t="s">
        <v>198</v>
      </c>
      <c r="D31" s="16" t="s">
        <v>348</v>
      </c>
      <c r="E31" s="16" t="e">
        <f>VLOOKUP(D31,#REF!,2,)</f>
        <v>#REF!</v>
      </c>
      <c r="F31" s="11" t="s">
        <v>22</v>
      </c>
      <c r="G31" s="16" t="s">
        <v>81</v>
      </c>
      <c r="H31" s="12"/>
      <c r="I31" s="16" t="e">
        <f>VLOOKUP(D31,#REF!,6,)</f>
        <v>#REF!</v>
      </c>
    </row>
    <row r="32" spans="1:9" ht="38.25">
      <c r="A32" s="16" t="s">
        <v>5</v>
      </c>
      <c r="B32" s="16" t="s">
        <v>193</v>
      </c>
      <c r="C32" s="16" t="s">
        <v>198</v>
      </c>
      <c r="D32" s="16" t="s">
        <v>353</v>
      </c>
      <c r="E32" s="16" t="e">
        <f>VLOOKUP(D32,#REF!,2,)</f>
        <v>#REF!</v>
      </c>
      <c r="F32" s="11" t="s">
        <v>22</v>
      </c>
      <c r="G32" s="16" t="s">
        <v>23</v>
      </c>
      <c r="H32" s="12"/>
      <c r="I32" s="16" t="e">
        <f>VLOOKUP(D32,#REF!,6,)</f>
        <v>#REF!</v>
      </c>
    </row>
    <row r="33" spans="1:9" ht="38.25">
      <c r="A33" s="16" t="s">
        <v>456</v>
      </c>
      <c r="B33" s="16" t="s">
        <v>193</v>
      </c>
      <c r="C33" s="16" t="s">
        <v>198</v>
      </c>
      <c r="D33" s="16" t="s">
        <v>458</v>
      </c>
      <c r="E33" s="16" t="e">
        <f>VLOOKUP(D33,#REF!,2,)</f>
        <v>#REF!</v>
      </c>
      <c r="F33" s="11" t="s">
        <v>22</v>
      </c>
      <c r="G33" s="16" t="s">
        <v>23</v>
      </c>
      <c r="H33" s="12"/>
      <c r="I33" s="16" t="e">
        <f>VLOOKUP(D33,#REF!,6,)</f>
        <v>#REF!</v>
      </c>
    </row>
    <row r="34" spans="1:9" ht="38.25">
      <c r="A34" s="16" t="s">
        <v>456</v>
      </c>
      <c r="B34" s="16" t="s">
        <v>193</v>
      </c>
      <c r="C34" s="16" t="s">
        <v>198</v>
      </c>
      <c r="D34" s="16" t="s">
        <v>463</v>
      </c>
      <c r="E34" s="16" t="e">
        <f>VLOOKUP(D34,#REF!,2,)</f>
        <v>#REF!</v>
      </c>
      <c r="F34" s="11" t="s">
        <v>22</v>
      </c>
      <c r="G34" s="16" t="s">
        <v>81</v>
      </c>
      <c r="H34" s="12"/>
      <c r="I34" s="16" t="e">
        <f>VLOOKUP(D34,#REF!,6,)</f>
        <v>#REF!</v>
      </c>
    </row>
    <row r="35" spans="1:9" ht="38.25">
      <c r="A35" s="16" t="s">
        <v>456</v>
      </c>
      <c r="B35" s="16" t="s">
        <v>193</v>
      </c>
      <c r="C35" s="16" t="s">
        <v>198</v>
      </c>
      <c r="D35" s="16" t="s">
        <v>466</v>
      </c>
      <c r="E35" s="16" t="e">
        <f>VLOOKUP(D35,#REF!,2,)</f>
        <v>#REF!</v>
      </c>
      <c r="F35" s="11" t="s">
        <v>22</v>
      </c>
      <c r="G35" s="16" t="s">
        <v>81</v>
      </c>
      <c r="H35" s="12"/>
      <c r="I35" s="16" t="e">
        <f>VLOOKUP(D35,#REF!,6,)</f>
        <v>#REF!</v>
      </c>
    </row>
    <row r="36" spans="1:9" ht="38.25">
      <c r="A36" s="16" t="s">
        <v>456</v>
      </c>
      <c r="B36" s="16" t="s">
        <v>193</v>
      </c>
      <c r="C36" s="16" t="s">
        <v>198</v>
      </c>
      <c r="D36" s="16" t="s">
        <v>477</v>
      </c>
      <c r="E36" s="16" t="e">
        <f>VLOOKUP(D36,#REF!,2,)</f>
        <v>#REF!</v>
      </c>
      <c r="F36" s="11" t="s">
        <v>22</v>
      </c>
      <c r="G36" s="16" t="s">
        <v>81</v>
      </c>
      <c r="H36" s="12"/>
      <c r="I36" s="16" t="e">
        <f>VLOOKUP(D36,#REF!,6,)</f>
        <v>#REF!</v>
      </c>
    </row>
    <row r="37" spans="1:9" ht="38.25">
      <c r="A37" s="16" t="s">
        <v>456</v>
      </c>
      <c r="B37" s="16" t="s">
        <v>193</v>
      </c>
      <c r="C37" s="16" t="s">
        <v>198</v>
      </c>
      <c r="D37" s="16" t="s">
        <v>479</v>
      </c>
      <c r="E37" s="16" t="e">
        <f>VLOOKUP(D37,#REF!,2,)</f>
        <v>#REF!</v>
      </c>
      <c r="F37" s="11" t="s">
        <v>22</v>
      </c>
      <c r="G37" s="16" t="s">
        <v>81</v>
      </c>
      <c r="H37" s="12"/>
      <c r="I37" s="16" t="e">
        <f>VLOOKUP(D37,#REF!,6,)</f>
        <v>#REF!</v>
      </c>
    </row>
    <row r="38" spans="1:9" ht="38.25">
      <c r="A38" s="16" t="s">
        <v>456</v>
      </c>
      <c r="B38" s="16" t="s">
        <v>193</v>
      </c>
      <c r="C38" s="16" t="s">
        <v>198</v>
      </c>
      <c r="D38" s="16" t="s">
        <v>482</v>
      </c>
      <c r="E38" s="16" t="e">
        <f>VLOOKUP(D38,#REF!,2,)</f>
        <v>#REF!</v>
      </c>
      <c r="F38" s="11" t="s">
        <v>22</v>
      </c>
      <c r="G38" s="16" t="s">
        <v>81</v>
      </c>
      <c r="H38" s="12"/>
      <c r="I38" s="16" t="e">
        <f>VLOOKUP(D38,#REF!,6,)</f>
        <v>#REF!</v>
      </c>
    </row>
    <row r="39" spans="1:9" ht="38.25">
      <c r="A39" s="16" t="s">
        <v>456</v>
      </c>
      <c r="B39" s="16" t="s">
        <v>193</v>
      </c>
      <c r="C39" s="16" t="s">
        <v>198</v>
      </c>
      <c r="D39" s="16" t="s">
        <v>484</v>
      </c>
      <c r="E39" s="16" t="e">
        <f>VLOOKUP(D39,#REF!,2,)</f>
        <v>#REF!</v>
      </c>
      <c r="F39" s="11" t="s">
        <v>22</v>
      </c>
      <c r="G39" s="16" t="s">
        <v>81</v>
      </c>
      <c r="H39" s="12"/>
      <c r="I39" s="16" t="e">
        <f>VLOOKUP(D39,#REF!,6,)</f>
        <v>#REF!</v>
      </c>
    </row>
    <row r="40" spans="1:9" ht="38.25">
      <c r="A40" s="16" t="s">
        <v>456</v>
      </c>
      <c r="B40" s="16" t="s">
        <v>193</v>
      </c>
      <c r="C40" s="16" t="s">
        <v>198</v>
      </c>
      <c r="D40" s="16" t="s">
        <v>554</v>
      </c>
      <c r="E40" s="16" t="e">
        <f>VLOOKUP(D40,#REF!,2,)</f>
        <v>#REF!</v>
      </c>
      <c r="F40" s="11" t="s">
        <v>22</v>
      </c>
      <c r="G40" s="16" t="s">
        <v>81</v>
      </c>
      <c r="H40" s="12"/>
      <c r="I40" s="16" t="e">
        <f>VLOOKUP(D40,#REF!,6,)</f>
        <v>#REF!</v>
      </c>
    </row>
    <row r="41" spans="1:9" ht="38.25">
      <c r="A41" s="16" t="s">
        <v>456</v>
      </c>
      <c r="B41" s="16" t="s">
        <v>193</v>
      </c>
      <c r="C41" s="16" t="s">
        <v>198</v>
      </c>
      <c r="D41" s="16" t="s">
        <v>563</v>
      </c>
      <c r="E41" s="16" t="e">
        <f>VLOOKUP(D41,#REF!,2,)</f>
        <v>#REF!</v>
      </c>
      <c r="F41" s="11" t="s">
        <v>22</v>
      </c>
      <c r="G41" s="16" t="s">
        <v>81</v>
      </c>
      <c r="H41" s="12"/>
      <c r="I41" s="16" t="e">
        <f>VLOOKUP(D41,#REF!,6,)</f>
        <v>#REF!</v>
      </c>
    </row>
    <row r="42" spans="1:9" ht="38.25">
      <c r="A42" s="16" t="s">
        <v>456</v>
      </c>
      <c r="B42" s="16" t="s">
        <v>193</v>
      </c>
      <c r="C42" s="16" t="s">
        <v>198</v>
      </c>
      <c r="D42" s="16" t="s">
        <v>566</v>
      </c>
      <c r="E42" s="16" t="e">
        <f>VLOOKUP(D42,#REF!,2,)</f>
        <v>#REF!</v>
      </c>
      <c r="F42" s="11" t="s">
        <v>22</v>
      </c>
      <c r="G42" s="16" t="s">
        <v>81</v>
      </c>
      <c r="H42" s="12"/>
      <c r="I42" s="16" t="e">
        <f>VLOOKUP(D42,#REF!,6,)</f>
        <v>#REF!</v>
      </c>
    </row>
    <row r="43" spans="1:9" ht="38.25">
      <c r="A43" s="16" t="s">
        <v>456</v>
      </c>
      <c r="B43" s="16" t="s">
        <v>193</v>
      </c>
      <c r="C43" s="16" t="s">
        <v>198</v>
      </c>
      <c r="D43" s="16" t="s">
        <v>751</v>
      </c>
      <c r="E43" s="16" t="e">
        <f>VLOOKUP(D43,#REF!,2,)</f>
        <v>#REF!</v>
      </c>
      <c r="F43" s="11" t="s">
        <v>22</v>
      </c>
      <c r="G43" s="16" t="s">
        <v>81</v>
      </c>
      <c r="H43" s="12"/>
      <c r="I43" s="16" t="e">
        <f>VLOOKUP(D43,#REF!,6,)</f>
        <v>#REF!</v>
      </c>
    </row>
    <row r="44" spans="1:9" ht="38.25">
      <c r="A44" s="16" t="s">
        <v>456</v>
      </c>
      <c r="B44" s="16" t="s">
        <v>193</v>
      </c>
      <c r="C44" s="16" t="s">
        <v>198</v>
      </c>
      <c r="D44" s="16" t="s">
        <v>573</v>
      </c>
      <c r="E44" s="16" t="e">
        <f>VLOOKUP(D44,#REF!,2,)</f>
        <v>#REF!</v>
      </c>
      <c r="F44" s="11" t="s">
        <v>22</v>
      </c>
      <c r="G44" s="16" t="s">
        <v>81</v>
      </c>
      <c r="H44" s="12"/>
      <c r="I44" s="16" t="e">
        <f>VLOOKUP(D44,#REF!,6,)</f>
        <v>#REF!</v>
      </c>
    </row>
    <row r="45" spans="1:9" ht="38.25">
      <c r="A45" s="16" t="s">
        <v>542</v>
      </c>
      <c r="B45" s="16" t="s">
        <v>193</v>
      </c>
      <c r="C45" s="16" t="s">
        <v>198</v>
      </c>
      <c r="D45" s="16" t="s">
        <v>485</v>
      </c>
      <c r="E45" s="16" t="e">
        <f>VLOOKUP(D45,#REF!,2,)</f>
        <v>#REF!</v>
      </c>
      <c r="F45" s="11" t="s">
        <v>22</v>
      </c>
      <c r="G45" s="16" t="s">
        <v>81</v>
      </c>
      <c r="H45" s="12"/>
      <c r="I45" s="16" t="e">
        <f>VLOOKUP(D45,#REF!,6,)</f>
        <v>#REF!</v>
      </c>
    </row>
    <row r="46" spans="1:9" ht="38.25">
      <c r="A46" s="16" t="s">
        <v>5</v>
      </c>
      <c r="B46" s="16" t="s">
        <v>193</v>
      </c>
      <c r="C46" s="16" t="s">
        <v>198</v>
      </c>
      <c r="D46" s="16" t="s">
        <v>695</v>
      </c>
      <c r="E46" s="16" t="e">
        <f>VLOOKUP(D46,#REF!,2,)</f>
        <v>#REF!</v>
      </c>
      <c r="F46" s="11" t="s">
        <v>22</v>
      </c>
      <c r="G46" s="16" t="s">
        <v>23</v>
      </c>
      <c r="H46" s="12"/>
      <c r="I46" s="16" t="e">
        <f>VLOOKUP(D46,#REF!,6,)</f>
        <v>#REF!</v>
      </c>
    </row>
    <row r="47" spans="1:9" ht="25.5">
      <c r="A47" s="16" t="s">
        <v>5</v>
      </c>
      <c r="B47" s="16" t="s">
        <v>16</v>
      </c>
      <c r="C47" s="16" t="s">
        <v>202</v>
      </c>
      <c r="D47" s="16" t="s">
        <v>767</v>
      </c>
      <c r="E47" s="16" t="e">
        <f>VLOOKUP(D47,#REF!,2,)</f>
        <v>#REF!</v>
      </c>
      <c r="F47" s="11" t="s">
        <v>22</v>
      </c>
      <c r="G47" s="16" t="s">
        <v>114</v>
      </c>
      <c r="H47" s="12"/>
      <c r="I47" s="16" t="e">
        <f>VLOOKUP(D47,#REF!,6,)</f>
        <v>#REF!</v>
      </c>
    </row>
    <row r="48" spans="1:9" ht="25.5">
      <c r="A48" s="16" t="s">
        <v>5</v>
      </c>
      <c r="B48" s="16" t="s">
        <v>16</v>
      </c>
      <c r="C48" s="16" t="s">
        <v>26</v>
      </c>
      <c r="D48" s="16" t="s">
        <v>266</v>
      </c>
      <c r="E48" s="16" t="e">
        <f>VLOOKUP(D48,#REF!,2,)</f>
        <v>#REF!</v>
      </c>
      <c r="F48" s="11" t="s">
        <v>22</v>
      </c>
      <c r="G48" s="16" t="s">
        <v>81</v>
      </c>
      <c r="H48" s="12"/>
      <c r="I48" s="16" t="e">
        <f>VLOOKUP(D48,#REF!,6,)</f>
        <v>#REF!</v>
      </c>
    </row>
    <row r="49" spans="1:9" ht="25.5">
      <c r="A49" s="16" t="s">
        <v>5</v>
      </c>
      <c r="B49" s="16" t="s">
        <v>16</v>
      </c>
      <c r="C49" s="16" t="s">
        <v>26</v>
      </c>
      <c r="D49" s="16" t="s">
        <v>712</v>
      </c>
      <c r="E49" s="16" t="e">
        <f>VLOOKUP(D49,#REF!,2,)</f>
        <v>#REF!</v>
      </c>
      <c r="F49" s="11" t="s">
        <v>22</v>
      </c>
      <c r="G49" s="16" t="s">
        <v>23</v>
      </c>
      <c r="H49" s="12"/>
      <c r="I49" s="16" t="e">
        <f>VLOOKUP(D49,#REF!,6,)</f>
        <v>#REF!</v>
      </c>
    </row>
    <row r="50" spans="1:9" ht="25.5">
      <c r="A50" s="16" t="s">
        <v>5</v>
      </c>
      <c r="B50" s="16" t="s">
        <v>16</v>
      </c>
      <c r="C50" s="16" t="s">
        <v>26</v>
      </c>
      <c r="D50" s="16" t="s">
        <v>365</v>
      </c>
      <c r="E50" s="16" t="e">
        <f>VLOOKUP(D50,#REF!,2,)</f>
        <v>#REF!</v>
      </c>
      <c r="F50" s="11" t="s">
        <v>22</v>
      </c>
      <c r="G50" s="16" t="s">
        <v>23</v>
      </c>
      <c r="H50" s="12"/>
      <c r="I50" s="16" t="e">
        <f>VLOOKUP(D50,#REF!,6,)</f>
        <v>#REF!</v>
      </c>
    </row>
    <row r="51" spans="1:9" ht="25.5">
      <c r="A51" s="16" t="s">
        <v>5</v>
      </c>
      <c r="B51" s="16" t="s">
        <v>16</v>
      </c>
      <c r="C51" s="16" t="s">
        <v>26</v>
      </c>
      <c r="D51" s="16" t="s">
        <v>444</v>
      </c>
      <c r="E51" s="16" t="e">
        <f>VLOOKUP(D51,#REF!,2,)</f>
        <v>#REF!</v>
      </c>
      <c r="F51" s="11" t="s">
        <v>22</v>
      </c>
      <c r="G51" s="16" t="s">
        <v>23</v>
      </c>
      <c r="H51" s="12"/>
      <c r="I51" s="16" t="e">
        <f>VLOOKUP(D51,#REF!,6,)</f>
        <v>#REF!</v>
      </c>
    </row>
    <row r="52" spans="1:9" ht="25.5">
      <c r="A52" s="16" t="s">
        <v>5</v>
      </c>
      <c r="B52" s="16" t="s">
        <v>16</v>
      </c>
      <c r="C52" s="16" t="s">
        <v>26</v>
      </c>
      <c r="D52" s="16" t="s">
        <v>445</v>
      </c>
      <c r="E52" s="16" t="e">
        <f>VLOOKUP(D52,#REF!,2,)</f>
        <v>#REF!</v>
      </c>
      <c r="F52" s="11" t="s">
        <v>22</v>
      </c>
      <c r="G52" s="16" t="s">
        <v>23</v>
      </c>
      <c r="H52" s="12"/>
      <c r="I52" s="16" t="e">
        <f>VLOOKUP(D52,#REF!,6,)</f>
        <v>#REF!</v>
      </c>
    </row>
    <row r="53" spans="1:9" ht="25.5">
      <c r="A53" s="16" t="s">
        <v>5</v>
      </c>
      <c r="B53" s="16" t="s">
        <v>16</v>
      </c>
      <c r="C53" s="16" t="s">
        <v>26</v>
      </c>
      <c r="D53" s="16" t="s">
        <v>448</v>
      </c>
      <c r="E53" s="16" t="e">
        <f>VLOOKUP(D53,#REF!,2,)</f>
        <v>#REF!</v>
      </c>
      <c r="F53" s="11" t="s">
        <v>22</v>
      </c>
      <c r="G53" s="16" t="s">
        <v>23</v>
      </c>
      <c r="H53" s="12"/>
      <c r="I53" s="16" t="e">
        <f>VLOOKUP(D53,#REF!,6,)</f>
        <v>#REF!</v>
      </c>
    </row>
    <row r="54" spans="1:9" ht="25.5">
      <c r="A54" s="16" t="s">
        <v>5</v>
      </c>
      <c r="B54" s="16" t="s">
        <v>180</v>
      </c>
      <c r="C54" s="16" t="s">
        <v>181</v>
      </c>
      <c r="D54" s="16" t="s">
        <v>205</v>
      </c>
      <c r="E54" s="16" t="e">
        <f>VLOOKUP(D54,#REF!,2,)</f>
        <v>#REF!</v>
      </c>
      <c r="F54" s="11" t="s">
        <v>22</v>
      </c>
      <c r="G54" s="16" t="s">
        <v>23</v>
      </c>
      <c r="H54" s="12"/>
      <c r="I54" s="16" t="e">
        <f>VLOOKUP(D54,#REF!,6,)</f>
        <v>#REF!</v>
      </c>
    </row>
    <row r="55" spans="1:9" ht="25.5">
      <c r="A55" s="16" t="s">
        <v>5</v>
      </c>
      <c r="B55" s="16" t="s">
        <v>180</v>
      </c>
      <c r="C55" s="16" t="s">
        <v>181</v>
      </c>
      <c r="D55" s="16" t="s">
        <v>257</v>
      </c>
      <c r="E55" s="16" t="e">
        <f>VLOOKUP(D55,#REF!,2,)</f>
        <v>#REF!</v>
      </c>
      <c r="F55" s="11" t="s">
        <v>22</v>
      </c>
      <c r="G55" s="16" t="s">
        <v>23</v>
      </c>
      <c r="H55" s="12"/>
      <c r="I55" s="16" t="e">
        <f>VLOOKUP(D55,#REF!,6,)</f>
        <v>#REF!</v>
      </c>
    </row>
    <row r="56" spans="1:9" ht="25.5">
      <c r="A56" s="16" t="s">
        <v>5</v>
      </c>
      <c r="B56" s="16" t="s">
        <v>180</v>
      </c>
      <c r="C56" s="16" t="s">
        <v>181</v>
      </c>
      <c r="D56" s="16" t="s">
        <v>264</v>
      </c>
      <c r="E56" s="16" t="e">
        <f>VLOOKUP(D56,#REF!,2,)</f>
        <v>#REF!</v>
      </c>
      <c r="F56" s="11" t="s">
        <v>22</v>
      </c>
      <c r="G56" s="16" t="s">
        <v>23</v>
      </c>
      <c r="H56" s="12"/>
      <c r="I56" s="16" t="e">
        <f>VLOOKUP(D56,#REF!,6,)</f>
        <v>#REF!</v>
      </c>
    </row>
    <row r="57" spans="1:9" ht="25.5">
      <c r="A57" s="16" t="s">
        <v>5</v>
      </c>
      <c r="B57" s="16" t="s">
        <v>180</v>
      </c>
      <c r="C57" s="16" t="s">
        <v>181</v>
      </c>
      <c r="D57" s="16" t="s">
        <v>713</v>
      </c>
      <c r="E57" s="16" t="e">
        <f>VLOOKUP(D57,#REF!,2,)</f>
        <v>#REF!</v>
      </c>
      <c r="F57" s="11" t="s">
        <v>22</v>
      </c>
      <c r="G57" s="16" t="s">
        <v>81</v>
      </c>
      <c r="H57" s="12"/>
      <c r="I57" s="16" t="e">
        <f>VLOOKUP(D57,#REF!,6,)</f>
        <v>#REF!</v>
      </c>
    </row>
    <row r="58" spans="1:9" ht="25.5">
      <c r="A58" s="16" t="s">
        <v>5</v>
      </c>
      <c r="B58" s="16" t="s">
        <v>180</v>
      </c>
      <c r="C58" s="16" t="s">
        <v>181</v>
      </c>
      <c r="D58" s="16" t="s">
        <v>287</v>
      </c>
      <c r="E58" s="16" t="e">
        <f>VLOOKUP(D58,#REF!,2,)</f>
        <v>#REF!</v>
      </c>
      <c r="F58" s="11" t="s">
        <v>22</v>
      </c>
      <c r="G58" s="16" t="s">
        <v>81</v>
      </c>
      <c r="H58" s="12"/>
      <c r="I58" s="16" t="e">
        <f>VLOOKUP(D58,#REF!,6,)</f>
        <v>#REF!</v>
      </c>
    </row>
    <row r="59" spans="1:9" ht="25.5">
      <c r="A59" s="16" t="s">
        <v>5</v>
      </c>
      <c r="B59" s="16" t="s">
        <v>180</v>
      </c>
      <c r="C59" s="16" t="s">
        <v>181</v>
      </c>
      <c r="D59" s="16" t="s">
        <v>288</v>
      </c>
      <c r="E59" s="16" t="e">
        <f>VLOOKUP(D59,#REF!,2,)</f>
        <v>#REF!</v>
      </c>
      <c r="F59" s="11" t="s">
        <v>22</v>
      </c>
      <c r="G59" s="16" t="s">
        <v>81</v>
      </c>
      <c r="H59" s="12"/>
      <c r="I59" s="16" t="e">
        <f>VLOOKUP(D59,#REF!,6,)</f>
        <v>#REF!</v>
      </c>
    </row>
    <row r="60" spans="1:9" ht="25.5">
      <c r="A60" s="16" t="s">
        <v>5</v>
      </c>
      <c r="B60" s="16" t="s">
        <v>180</v>
      </c>
      <c r="C60" s="16" t="s">
        <v>181</v>
      </c>
      <c r="D60" s="16" t="s">
        <v>303</v>
      </c>
      <c r="E60" s="16" t="e">
        <f>VLOOKUP(D60,#REF!,2,)</f>
        <v>#REF!</v>
      </c>
      <c r="F60" s="11" t="s">
        <v>22</v>
      </c>
      <c r="G60" s="16" t="s">
        <v>81</v>
      </c>
      <c r="H60" s="12"/>
      <c r="I60" s="16" t="e">
        <f>VLOOKUP(D60,#REF!,6,)</f>
        <v>#REF!</v>
      </c>
    </row>
    <row r="61" spans="1:9" ht="25.5">
      <c r="A61" s="16" t="s">
        <v>5</v>
      </c>
      <c r="B61" s="16" t="s">
        <v>180</v>
      </c>
      <c r="C61" s="16" t="s">
        <v>181</v>
      </c>
      <c r="D61" s="16" t="s">
        <v>304</v>
      </c>
      <c r="E61" s="16" t="e">
        <f>VLOOKUP(D61,#REF!,2,)</f>
        <v>#REF!</v>
      </c>
      <c r="F61" s="11" t="s">
        <v>22</v>
      </c>
      <c r="G61" s="16" t="s">
        <v>23</v>
      </c>
      <c r="H61" s="12"/>
      <c r="I61" s="16" t="e">
        <f>VLOOKUP(D61,#REF!,6,)</f>
        <v>#REF!</v>
      </c>
    </row>
    <row r="62" spans="1:9" ht="25.5">
      <c r="A62" s="16" t="s">
        <v>5</v>
      </c>
      <c r="B62" s="16" t="s">
        <v>180</v>
      </c>
      <c r="C62" s="16" t="s">
        <v>181</v>
      </c>
      <c r="D62" s="16" t="s">
        <v>307</v>
      </c>
      <c r="E62" s="16" t="e">
        <f>VLOOKUP(D62,#REF!,2,)</f>
        <v>#REF!</v>
      </c>
      <c r="F62" s="11" t="s">
        <v>22</v>
      </c>
      <c r="G62" s="16" t="s">
        <v>23</v>
      </c>
      <c r="H62" s="12"/>
      <c r="I62" s="16" t="e">
        <f>VLOOKUP(D62,#REF!,6,)</f>
        <v>#REF!</v>
      </c>
    </row>
    <row r="63" spans="1:9" ht="25.5">
      <c r="A63" s="16" t="s">
        <v>5</v>
      </c>
      <c r="B63" s="16" t="s">
        <v>180</v>
      </c>
      <c r="C63" s="16" t="s">
        <v>181</v>
      </c>
      <c r="D63" s="16" t="s">
        <v>309</v>
      </c>
      <c r="E63" s="16" t="e">
        <f>VLOOKUP(D63,#REF!,2,)</f>
        <v>#REF!</v>
      </c>
      <c r="F63" s="11" t="s">
        <v>22</v>
      </c>
      <c r="G63" s="16" t="s">
        <v>23</v>
      </c>
      <c r="H63" s="12"/>
      <c r="I63" s="16" t="e">
        <f>VLOOKUP(D63,#REF!,6,)</f>
        <v>#REF!</v>
      </c>
    </row>
    <row r="64" spans="1:9" ht="25.5">
      <c r="A64" s="16" t="s">
        <v>5</v>
      </c>
      <c r="B64" s="16" t="s">
        <v>180</v>
      </c>
      <c r="C64" s="16" t="s">
        <v>181</v>
      </c>
      <c r="D64" s="16" t="s">
        <v>313</v>
      </c>
      <c r="E64" s="16" t="e">
        <f>VLOOKUP(D64,#REF!,2,)</f>
        <v>#REF!</v>
      </c>
      <c r="F64" s="11" t="s">
        <v>22</v>
      </c>
      <c r="G64" s="16" t="s">
        <v>23</v>
      </c>
      <c r="H64" s="12"/>
      <c r="I64" s="16" t="e">
        <f>VLOOKUP(D64,#REF!,6,)</f>
        <v>#REF!</v>
      </c>
    </row>
    <row r="65" spans="1:9" ht="25.5">
      <c r="A65" s="16" t="s">
        <v>5</v>
      </c>
      <c r="B65" s="16" t="s">
        <v>180</v>
      </c>
      <c r="C65" s="16" t="s">
        <v>181</v>
      </c>
      <c r="D65" s="16" t="s">
        <v>322</v>
      </c>
      <c r="E65" s="16" t="e">
        <f>VLOOKUP(D65,#REF!,2,)</f>
        <v>#REF!</v>
      </c>
      <c r="F65" s="11" t="s">
        <v>22</v>
      </c>
      <c r="G65" s="16" t="s">
        <v>23</v>
      </c>
      <c r="H65" s="12"/>
      <c r="I65" s="16" t="e">
        <f>VLOOKUP(D65,#REF!,6,)</f>
        <v>#REF!</v>
      </c>
    </row>
    <row r="66" spans="1:9" ht="25.5">
      <c r="A66" s="16" t="s">
        <v>5</v>
      </c>
      <c r="B66" s="16" t="s">
        <v>180</v>
      </c>
      <c r="C66" s="16" t="s">
        <v>181</v>
      </c>
      <c r="D66" s="16" t="s">
        <v>715</v>
      </c>
      <c r="E66" s="16" t="e">
        <f>VLOOKUP(D66,#REF!,2,)</f>
        <v>#REF!</v>
      </c>
      <c r="F66" s="11" t="s">
        <v>22</v>
      </c>
      <c r="G66" s="16" t="s">
        <v>23</v>
      </c>
      <c r="H66" s="12"/>
      <c r="I66" s="16" t="e">
        <f>VLOOKUP(D66,#REF!,6,)</f>
        <v>#REF!</v>
      </c>
    </row>
    <row r="67" spans="1:9" ht="25.5">
      <c r="A67" s="16" t="s">
        <v>5</v>
      </c>
      <c r="B67" s="16" t="s">
        <v>180</v>
      </c>
      <c r="C67" s="16" t="s">
        <v>181</v>
      </c>
      <c r="D67" s="16" t="s">
        <v>326</v>
      </c>
      <c r="E67" s="16" t="e">
        <f>VLOOKUP(D67,#REF!,2,)</f>
        <v>#REF!</v>
      </c>
      <c r="F67" s="11" t="s">
        <v>22</v>
      </c>
      <c r="G67" s="16" t="s">
        <v>23</v>
      </c>
      <c r="H67" s="12"/>
      <c r="I67" s="16" t="e">
        <f>VLOOKUP(D67,#REF!,6,)</f>
        <v>#REF!</v>
      </c>
    </row>
    <row r="68" spans="1:9" ht="25.5">
      <c r="A68" s="16" t="s">
        <v>5</v>
      </c>
      <c r="B68" s="16" t="s">
        <v>180</v>
      </c>
      <c r="C68" s="16" t="s">
        <v>181</v>
      </c>
      <c r="D68" s="16" t="s">
        <v>347</v>
      </c>
      <c r="E68" s="16" t="e">
        <f>VLOOKUP(D68,#REF!,2,)</f>
        <v>#REF!</v>
      </c>
      <c r="F68" s="11" t="s">
        <v>22</v>
      </c>
      <c r="G68" s="16" t="s">
        <v>23</v>
      </c>
      <c r="H68" s="12"/>
      <c r="I68" s="16" t="e">
        <f>VLOOKUP(D68,#REF!,6,)</f>
        <v>#REF!</v>
      </c>
    </row>
    <row r="69" spans="1:9" ht="25.5">
      <c r="A69" s="16" t="s">
        <v>5</v>
      </c>
      <c r="B69" s="16" t="s">
        <v>180</v>
      </c>
      <c r="C69" s="16" t="s">
        <v>181</v>
      </c>
      <c r="D69" s="16" t="s">
        <v>716</v>
      </c>
      <c r="E69" s="16" t="e">
        <f>VLOOKUP(D69,#REF!,2,)</f>
        <v>#REF!</v>
      </c>
      <c r="F69" s="11" t="s">
        <v>22</v>
      </c>
      <c r="G69" s="16" t="s">
        <v>23</v>
      </c>
      <c r="H69" s="12"/>
      <c r="I69" s="16" t="e">
        <f>VLOOKUP(D69,#REF!,6,)</f>
        <v>#REF!</v>
      </c>
    </row>
    <row r="70" spans="1:9" ht="25.5">
      <c r="A70" s="16" t="s">
        <v>5</v>
      </c>
      <c r="B70" s="16" t="s">
        <v>180</v>
      </c>
      <c r="C70" s="16" t="s">
        <v>181</v>
      </c>
      <c r="D70" s="16" t="s">
        <v>357</v>
      </c>
      <c r="E70" s="16" t="e">
        <f>VLOOKUP(D70,#REF!,2,)</f>
        <v>#REF!</v>
      </c>
      <c r="F70" s="11" t="s">
        <v>22</v>
      </c>
      <c r="G70" s="16" t="s">
        <v>81</v>
      </c>
      <c r="H70" s="12"/>
      <c r="I70" s="16" t="e">
        <f>VLOOKUP(D70,#REF!,6,)</f>
        <v>#REF!</v>
      </c>
    </row>
    <row r="71" spans="1:9" ht="25.5">
      <c r="A71" s="16" t="s">
        <v>5</v>
      </c>
      <c r="B71" s="16" t="s">
        <v>180</v>
      </c>
      <c r="C71" s="16" t="s">
        <v>181</v>
      </c>
      <c r="D71" s="16" t="s">
        <v>361</v>
      </c>
      <c r="E71" s="16" t="e">
        <f>VLOOKUP(D71,#REF!,2,)</f>
        <v>#REF!</v>
      </c>
      <c r="F71" s="11" t="s">
        <v>22</v>
      </c>
      <c r="G71" s="16" t="s">
        <v>23</v>
      </c>
      <c r="H71" s="12"/>
      <c r="I71" s="16" t="e">
        <f>VLOOKUP(D71,#REF!,6,)</f>
        <v>#REF!</v>
      </c>
    </row>
    <row r="72" spans="1:9" ht="25.5">
      <c r="A72" s="16" t="s">
        <v>5</v>
      </c>
      <c r="B72" s="16" t="s">
        <v>180</v>
      </c>
      <c r="C72" s="16" t="s">
        <v>181</v>
      </c>
      <c r="D72" s="16" t="s">
        <v>452</v>
      </c>
      <c r="E72" s="16" t="e">
        <f>VLOOKUP(D72,#REF!,2,)</f>
        <v>#REF!</v>
      </c>
      <c r="F72" s="11" t="s">
        <v>22</v>
      </c>
      <c r="G72" s="16" t="s">
        <v>23</v>
      </c>
      <c r="H72" s="12"/>
      <c r="I72" s="16" t="e">
        <f>VLOOKUP(D72,#REF!,6,)</f>
        <v>#REF!</v>
      </c>
    </row>
    <row r="73" spans="1:9" ht="25.5">
      <c r="A73" s="16" t="s">
        <v>5</v>
      </c>
      <c r="B73" s="16" t="s">
        <v>180</v>
      </c>
      <c r="C73" s="16" t="s">
        <v>181</v>
      </c>
      <c r="D73" s="16" t="s">
        <v>454</v>
      </c>
      <c r="E73" s="16" t="e">
        <f>VLOOKUP(D73,#REF!,2,)</f>
        <v>#REF!</v>
      </c>
      <c r="F73" s="11" t="s">
        <v>22</v>
      </c>
      <c r="G73" s="16" t="s">
        <v>81</v>
      </c>
      <c r="H73" s="12"/>
      <c r="I73" s="16" t="e">
        <f>VLOOKUP(D73,#REF!,6,)</f>
        <v>#REF!</v>
      </c>
    </row>
    <row r="74" spans="1:9" ht="25.5">
      <c r="A74" s="16" t="s">
        <v>456</v>
      </c>
      <c r="B74" s="16" t="s">
        <v>180</v>
      </c>
      <c r="C74" s="16" t="s">
        <v>181</v>
      </c>
      <c r="D74" s="16" t="s">
        <v>310</v>
      </c>
      <c r="E74" s="16" t="e">
        <f>VLOOKUP(D74,#REF!,2,)</f>
        <v>#REF!</v>
      </c>
      <c r="F74" s="11" t="s">
        <v>22</v>
      </c>
      <c r="G74" s="16" t="s">
        <v>23</v>
      </c>
      <c r="H74" s="12"/>
      <c r="I74" s="16" t="e">
        <f>VLOOKUP(D74,#REF!,6,)</f>
        <v>#REF!</v>
      </c>
    </row>
    <row r="75" spans="1:9" ht="25.5">
      <c r="A75" s="16" t="s">
        <v>456</v>
      </c>
      <c r="B75" s="16" t="s">
        <v>180</v>
      </c>
      <c r="C75" s="16" t="s">
        <v>181</v>
      </c>
      <c r="D75" s="16" t="s">
        <v>494</v>
      </c>
      <c r="E75" s="16" t="e">
        <f>VLOOKUP(D75,#REF!,2,)</f>
        <v>#REF!</v>
      </c>
      <c r="F75" s="11" t="s">
        <v>22</v>
      </c>
      <c r="G75" s="16" t="s">
        <v>81</v>
      </c>
      <c r="H75" s="12"/>
      <c r="I75" s="16" t="e">
        <f>VLOOKUP(D75,#REF!,6,)</f>
        <v>#REF!</v>
      </c>
    </row>
    <row r="76" spans="1:9" ht="25.5">
      <c r="A76" s="16" t="s">
        <v>456</v>
      </c>
      <c r="B76" s="16" t="s">
        <v>180</v>
      </c>
      <c r="C76" s="16" t="s">
        <v>181</v>
      </c>
      <c r="D76" s="16" t="s">
        <v>497</v>
      </c>
      <c r="E76" s="16" t="e">
        <f>VLOOKUP(D76,#REF!,2,)</f>
        <v>#REF!</v>
      </c>
      <c r="F76" s="11" t="s">
        <v>22</v>
      </c>
      <c r="G76" s="16" t="s">
        <v>23</v>
      </c>
      <c r="H76" s="12"/>
      <c r="I76" s="16" t="e">
        <f>VLOOKUP(D76,#REF!,6,)</f>
        <v>#REF!</v>
      </c>
    </row>
    <row r="77" spans="1:9" ht="25.5">
      <c r="A77" s="16" t="s">
        <v>456</v>
      </c>
      <c r="B77" s="16" t="s">
        <v>180</v>
      </c>
      <c r="C77" s="16" t="s">
        <v>181</v>
      </c>
      <c r="D77" s="16" t="s">
        <v>501</v>
      </c>
      <c r="E77" s="16" t="e">
        <f>VLOOKUP(D77,#REF!,2,)</f>
        <v>#REF!</v>
      </c>
      <c r="F77" s="11" t="s">
        <v>22</v>
      </c>
      <c r="G77" s="16" t="s">
        <v>23</v>
      </c>
      <c r="H77" s="12"/>
      <c r="I77" s="16" t="e">
        <f>VLOOKUP(D77,#REF!,6,)</f>
        <v>#REF!</v>
      </c>
    </row>
    <row r="78" spans="1:9" ht="25.5">
      <c r="A78" s="16" t="s">
        <v>456</v>
      </c>
      <c r="B78" s="16" t="s">
        <v>180</v>
      </c>
      <c r="C78" s="16" t="s">
        <v>181</v>
      </c>
      <c r="D78" s="16" t="s">
        <v>502</v>
      </c>
      <c r="E78" s="16" t="e">
        <f>VLOOKUP(D78,#REF!,2,)</f>
        <v>#REF!</v>
      </c>
      <c r="F78" s="11" t="s">
        <v>22</v>
      </c>
      <c r="G78" s="16" t="s">
        <v>23</v>
      </c>
      <c r="H78" s="12"/>
      <c r="I78" s="16" t="e">
        <f>VLOOKUP(D78,#REF!,6,)</f>
        <v>#REF!</v>
      </c>
    </row>
    <row r="79" spans="1:9" ht="38.25">
      <c r="A79" s="16" t="s">
        <v>5</v>
      </c>
      <c r="B79" s="16" t="s">
        <v>180</v>
      </c>
      <c r="C79" s="16" t="s">
        <v>181</v>
      </c>
      <c r="D79" s="16" t="s">
        <v>505</v>
      </c>
      <c r="E79" s="16" t="e">
        <f>VLOOKUP(D79,#REF!,2,)</f>
        <v>#REF!</v>
      </c>
      <c r="F79" s="11" t="s">
        <v>22</v>
      </c>
      <c r="G79" s="16" t="s">
        <v>23</v>
      </c>
      <c r="H79" s="12"/>
      <c r="I79" s="16" t="e">
        <f>VLOOKUP(D79,#REF!,6,)</f>
        <v>#REF!</v>
      </c>
    </row>
    <row r="80" spans="1:9" ht="38.25">
      <c r="A80" s="16" t="s">
        <v>5</v>
      </c>
      <c r="B80" s="16" t="s">
        <v>180</v>
      </c>
      <c r="C80" s="16" t="s">
        <v>181</v>
      </c>
      <c r="D80" s="16" t="s">
        <v>508</v>
      </c>
      <c r="E80" s="16" t="e">
        <f>VLOOKUP(D80,#REF!,2,)</f>
        <v>#REF!</v>
      </c>
      <c r="F80" s="11" t="s">
        <v>22</v>
      </c>
      <c r="G80" s="16" t="s">
        <v>81</v>
      </c>
      <c r="H80" s="12"/>
      <c r="I80" s="16" t="e">
        <f>VLOOKUP(D80,#REF!,6,)</f>
        <v>#REF!</v>
      </c>
    </row>
    <row r="81" spans="1:9" ht="25.5">
      <c r="A81" s="16" t="s">
        <v>5</v>
      </c>
      <c r="B81" s="16" t="s">
        <v>180</v>
      </c>
      <c r="C81" s="16" t="s">
        <v>181</v>
      </c>
      <c r="D81" s="16" t="s">
        <v>515</v>
      </c>
      <c r="E81" s="16" t="e">
        <f>VLOOKUP(D81,#REF!,2,)</f>
        <v>#REF!</v>
      </c>
      <c r="F81" s="11" t="s">
        <v>22</v>
      </c>
      <c r="G81" s="16" t="s">
        <v>23</v>
      </c>
      <c r="H81" s="12"/>
      <c r="I81" s="16" t="e">
        <f>VLOOKUP(D81,#REF!,6,)</f>
        <v>#REF!</v>
      </c>
    </row>
    <row r="82" spans="1:9" ht="25.5">
      <c r="A82" s="16" t="s">
        <v>5</v>
      </c>
      <c r="B82" s="16" t="s">
        <v>180</v>
      </c>
      <c r="C82" s="16" t="s">
        <v>181</v>
      </c>
      <c r="D82" s="16" t="s">
        <v>518</v>
      </c>
      <c r="E82" s="16" t="e">
        <f>VLOOKUP(D82,#REF!,2,)</f>
        <v>#REF!</v>
      </c>
      <c r="F82" s="11" t="s">
        <v>22</v>
      </c>
      <c r="G82" s="16" t="s">
        <v>23</v>
      </c>
      <c r="H82" s="12"/>
      <c r="I82" s="16" t="e">
        <f>VLOOKUP(D82,#REF!,6,)</f>
        <v>#REF!</v>
      </c>
    </row>
    <row r="83" spans="1:9" ht="25.5">
      <c r="A83" s="16" t="s">
        <v>5</v>
      </c>
      <c r="B83" s="16" t="s">
        <v>180</v>
      </c>
      <c r="C83" s="16" t="s">
        <v>181</v>
      </c>
      <c r="D83" s="16" t="s">
        <v>523</v>
      </c>
      <c r="E83" s="16" t="e">
        <f>VLOOKUP(D83,#REF!,2,)</f>
        <v>#REF!</v>
      </c>
      <c r="F83" s="11" t="s">
        <v>22</v>
      </c>
      <c r="G83" s="16" t="s">
        <v>23</v>
      </c>
      <c r="H83" s="12"/>
      <c r="I83" s="16" t="e">
        <f>VLOOKUP(D83,#REF!,6,)</f>
        <v>#REF!</v>
      </c>
    </row>
    <row r="84" spans="1:9" ht="38.25">
      <c r="A84" s="16" t="s">
        <v>5</v>
      </c>
      <c r="B84" s="16" t="s">
        <v>180</v>
      </c>
      <c r="C84" s="16" t="s">
        <v>181</v>
      </c>
      <c r="D84" s="16" t="s">
        <v>524</v>
      </c>
      <c r="E84" s="16" t="e">
        <f>VLOOKUP(D84,#REF!,2,)</f>
        <v>#REF!</v>
      </c>
      <c r="F84" s="11" t="s">
        <v>22</v>
      </c>
      <c r="G84" s="16" t="s">
        <v>81</v>
      </c>
      <c r="H84" s="12"/>
      <c r="I84" s="16" t="e">
        <f>VLOOKUP(D84,#REF!,6,)</f>
        <v>#REF!</v>
      </c>
    </row>
    <row r="85" spans="1:9" ht="25.5">
      <c r="A85" s="16" t="s">
        <v>5</v>
      </c>
      <c r="B85" s="16" t="s">
        <v>180</v>
      </c>
      <c r="C85" s="16" t="s">
        <v>181</v>
      </c>
      <c r="D85" s="16" t="s">
        <v>525</v>
      </c>
      <c r="E85" s="16" t="e">
        <f>VLOOKUP(D85,#REF!,2,)</f>
        <v>#REF!</v>
      </c>
      <c r="F85" s="11" t="s">
        <v>22</v>
      </c>
      <c r="G85" s="16" t="s">
        <v>81</v>
      </c>
      <c r="H85" s="12"/>
      <c r="I85" s="16" t="e">
        <f>VLOOKUP(D85,#REF!,6,)</f>
        <v>#REF!</v>
      </c>
    </row>
    <row r="86" spans="1:9" ht="25.5">
      <c r="A86" s="16" t="s">
        <v>5</v>
      </c>
      <c r="B86" s="16" t="s">
        <v>180</v>
      </c>
      <c r="C86" s="16" t="s">
        <v>181</v>
      </c>
      <c r="D86" s="16" t="s">
        <v>749</v>
      </c>
      <c r="E86" s="16" t="e">
        <f>VLOOKUP(D86,#REF!,2,)</f>
        <v>#REF!</v>
      </c>
      <c r="F86" s="11" t="s">
        <v>22</v>
      </c>
      <c r="G86" s="16" t="s">
        <v>23</v>
      </c>
      <c r="H86" s="12"/>
      <c r="I86" s="16" t="e">
        <f>VLOOKUP(D86,#REF!,6,)</f>
        <v>#REF!</v>
      </c>
    </row>
    <row r="87" spans="1:9" ht="25.5">
      <c r="A87" s="16" t="s">
        <v>5</v>
      </c>
      <c r="B87" s="16" t="s">
        <v>180</v>
      </c>
      <c r="C87" s="16" t="s">
        <v>181</v>
      </c>
      <c r="D87" s="16" t="s">
        <v>528</v>
      </c>
      <c r="E87" s="16" t="e">
        <f>VLOOKUP(D87,#REF!,2,)</f>
        <v>#REF!</v>
      </c>
      <c r="F87" s="11" t="s">
        <v>22</v>
      </c>
      <c r="G87" s="16" t="s">
        <v>23</v>
      </c>
      <c r="H87" s="12"/>
      <c r="I87" s="16" t="e">
        <f>VLOOKUP(D87,#REF!,6,)</f>
        <v>#REF!</v>
      </c>
    </row>
    <row r="88" spans="1:9" ht="25.5">
      <c r="A88" s="16" t="s">
        <v>5</v>
      </c>
      <c r="B88" s="16" t="s">
        <v>180</v>
      </c>
      <c r="C88" s="16" t="s">
        <v>181</v>
      </c>
      <c r="D88" s="16" t="s">
        <v>531</v>
      </c>
      <c r="E88" s="16" t="e">
        <f>VLOOKUP(D88,#REF!,2,)</f>
        <v>#REF!</v>
      </c>
      <c r="F88" s="11" t="s">
        <v>22</v>
      </c>
      <c r="G88" s="16" t="s">
        <v>23</v>
      </c>
      <c r="H88" s="12"/>
      <c r="I88" s="16" t="e">
        <f>VLOOKUP(D88,#REF!,6,)</f>
        <v>#REF!</v>
      </c>
    </row>
    <row r="89" spans="1:9" ht="38.25">
      <c r="A89" s="16" t="s">
        <v>5</v>
      </c>
      <c r="B89" s="16" t="s">
        <v>180</v>
      </c>
      <c r="C89" s="16" t="s">
        <v>181</v>
      </c>
      <c r="D89" s="16" t="s">
        <v>535</v>
      </c>
      <c r="E89" s="16" t="e">
        <f>VLOOKUP(D89,#REF!,2,)</f>
        <v>#REF!</v>
      </c>
      <c r="F89" s="11" t="s">
        <v>22</v>
      </c>
      <c r="G89" s="16" t="s">
        <v>23</v>
      </c>
      <c r="H89" s="12"/>
      <c r="I89" s="16" t="e">
        <f>VLOOKUP(D89,#REF!,6,)</f>
        <v>#REF!</v>
      </c>
    </row>
    <row r="90" spans="1:9" ht="25.5">
      <c r="A90" s="16" t="s">
        <v>5</v>
      </c>
      <c r="B90" s="16" t="s">
        <v>180</v>
      </c>
      <c r="C90" s="16" t="s">
        <v>181</v>
      </c>
      <c r="D90" s="16" t="s">
        <v>536</v>
      </c>
      <c r="E90" s="16" t="e">
        <f>VLOOKUP(D90,#REF!,2,)</f>
        <v>#REF!</v>
      </c>
      <c r="F90" s="11" t="s">
        <v>22</v>
      </c>
      <c r="G90" s="16" t="s">
        <v>23</v>
      </c>
      <c r="H90" s="12"/>
      <c r="I90" s="16" t="e">
        <f>VLOOKUP(D90,#REF!,6,)</f>
        <v>#REF!</v>
      </c>
    </row>
    <row r="91" spans="1:9" ht="25.5">
      <c r="A91" s="16" t="s">
        <v>5</v>
      </c>
      <c r="B91" s="16" t="s">
        <v>180</v>
      </c>
      <c r="C91" s="16" t="s">
        <v>181</v>
      </c>
      <c r="D91" s="16" t="s">
        <v>538</v>
      </c>
      <c r="E91" s="16" t="e">
        <f>VLOOKUP(D91,#REF!,2,)</f>
        <v>#REF!</v>
      </c>
      <c r="F91" s="11" t="s">
        <v>22</v>
      </c>
      <c r="G91" s="16" t="s">
        <v>23</v>
      </c>
      <c r="H91" s="12"/>
      <c r="I91" s="16" t="e">
        <f>VLOOKUP(D91,#REF!,6,)</f>
        <v>#REF!</v>
      </c>
    </row>
    <row r="92" spans="1:9" ht="25.5">
      <c r="A92" s="16" t="s">
        <v>5</v>
      </c>
      <c r="B92" s="16" t="s">
        <v>180</v>
      </c>
      <c r="C92" s="16" t="s">
        <v>181</v>
      </c>
      <c r="D92" s="16" t="s">
        <v>750</v>
      </c>
      <c r="E92" s="16" t="e">
        <f>VLOOKUP(D92,#REF!,2,)</f>
        <v>#REF!</v>
      </c>
      <c r="F92" s="11" t="s">
        <v>22</v>
      </c>
      <c r="G92" s="16" t="s">
        <v>23</v>
      </c>
      <c r="H92" s="12"/>
      <c r="I92" s="16" t="e">
        <f>VLOOKUP(D92,#REF!,6,)</f>
        <v>#REF!</v>
      </c>
    </row>
    <row r="93" spans="1:9" ht="25.5">
      <c r="A93" s="16" t="s">
        <v>5</v>
      </c>
      <c r="B93" s="16" t="s">
        <v>180</v>
      </c>
      <c r="C93" s="16" t="s">
        <v>181</v>
      </c>
      <c r="D93" s="16" t="s">
        <v>540</v>
      </c>
      <c r="E93" s="16" t="e">
        <f>VLOOKUP(D93,#REF!,2,)</f>
        <v>#REF!</v>
      </c>
      <c r="F93" s="11" t="s">
        <v>22</v>
      </c>
      <c r="G93" s="16" t="s">
        <v>23</v>
      </c>
      <c r="H93" s="12"/>
      <c r="I93" s="16" t="e">
        <f>VLOOKUP(D93,#REF!,6,)</f>
        <v>#REF!</v>
      </c>
    </row>
    <row r="94" spans="1:9" ht="25.5">
      <c r="A94" s="16" t="s">
        <v>5</v>
      </c>
      <c r="B94" s="16" t="s">
        <v>180</v>
      </c>
      <c r="C94" s="16" t="s">
        <v>181</v>
      </c>
      <c r="D94" s="16" t="s">
        <v>541</v>
      </c>
      <c r="E94" s="16" t="e">
        <f>VLOOKUP(D94,#REF!,2,)</f>
        <v>#REF!</v>
      </c>
      <c r="F94" s="11" t="s">
        <v>22</v>
      </c>
      <c r="G94" s="16" t="s">
        <v>81</v>
      </c>
      <c r="H94" s="12"/>
      <c r="I94" s="16" t="e">
        <f>VLOOKUP(D94,#REF!,6,)</f>
        <v>#REF!</v>
      </c>
    </row>
    <row r="95" spans="1:9" ht="25.5">
      <c r="A95" s="16" t="s">
        <v>542</v>
      </c>
      <c r="B95" s="16" t="s">
        <v>180</v>
      </c>
      <c r="C95" s="16" t="s">
        <v>181</v>
      </c>
      <c r="D95" s="16" t="s">
        <v>296</v>
      </c>
      <c r="E95" s="16" t="e">
        <f>VLOOKUP(D95,#REF!,2,)</f>
        <v>#REF!</v>
      </c>
      <c r="F95" s="11" t="s">
        <v>22</v>
      </c>
      <c r="G95" s="16" t="s">
        <v>23</v>
      </c>
      <c r="H95" s="12"/>
      <c r="I95" s="16" t="e">
        <f>VLOOKUP(D95,#REF!,6,)</f>
        <v>#REF!</v>
      </c>
    </row>
    <row r="96" spans="1:9" ht="25.5">
      <c r="A96" s="16" t="s">
        <v>5</v>
      </c>
      <c r="B96" s="16" t="s">
        <v>180</v>
      </c>
      <c r="C96" s="16" t="s">
        <v>181</v>
      </c>
      <c r="D96" s="16" t="s">
        <v>597</v>
      </c>
      <c r="E96" s="16" t="e">
        <f>VLOOKUP(D96,#REF!,2,)</f>
        <v>#REF!</v>
      </c>
      <c r="F96" s="11" t="s">
        <v>22</v>
      </c>
      <c r="G96" s="16" t="s">
        <v>114</v>
      </c>
      <c r="H96" s="12"/>
      <c r="I96" s="16" t="e">
        <f>VLOOKUP(D96,#REF!,6,)</f>
        <v>#REF!</v>
      </c>
    </row>
    <row r="97" spans="1:9" ht="25.5">
      <c r="A97" s="16" t="s">
        <v>5</v>
      </c>
      <c r="B97" s="16" t="s">
        <v>180</v>
      </c>
      <c r="C97" s="16" t="s">
        <v>181</v>
      </c>
      <c r="D97" s="16" t="s">
        <v>599</v>
      </c>
      <c r="E97" s="16" t="e">
        <f>VLOOKUP(D97,#REF!,2,)</f>
        <v>#REF!</v>
      </c>
      <c r="F97" s="11" t="s">
        <v>22</v>
      </c>
      <c r="G97" s="16" t="s">
        <v>114</v>
      </c>
      <c r="H97" s="12"/>
      <c r="I97" s="16" t="e">
        <f>VLOOKUP(D97,#REF!,6,)</f>
        <v>#REF!</v>
      </c>
    </row>
    <row r="98" spans="1:9" ht="25.5">
      <c r="A98" s="16" t="s">
        <v>5</v>
      </c>
      <c r="B98" s="16" t="s">
        <v>180</v>
      </c>
      <c r="C98" s="16" t="s">
        <v>181</v>
      </c>
      <c r="D98" s="16" t="s">
        <v>600</v>
      </c>
      <c r="E98" s="16" t="e">
        <f>VLOOKUP(D98,#REF!,2,)</f>
        <v>#REF!</v>
      </c>
      <c r="F98" s="11" t="s">
        <v>22</v>
      </c>
      <c r="G98" s="16" t="s">
        <v>81</v>
      </c>
      <c r="H98" s="12"/>
      <c r="I98" s="16" t="e">
        <f>VLOOKUP(D98,#REF!,6,)</f>
        <v>#REF!</v>
      </c>
    </row>
    <row r="99" spans="1:9" ht="25.5">
      <c r="A99" s="16" t="s">
        <v>5</v>
      </c>
      <c r="B99" s="16" t="s">
        <v>180</v>
      </c>
      <c r="C99" s="16" t="s">
        <v>181</v>
      </c>
      <c r="D99" s="16" t="s">
        <v>602</v>
      </c>
      <c r="E99" s="16" t="e">
        <f>VLOOKUP(D99,#REF!,2,)</f>
        <v>#REF!</v>
      </c>
      <c r="F99" s="11" t="s">
        <v>22</v>
      </c>
      <c r="G99" s="16" t="s">
        <v>114</v>
      </c>
      <c r="H99" s="12"/>
      <c r="I99" s="16" t="e">
        <f>VLOOKUP(D99,#REF!,6,)</f>
        <v>#REF!</v>
      </c>
    </row>
    <row r="100" spans="1:9" ht="25.5">
      <c r="A100" s="16" t="s">
        <v>5</v>
      </c>
      <c r="B100" s="16" t="s">
        <v>180</v>
      </c>
      <c r="C100" s="16" t="s">
        <v>181</v>
      </c>
      <c r="D100" s="16" t="s">
        <v>753</v>
      </c>
      <c r="E100" s="16" t="e">
        <f>VLOOKUP(D100,#REF!,2,)</f>
        <v>#REF!</v>
      </c>
      <c r="F100" s="11" t="s">
        <v>22</v>
      </c>
      <c r="G100" s="16" t="s">
        <v>114</v>
      </c>
      <c r="H100" s="12"/>
      <c r="I100" s="16" t="e">
        <f>VLOOKUP(D100,#REF!,6,)</f>
        <v>#REF!</v>
      </c>
    </row>
    <row r="101" spans="1:9" ht="25.5">
      <c r="A101" s="16" t="s">
        <v>5</v>
      </c>
      <c r="B101" s="16" t="s">
        <v>180</v>
      </c>
      <c r="C101" s="16" t="s">
        <v>181</v>
      </c>
      <c r="D101" s="16" t="s">
        <v>754</v>
      </c>
      <c r="E101" s="16" t="e">
        <f>VLOOKUP(D101,#REF!,2,)</f>
        <v>#REF!</v>
      </c>
      <c r="F101" s="11" t="s">
        <v>22</v>
      </c>
      <c r="G101" s="16" t="s">
        <v>114</v>
      </c>
      <c r="H101" s="12"/>
      <c r="I101" s="16" t="e">
        <f>VLOOKUP(D101,#REF!,6,)</f>
        <v>#REF!</v>
      </c>
    </row>
    <row r="102" spans="1:9" ht="25.5">
      <c r="A102" s="16" t="s">
        <v>5</v>
      </c>
      <c r="B102" s="16" t="s">
        <v>180</v>
      </c>
      <c r="C102" s="16" t="s">
        <v>181</v>
      </c>
      <c r="D102" s="16" t="s">
        <v>607</v>
      </c>
      <c r="E102" s="16" t="e">
        <f>VLOOKUP(D102,#REF!,2,)</f>
        <v>#REF!</v>
      </c>
      <c r="F102" s="11" t="s">
        <v>22</v>
      </c>
      <c r="G102" s="16" t="s">
        <v>114</v>
      </c>
      <c r="H102" s="12"/>
      <c r="I102" s="16" t="e">
        <f>VLOOKUP(D102,#REF!,6,)</f>
        <v>#REF!</v>
      </c>
    </row>
    <row r="103" spans="1:9" ht="25.5">
      <c r="A103" s="16" t="s">
        <v>5</v>
      </c>
      <c r="B103" s="16" t="s">
        <v>180</v>
      </c>
      <c r="C103" s="16" t="s">
        <v>181</v>
      </c>
      <c r="D103" s="16" t="s">
        <v>608</v>
      </c>
      <c r="E103" s="16" t="e">
        <f>VLOOKUP(D103,#REF!,2,)</f>
        <v>#REF!</v>
      </c>
      <c r="F103" s="11" t="s">
        <v>22</v>
      </c>
      <c r="G103" s="16" t="s">
        <v>114</v>
      </c>
      <c r="H103" s="12"/>
      <c r="I103" s="16" t="e">
        <f>VLOOKUP(D103,#REF!,6,)</f>
        <v>#REF!</v>
      </c>
    </row>
    <row r="104" spans="1:9" ht="25.5">
      <c r="A104" s="16" t="s">
        <v>5</v>
      </c>
      <c r="B104" s="16" t="s">
        <v>180</v>
      </c>
      <c r="C104" s="16" t="s">
        <v>181</v>
      </c>
      <c r="D104" s="16" t="s">
        <v>755</v>
      </c>
      <c r="E104" s="16" t="e">
        <f>VLOOKUP(D104,#REF!,2,)</f>
        <v>#REF!</v>
      </c>
      <c r="F104" s="11" t="s">
        <v>22</v>
      </c>
      <c r="G104" s="16" t="s">
        <v>114</v>
      </c>
      <c r="H104" s="12"/>
      <c r="I104" s="16" t="e">
        <f>VLOOKUP(D104,#REF!,6,)</f>
        <v>#REF!</v>
      </c>
    </row>
    <row r="105" spans="1:9" ht="25.5">
      <c r="A105" s="16" t="s">
        <v>5</v>
      </c>
      <c r="B105" s="16" t="s">
        <v>180</v>
      </c>
      <c r="C105" s="16" t="s">
        <v>181</v>
      </c>
      <c r="D105" s="16" t="s">
        <v>612</v>
      </c>
      <c r="E105" s="16" t="e">
        <f>VLOOKUP(D105,#REF!,2,)</f>
        <v>#REF!</v>
      </c>
      <c r="F105" s="11" t="s">
        <v>22</v>
      </c>
      <c r="G105" s="16" t="s">
        <v>81</v>
      </c>
      <c r="H105" s="12"/>
      <c r="I105" s="16" t="e">
        <f>VLOOKUP(D105,#REF!,6,)</f>
        <v>#REF!</v>
      </c>
    </row>
    <row r="106" spans="1:9" ht="25.5">
      <c r="A106" s="16" t="s">
        <v>5</v>
      </c>
      <c r="B106" s="16" t="s">
        <v>180</v>
      </c>
      <c r="C106" s="16" t="s">
        <v>181</v>
      </c>
      <c r="D106" s="16" t="s">
        <v>757</v>
      </c>
      <c r="E106" s="16" t="e">
        <f>VLOOKUP(D106,#REF!,2,)</f>
        <v>#REF!</v>
      </c>
      <c r="F106" s="11" t="s">
        <v>22</v>
      </c>
      <c r="G106" s="16" t="s">
        <v>114</v>
      </c>
      <c r="H106" s="12"/>
      <c r="I106" s="16" t="e">
        <f>VLOOKUP(D106,#REF!,6,)</f>
        <v>#REF!</v>
      </c>
    </row>
    <row r="107" spans="1:9" ht="25.5">
      <c r="A107" s="16" t="s">
        <v>5</v>
      </c>
      <c r="B107" s="16" t="s">
        <v>180</v>
      </c>
      <c r="C107" s="16" t="s">
        <v>181</v>
      </c>
      <c r="D107" s="1" t="s">
        <v>758</v>
      </c>
      <c r="E107" s="16" t="e">
        <f>VLOOKUP(D107,#REF!,2,)</f>
        <v>#REF!</v>
      </c>
      <c r="F107" s="11" t="s">
        <v>22</v>
      </c>
      <c r="G107" s="16" t="s">
        <v>114</v>
      </c>
      <c r="H107" s="12"/>
      <c r="I107" s="16" t="e">
        <f>VLOOKUP(D107,#REF!,6,)</f>
        <v>#REF!</v>
      </c>
    </row>
    <row r="108" spans="1:9" ht="25.5">
      <c r="A108" s="16" t="s">
        <v>5</v>
      </c>
      <c r="B108" s="16" t="s">
        <v>180</v>
      </c>
      <c r="C108" s="16" t="s">
        <v>181</v>
      </c>
      <c r="D108" s="16" t="s">
        <v>627</v>
      </c>
      <c r="E108" s="16" t="e">
        <f>VLOOKUP(D108,#REF!,2,)</f>
        <v>#REF!</v>
      </c>
      <c r="F108" s="11" t="s">
        <v>22</v>
      </c>
      <c r="G108" s="16" t="s">
        <v>114</v>
      </c>
      <c r="H108" s="12"/>
      <c r="I108" s="16" t="e">
        <f>VLOOKUP(D108,#REF!,6,)</f>
        <v>#REF!</v>
      </c>
    </row>
    <row r="109" spans="1:9" ht="25.5">
      <c r="A109" s="16" t="s">
        <v>5</v>
      </c>
      <c r="B109" s="16" t="s">
        <v>180</v>
      </c>
      <c r="C109" s="16" t="s">
        <v>181</v>
      </c>
      <c r="D109" s="16" t="s">
        <v>631</v>
      </c>
      <c r="E109" s="16" t="e">
        <f>VLOOKUP(D109,#REF!,2,)</f>
        <v>#REF!</v>
      </c>
      <c r="F109" s="11" t="s">
        <v>22</v>
      </c>
      <c r="G109" s="16" t="s">
        <v>81</v>
      </c>
      <c r="H109" s="12"/>
      <c r="I109" s="16" t="e">
        <f>VLOOKUP(D109,#REF!,6,)</f>
        <v>#REF!</v>
      </c>
    </row>
    <row r="110" spans="1:9" ht="25.5">
      <c r="A110" s="16" t="s">
        <v>5</v>
      </c>
      <c r="B110" s="16" t="s">
        <v>180</v>
      </c>
      <c r="C110" s="16" t="s">
        <v>181</v>
      </c>
      <c r="D110" s="16" t="s">
        <v>759</v>
      </c>
      <c r="E110" s="16" t="e">
        <f>VLOOKUP(D110,#REF!,2,)</f>
        <v>#REF!</v>
      </c>
      <c r="F110" s="11" t="s">
        <v>22</v>
      </c>
      <c r="G110" s="16" t="s">
        <v>114</v>
      </c>
      <c r="H110" s="12"/>
      <c r="I110" s="16" t="e">
        <f>VLOOKUP(D110,#REF!,6,)</f>
        <v>#REF!</v>
      </c>
    </row>
    <row r="111" spans="1:9" ht="25.5">
      <c r="A111" s="16" t="s">
        <v>5</v>
      </c>
      <c r="B111" s="16" t="s">
        <v>180</v>
      </c>
      <c r="C111" s="16" t="s">
        <v>181</v>
      </c>
      <c r="D111" s="16" t="s">
        <v>632</v>
      </c>
      <c r="E111" s="16" t="e">
        <f>VLOOKUP(D111,#REF!,2,)</f>
        <v>#REF!</v>
      </c>
      <c r="F111" s="11" t="s">
        <v>22</v>
      </c>
      <c r="G111" s="16" t="s">
        <v>114</v>
      </c>
      <c r="H111" s="12"/>
      <c r="I111" s="16" t="e">
        <f>VLOOKUP(D111,#REF!,6,)</f>
        <v>#REF!</v>
      </c>
    </row>
    <row r="112" spans="1:9" ht="25.5">
      <c r="A112" s="16" t="s">
        <v>5</v>
      </c>
      <c r="B112" s="16" t="s">
        <v>180</v>
      </c>
      <c r="C112" s="16" t="s">
        <v>181</v>
      </c>
      <c r="D112" s="16" t="s">
        <v>633</v>
      </c>
      <c r="E112" s="16" t="e">
        <f>VLOOKUP(D112,#REF!,2,)</f>
        <v>#REF!</v>
      </c>
      <c r="F112" s="11" t="s">
        <v>22</v>
      </c>
      <c r="G112" s="16" t="s">
        <v>114</v>
      </c>
      <c r="H112" s="12"/>
      <c r="I112" s="16" t="e">
        <f>VLOOKUP(D112,#REF!,6,)</f>
        <v>#REF!</v>
      </c>
    </row>
    <row r="113" spans="1:12" ht="25.5">
      <c r="A113" s="16" t="s">
        <v>5</v>
      </c>
      <c r="B113" s="16" t="s">
        <v>180</v>
      </c>
      <c r="C113" s="16" t="s">
        <v>181</v>
      </c>
      <c r="D113" s="16" t="s">
        <v>634</v>
      </c>
      <c r="E113" s="16" t="e">
        <f>VLOOKUP(D113,#REF!,2,)</f>
        <v>#REF!</v>
      </c>
      <c r="F113" s="11" t="s">
        <v>22</v>
      </c>
      <c r="G113" s="16" t="s">
        <v>81</v>
      </c>
      <c r="H113" s="12"/>
      <c r="I113" s="16" t="e">
        <f>VLOOKUP(D113,#REF!,6,)</f>
        <v>#REF!</v>
      </c>
    </row>
    <row r="114" spans="1:12" ht="25.5">
      <c r="A114" s="16" t="s">
        <v>5</v>
      </c>
      <c r="B114" s="16" t="s">
        <v>180</v>
      </c>
      <c r="C114" s="16" t="s">
        <v>181</v>
      </c>
      <c r="D114" s="16" t="s">
        <v>635</v>
      </c>
      <c r="E114" s="16" t="e">
        <f>VLOOKUP(D114,#REF!,2,)</f>
        <v>#REF!</v>
      </c>
      <c r="F114" s="11" t="s">
        <v>22</v>
      </c>
      <c r="G114" s="16" t="s">
        <v>81</v>
      </c>
      <c r="H114" s="12"/>
      <c r="I114" s="16" t="e">
        <f>VLOOKUP(D114,#REF!,6,)</f>
        <v>#REF!</v>
      </c>
    </row>
    <row r="115" spans="1:12" ht="25.5">
      <c r="A115" s="16" t="s">
        <v>5</v>
      </c>
      <c r="B115" s="16" t="s">
        <v>180</v>
      </c>
      <c r="C115" s="16" t="s">
        <v>181</v>
      </c>
      <c r="D115" s="16" t="s">
        <v>640</v>
      </c>
      <c r="E115" s="16" t="e">
        <f>VLOOKUP(D115,#REF!,2,)</f>
        <v>#REF!</v>
      </c>
      <c r="F115" s="11" t="s">
        <v>22</v>
      </c>
      <c r="G115" s="16" t="s">
        <v>81</v>
      </c>
      <c r="H115" s="12"/>
      <c r="I115" s="16" t="e">
        <f>VLOOKUP(D115,#REF!,6,)</f>
        <v>#REF!</v>
      </c>
    </row>
    <row r="116" spans="1:12" ht="25.5">
      <c r="A116" s="16" t="s">
        <v>5</v>
      </c>
      <c r="B116" s="16" t="s">
        <v>180</v>
      </c>
      <c r="C116" s="16" t="s">
        <v>181</v>
      </c>
      <c r="D116" s="16" t="s">
        <v>641</v>
      </c>
      <c r="E116" s="16" t="e">
        <f>VLOOKUP(D116,#REF!,2,)</f>
        <v>#REF!</v>
      </c>
      <c r="F116" s="11" t="s">
        <v>22</v>
      </c>
      <c r="G116" s="16" t="s">
        <v>114</v>
      </c>
      <c r="H116" s="12"/>
      <c r="I116" s="16" t="e">
        <f>VLOOKUP(D116,#REF!,6,)</f>
        <v>#REF!</v>
      </c>
    </row>
    <row r="117" spans="1:12" ht="25.5">
      <c r="A117" s="16" t="s">
        <v>5</v>
      </c>
      <c r="B117" s="16" t="s">
        <v>180</v>
      </c>
      <c r="C117" s="16" t="s">
        <v>181</v>
      </c>
      <c r="D117" s="16" t="s">
        <v>642</v>
      </c>
      <c r="E117" s="16" t="e">
        <f>VLOOKUP(D117,#REF!,2,)</f>
        <v>#REF!</v>
      </c>
      <c r="F117" s="11" t="s">
        <v>22</v>
      </c>
      <c r="G117" s="16" t="s">
        <v>81</v>
      </c>
      <c r="H117" s="12"/>
      <c r="I117" s="16" t="e">
        <f>VLOOKUP(D117,#REF!,6,)</f>
        <v>#REF!</v>
      </c>
    </row>
    <row r="118" spans="1:12" ht="25.5">
      <c r="A118" s="16" t="s">
        <v>5</v>
      </c>
      <c r="B118" s="16" t="s">
        <v>180</v>
      </c>
      <c r="C118" s="16" t="s">
        <v>181</v>
      </c>
      <c r="D118" s="16" t="s">
        <v>643</v>
      </c>
      <c r="E118" s="16" t="e">
        <f>VLOOKUP(D118,#REF!,2,)</f>
        <v>#REF!</v>
      </c>
      <c r="F118" s="11" t="s">
        <v>22</v>
      </c>
      <c r="G118" s="16" t="s">
        <v>114</v>
      </c>
      <c r="H118" s="12"/>
      <c r="I118" s="16" t="e">
        <f>VLOOKUP(D118,#REF!,6,)</f>
        <v>#REF!</v>
      </c>
    </row>
    <row r="119" spans="1:12" ht="25.5">
      <c r="A119" s="16" t="s">
        <v>5</v>
      </c>
      <c r="B119" s="16" t="s">
        <v>180</v>
      </c>
      <c r="C119" s="16" t="s">
        <v>181</v>
      </c>
      <c r="D119" s="16" t="s">
        <v>647</v>
      </c>
      <c r="E119" s="16" t="e">
        <f>VLOOKUP(D119,#REF!,2,)</f>
        <v>#REF!</v>
      </c>
      <c r="F119" s="11" t="s">
        <v>22</v>
      </c>
      <c r="G119" s="16" t="s">
        <v>114</v>
      </c>
      <c r="H119" s="12"/>
      <c r="I119" s="16" t="e">
        <f>VLOOKUP(D119,#REF!,6,)</f>
        <v>#REF!</v>
      </c>
    </row>
    <row r="120" spans="1:12" ht="25.5">
      <c r="A120" s="16" t="s">
        <v>5</v>
      </c>
      <c r="B120" s="16" t="s">
        <v>180</v>
      </c>
      <c r="C120" s="16" t="s">
        <v>181</v>
      </c>
      <c r="D120" s="16" t="s">
        <v>648</v>
      </c>
      <c r="E120" s="16" t="e">
        <f>VLOOKUP(D120,#REF!,2,)</f>
        <v>#REF!</v>
      </c>
      <c r="F120" s="11" t="s">
        <v>22</v>
      </c>
      <c r="G120" s="16" t="s">
        <v>81</v>
      </c>
      <c r="H120" s="12"/>
      <c r="I120" s="16" t="e">
        <f>VLOOKUP(D120,#REF!,6,)</f>
        <v>#REF!</v>
      </c>
    </row>
    <row r="121" spans="1:12" ht="25.5">
      <c r="A121" s="16" t="s">
        <v>5</v>
      </c>
      <c r="B121" s="16" t="s">
        <v>180</v>
      </c>
      <c r="C121" s="16" t="s">
        <v>181</v>
      </c>
      <c r="D121" s="16" t="s">
        <v>649</v>
      </c>
      <c r="E121" s="16" t="e">
        <f>VLOOKUP(D121,#REF!,2,)</f>
        <v>#REF!</v>
      </c>
      <c r="F121" s="11" t="s">
        <v>22</v>
      </c>
      <c r="G121" s="16" t="s">
        <v>114</v>
      </c>
      <c r="H121" s="12"/>
      <c r="I121" s="16" t="e">
        <f>VLOOKUP(D121,#REF!,6,)</f>
        <v>#REF!</v>
      </c>
    </row>
    <row r="122" spans="1:12" ht="25.5">
      <c r="A122" s="16" t="s">
        <v>5</v>
      </c>
      <c r="B122" s="16" t="s">
        <v>180</v>
      </c>
      <c r="C122" s="16" t="s">
        <v>181</v>
      </c>
      <c r="D122" s="16" t="s">
        <v>650</v>
      </c>
      <c r="E122" s="16" t="e">
        <f>VLOOKUP(D122,#REF!,2,)</f>
        <v>#REF!</v>
      </c>
      <c r="F122" s="11" t="s">
        <v>22</v>
      </c>
      <c r="G122" s="16" t="s">
        <v>81</v>
      </c>
      <c r="H122" s="12"/>
      <c r="I122" s="16" t="e">
        <f>VLOOKUP(D122,#REF!,6,)</f>
        <v>#REF!</v>
      </c>
    </row>
    <row r="123" spans="1:12" ht="25.5">
      <c r="A123" s="16" t="s">
        <v>5</v>
      </c>
      <c r="B123" s="16" t="s">
        <v>180</v>
      </c>
      <c r="C123" s="16" t="s">
        <v>181</v>
      </c>
      <c r="D123" s="16" t="s">
        <v>762</v>
      </c>
      <c r="E123" s="16" t="e">
        <f>VLOOKUP(D123,#REF!,2,)</f>
        <v>#REF!</v>
      </c>
      <c r="F123" s="11" t="s">
        <v>22</v>
      </c>
      <c r="G123" s="16" t="s">
        <v>114</v>
      </c>
      <c r="H123" s="12"/>
      <c r="I123" s="16" t="e">
        <f>VLOOKUP(D123,#REF!,6,)</f>
        <v>#REF!</v>
      </c>
    </row>
    <row r="124" spans="1:12" ht="25.5">
      <c r="A124" s="16" t="s">
        <v>5</v>
      </c>
      <c r="B124" s="16" t="s">
        <v>180</v>
      </c>
      <c r="C124" s="16" t="s">
        <v>181</v>
      </c>
      <c r="D124" s="16" t="s">
        <v>654</v>
      </c>
      <c r="E124" s="16" t="e">
        <f>VLOOKUP(D124,#REF!,2,)</f>
        <v>#REF!</v>
      </c>
      <c r="F124" s="11" t="s">
        <v>22</v>
      </c>
      <c r="G124" s="16" t="s">
        <v>114</v>
      </c>
      <c r="H124" s="12"/>
      <c r="I124" s="16" t="e">
        <f>VLOOKUP(D124,#REF!,6,)</f>
        <v>#REF!</v>
      </c>
    </row>
    <row r="125" spans="1:12" ht="25.5">
      <c r="A125" s="16" t="s">
        <v>5</v>
      </c>
      <c r="B125" s="16" t="s">
        <v>180</v>
      </c>
      <c r="C125" s="16" t="s">
        <v>181</v>
      </c>
      <c r="D125" s="16" t="s">
        <v>658</v>
      </c>
      <c r="E125" s="16" t="e">
        <f>VLOOKUP(D125,#REF!,2,)</f>
        <v>#REF!</v>
      </c>
      <c r="F125" s="11" t="s">
        <v>22</v>
      </c>
      <c r="G125" s="16" t="s">
        <v>114</v>
      </c>
      <c r="H125" s="12"/>
      <c r="I125" s="16" t="e">
        <f>VLOOKUP(D125,#REF!,6,)</f>
        <v>#REF!</v>
      </c>
    </row>
    <row r="126" spans="1:12" ht="25.5">
      <c r="A126" s="16" t="s">
        <v>5</v>
      </c>
      <c r="B126" s="16" t="s">
        <v>180</v>
      </c>
      <c r="C126" s="16" t="s">
        <v>181</v>
      </c>
      <c r="D126" s="16" t="s">
        <v>763</v>
      </c>
      <c r="E126" s="16" t="e">
        <f>VLOOKUP(D126,#REF!,2,)</f>
        <v>#REF!</v>
      </c>
      <c r="F126" s="11" t="s">
        <v>22</v>
      </c>
      <c r="G126" s="16" t="s">
        <v>114</v>
      </c>
      <c r="H126" s="12"/>
      <c r="I126" s="16" t="e">
        <f>VLOOKUP(D126,#REF!,6,)</f>
        <v>#REF!</v>
      </c>
    </row>
    <row r="127" spans="1:12" ht="25.5">
      <c r="A127" s="16" t="s">
        <v>5</v>
      </c>
      <c r="B127" s="16" t="s">
        <v>180</v>
      </c>
      <c r="C127" s="16" t="s">
        <v>181</v>
      </c>
      <c r="D127" s="16" t="s">
        <v>685</v>
      </c>
      <c r="E127" s="16" t="e">
        <f>VLOOKUP(D127,#REF!,2,)</f>
        <v>#REF!</v>
      </c>
      <c r="F127" s="11" t="s">
        <v>22</v>
      </c>
      <c r="G127" s="16" t="s">
        <v>114</v>
      </c>
      <c r="H127" s="12"/>
      <c r="I127" s="16" t="e">
        <f>VLOOKUP(D127,#REF!,6,)</f>
        <v>#REF!</v>
      </c>
    </row>
    <row r="128" spans="1:12" ht="12.75">
      <c r="A128" s="16" t="s">
        <v>456</v>
      </c>
      <c r="B128" s="12"/>
      <c r="C128" s="12"/>
      <c r="D128" s="16" t="s">
        <v>691</v>
      </c>
      <c r="E128" s="16" t="e">
        <f>VLOOKUP(D128,#REF!,2,)</f>
        <v>#REF!</v>
      </c>
      <c r="F128" s="19"/>
      <c r="G128" s="12"/>
      <c r="H128" s="12"/>
      <c r="I128" s="16" t="e">
        <f>VLOOKUP(D128,#REF!,6,)</f>
        <v>#REF!</v>
      </c>
      <c r="J128" s="16"/>
      <c r="K128" s="16"/>
      <c r="L128" s="16"/>
    </row>
    <row r="129" spans="1:10" ht="25.5">
      <c r="A129" s="16" t="s">
        <v>5</v>
      </c>
      <c r="B129" s="16" t="s">
        <v>16</v>
      </c>
      <c r="C129" s="16" t="s">
        <v>26</v>
      </c>
      <c r="D129" s="16" t="s">
        <v>766</v>
      </c>
      <c r="E129" s="16" t="e">
        <f>VLOOKUP(D129,#REF!,2,)</f>
        <v>#REF!</v>
      </c>
      <c r="F129" s="19"/>
      <c r="G129" s="19"/>
      <c r="H129" s="12"/>
      <c r="I129" s="16" t="e">
        <f>VLOOKUP(D129,#REF!,6,)</f>
        <v>#REF!</v>
      </c>
      <c r="J129" s="16"/>
    </row>
  </sheetData>
  <customSheetViews>
    <customSheetView guid="{E79D1D05-9F65-4414-A4D1-ED3DAE422003}" filter="1" showAutoFilter="1">
      <pageMargins left="0.7" right="0.7" top="0.75" bottom="0.75" header="0.3" footer="0.3"/>
      <autoFilter ref="A1:I129"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M999"/>
  <sheetViews>
    <sheetView workbookViewId="0"/>
  </sheetViews>
  <sheetFormatPr baseColWidth="10" defaultColWidth="14.42578125" defaultRowHeight="15.75" customHeight="1"/>
  <cols>
    <col min="1" max="1" width="8.5703125" customWidth="1"/>
    <col min="2" max="2" width="13.140625" customWidth="1"/>
    <col min="3" max="3" width="16.42578125" customWidth="1"/>
    <col min="4" max="4" width="62.85546875" customWidth="1"/>
    <col min="5" max="5" width="46.85546875" customWidth="1"/>
    <col min="6" max="6" width="14.42578125" hidden="1"/>
    <col min="9" max="9" width="14.42578125" hidden="1"/>
    <col min="11" max="12" width="14.42578125" hidden="1"/>
    <col min="13" max="13" width="8" customWidth="1"/>
  </cols>
  <sheetData>
    <row r="1" spans="1:13" ht="15.75" customHeight="1">
      <c r="A1" s="13" t="s">
        <v>1</v>
      </c>
      <c r="B1" s="13" t="s">
        <v>194</v>
      </c>
      <c r="C1" s="13" t="s">
        <v>10</v>
      </c>
      <c r="D1" s="45" t="s">
        <v>195</v>
      </c>
      <c r="E1" s="13" t="s">
        <v>11</v>
      </c>
      <c r="F1" s="15" t="s">
        <v>708</v>
      </c>
      <c r="G1" s="13" t="s">
        <v>13</v>
      </c>
      <c r="H1" s="13" t="s">
        <v>14</v>
      </c>
      <c r="I1" s="13" t="s">
        <v>3</v>
      </c>
      <c r="J1" s="13" t="s">
        <v>35</v>
      </c>
      <c r="K1" s="13" t="s">
        <v>8</v>
      </c>
      <c r="L1" s="13" t="s">
        <v>6</v>
      </c>
      <c r="M1" s="13" t="s">
        <v>2</v>
      </c>
    </row>
    <row r="2" spans="1:13" ht="15.75" customHeight="1">
      <c r="A2" s="16" t="s">
        <v>5</v>
      </c>
      <c r="B2" s="16" t="s">
        <v>16</v>
      </c>
      <c r="C2" s="16" t="s">
        <v>96</v>
      </c>
      <c r="D2" s="46" t="s">
        <v>201</v>
      </c>
      <c r="E2" s="16" t="e">
        <f>VLOOKUP(D2,#REF!,2,)</f>
        <v>#REF!</v>
      </c>
      <c r="F2" s="11" t="s">
        <v>22</v>
      </c>
      <c r="G2" s="16" t="s">
        <v>114</v>
      </c>
      <c r="H2" s="12"/>
      <c r="I2" s="16"/>
      <c r="J2" s="16" t="e">
        <f>VLOOKUP(D2,#REF!,7,)</f>
        <v>#REF!</v>
      </c>
      <c r="K2" s="16" t="s">
        <v>7</v>
      </c>
      <c r="L2" s="16" t="s">
        <v>7</v>
      </c>
      <c r="M2" s="16" t="e">
        <f>VLOOKUP(D2,#REF!,10,)</f>
        <v>#REF!</v>
      </c>
    </row>
    <row r="3" spans="1:13" ht="15.75" customHeight="1">
      <c r="A3" s="16" t="s">
        <v>5</v>
      </c>
      <c r="B3" s="16" t="s">
        <v>16</v>
      </c>
      <c r="C3" s="16" t="s">
        <v>202</v>
      </c>
      <c r="D3" s="46" t="s">
        <v>767</v>
      </c>
      <c r="E3" s="16" t="e">
        <f>VLOOKUP(D3,#REF!,2,)</f>
        <v>#REF!</v>
      </c>
      <c r="F3" s="11" t="s">
        <v>22</v>
      </c>
      <c r="G3" s="16" t="s">
        <v>114</v>
      </c>
      <c r="H3" s="12"/>
      <c r="I3" s="16" t="s">
        <v>7</v>
      </c>
      <c r="J3" s="16" t="e">
        <f>VLOOKUP(D3,#REF!,7,)</f>
        <v>#REF!</v>
      </c>
      <c r="K3" s="16" t="s">
        <v>7</v>
      </c>
      <c r="L3" s="16" t="s">
        <v>7</v>
      </c>
      <c r="M3" s="16" t="e">
        <f>VLOOKUP(D3,#REF!,10,)</f>
        <v>#REF!</v>
      </c>
    </row>
    <row r="4" spans="1:13" ht="15.75" customHeight="1">
      <c r="A4" s="16" t="s">
        <v>5</v>
      </c>
      <c r="B4" s="16" t="s">
        <v>16</v>
      </c>
      <c r="C4" s="16" t="s">
        <v>33</v>
      </c>
      <c r="D4" s="46" t="s">
        <v>203</v>
      </c>
      <c r="E4" s="16" t="e">
        <f>VLOOKUP(D4,#REF!,2,)</f>
        <v>#REF!</v>
      </c>
      <c r="F4" s="11" t="s">
        <v>22</v>
      </c>
      <c r="G4" s="16" t="s">
        <v>81</v>
      </c>
      <c r="H4" s="12"/>
      <c r="I4" s="16" t="s">
        <v>7</v>
      </c>
      <c r="J4" s="16" t="e">
        <f>VLOOKUP(D4,#REF!,7,)</f>
        <v>#REF!</v>
      </c>
      <c r="K4" s="16" t="s">
        <v>7</v>
      </c>
      <c r="L4" s="16" t="s">
        <v>7</v>
      </c>
      <c r="M4" s="16" t="e">
        <f>VLOOKUP(D4,#REF!,10,)</f>
        <v>#REF!</v>
      </c>
    </row>
    <row r="5" spans="1:13" ht="15.75" customHeight="1">
      <c r="A5" s="16" t="s">
        <v>5</v>
      </c>
      <c r="B5" s="16" t="s">
        <v>16</v>
      </c>
      <c r="C5" s="16" t="s">
        <v>33</v>
      </c>
      <c r="D5" s="46" t="s">
        <v>204</v>
      </c>
      <c r="E5" s="16" t="e">
        <f>VLOOKUP(D5,#REF!,2,)</f>
        <v>#REF!</v>
      </c>
      <c r="F5" s="11" t="s">
        <v>22</v>
      </c>
      <c r="G5" s="16" t="s">
        <v>81</v>
      </c>
      <c r="H5" s="12"/>
      <c r="I5" s="16" t="s">
        <v>7</v>
      </c>
      <c r="J5" s="16" t="e">
        <f>VLOOKUP(D5,#REF!,7,)</f>
        <v>#REF!</v>
      </c>
      <c r="K5" s="16" t="s">
        <v>7</v>
      </c>
      <c r="L5" s="16" t="s">
        <v>7</v>
      </c>
      <c r="M5" s="16" t="e">
        <f>VLOOKUP(D5,#REF!,10,)</f>
        <v>#REF!</v>
      </c>
    </row>
    <row r="6" spans="1:13" ht="15.75" customHeight="1">
      <c r="A6" s="16" t="s">
        <v>5</v>
      </c>
      <c r="B6" s="16" t="s">
        <v>16</v>
      </c>
      <c r="C6" s="16" t="s">
        <v>17</v>
      </c>
      <c r="D6" s="16" t="s">
        <v>217</v>
      </c>
      <c r="E6" s="16" t="e">
        <f>VLOOKUP(D6,#REF!,2,)</f>
        <v>#REF!</v>
      </c>
      <c r="F6" s="11" t="s">
        <v>22</v>
      </c>
      <c r="G6" s="16" t="s">
        <v>23</v>
      </c>
      <c r="H6" s="12"/>
      <c r="I6" s="16" t="s">
        <v>7</v>
      </c>
      <c r="J6" s="16" t="e">
        <f>VLOOKUP(D6,#REF!,7,)</f>
        <v>#REF!</v>
      </c>
      <c r="K6" s="16" t="s">
        <v>7</v>
      </c>
      <c r="L6" s="16" t="s">
        <v>7</v>
      </c>
      <c r="M6" s="16" t="e">
        <f>VLOOKUP(D6,#REF!,10,)</f>
        <v>#REF!</v>
      </c>
    </row>
    <row r="7" spans="1:13" ht="15.75" customHeight="1">
      <c r="A7" s="16" t="s">
        <v>5</v>
      </c>
      <c r="B7" s="16" t="s">
        <v>16</v>
      </c>
      <c r="C7" s="16" t="s">
        <v>17</v>
      </c>
      <c r="D7" s="46" t="s">
        <v>224</v>
      </c>
      <c r="E7" s="16" t="e">
        <f>VLOOKUP(D7,#REF!,2,)</f>
        <v>#REF!</v>
      </c>
      <c r="F7" s="11" t="s">
        <v>22</v>
      </c>
      <c r="G7" s="12"/>
      <c r="H7" s="12"/>
      <c r="I7" s="16" t="s">
        <v>7</v>
      </c>
      <c r="J7" s="16" t="e">
        <f>VLOOKUP(D7,#REF!,7,)</f>
        <v>#REF!</v>
      </c>
      <c r="K7" s="16" t="s">
        <v>7</v>
      </c>
      <c r="L7" s="16" t="s">
        <v>7</v>
      </c>
      <c r="M7" s="16" t="e">
        <f>VLOOKUP(D7,#REF!,10,)</f>
        <v>#REF!</v>
      </c>
    </row>
    <row r="8" spans="1:13" ht="15.75" customHeight="1">
      <c r="A8" s="16" t="s">
        <v>200</v>
      </c>
      <c r="B8" s="16" t="s">
        <v>16</v>
      </c>
      <c r="C8" s="16" t="s">
        <v>96</v>
      </c>
      <c r="D8" s="46" t="s">
        <v>240</v>
      </c>
      <c r="E8" s="16" t="e">
        <f>VLOOKUP(D8,#REF!,2,)</f>
        <v>#REF!</v>
      </c>
      <c r="F8" s="11" t="s">
        <v>22</v>
      </c>
      <c r="G8" s="16" t="s">
        <v>81</v>
      </c>
      <c r="H8" s="12"/>
      <c r="I8" s="16"/>
      <c r="J8" s="16" t="e">
        <f>VLOOKUP(D8,#REF!,7,)</f>
        <v>#REF!</v>
      </c>
      <c r="K8" s="16" t="s">
        <v>7</v>
      </c>
      <c r="L8" s="16" t="s">
        <v>7</v>
      </c>
      <c r="M8" s="16" t="e">
        <f>VLOOKUP(D8,#REF!,10,)</f>
        <v>#REF!</v>
      </c>
    </row>
    <row r="9" spans="1:13" ht="15.75" customHeight="1">
      <c r="A9" s="16" t="s">
        <v>200</v>
      </c>
      <c r="B9" s="16" t="s">
        <v>16</v>
      </c>
      <c r="C9" s="16" t="s">
        <v>96</v>
      </c>
      <c r="D9" s="46" t="s">
        <v>241</v>
      </c>
      <c r="E9" s="16" t="e">
        <f>VLOOKUP(D9,#REF!,2,)</f>
        <v>#REF!</v>
      </c>
      <c r="F9" s="11" t="s">
        <v>22</v>
      </c>
      <c r="G9" s="16" t="s">
        <v>81</v>
      </c>
      <c r="H9" s="12"/>
      <c r="I9" s="16"/>
      <c r="J9" s="16" t="e">
        <f>VLOOKUP(D9,#REF!,7,)</f>
        <v>#REF!</v>
      </c>
      <c r="K9" s="16" t="s">
        <v>7</v>
      </c>
      <c r="L9" s="16" t="s">
        <v>7</v>
      </c>
      <c r="M9" s="16" t="e">
        <f>VLOOKUP(D9,#REF!,10,)</f>
        <v>#REF!</v>
      </c>
    </row>
    <row r="10" spans="1:13" ht="15.75" customHeight="1">
      <c r="A10" s="16" t="s">
        <v>5</v>
      </c>
      <c r="B10" s="16" t="s">
        <v>16</v>
      </c>
      <c r="C10" s="16" t="s">
        <v>243</v>
      </c>
      <c r="D10" s="46" t="s">
        <v>244</v>
      </c>
      <c r="E10" s="16" t="e">
        <f>VLOOKUP(D10,#REF!,2,)</f>
        <v>#REF!</v>
      </c>
      <c r="F10" s="11" t="s">
        <v>22</v>
      </c>
      <c r="G10" s="16" t="s">
        <v>23</v>
      </c>
      <c r="H10" s="12"/>
      <c r="I10" s="16" t="s">
        <v>7</v>
      </c>
      <c r="J10" s="16" t="e">
        <f>VLOOKUP(D10,#REF!,7,)</f>
        <v>#REF!</v>
      </c>
      <c r="K10" s="16" t="s">
        <v>7</v>
      </c>
      <c r="L10" s="16" t="s">
        <v>7</v>
      </c>
      <c r="M10" s="16" t="e">
        <f>VLOOKUP(D10,#REF!,10,)</f>
        <v>#REF!</v>
      </c>
    </row>
    <row r="11" spans="1:13" ht="15.75" customHeight="1">
      <c r="A11" s="16" t="s">
        <v>5</v>
      </c>
      <c r="B11" s="16" t="s">
        <v>16</v>
      </c>
      <c r="C11" s="16" t="s">
        <v>96</v>
      </c>
      <c r="D11" s="46" t="s">
        <v>246</v>
      </c>
      <c r="E11" s="16" t="e">
        <f>VLOOKUP(D11,#REF!,2,)</f>
        <v>#REF!</v>
      </c>
      <c r="F11" s="11" t="s">
        <v>22</v>
      </c>
      <c r="G11" s="16" t="s">
        <v>81</v>
      </c>
      <c r="H11" s="12"/>
      <c r="I11" s="16" t="s">
        <v>7</v>
      </c>
      <c r="J11" s="16" t="e">
        <f>VLOOKUP(D11,#REF!,7,)</f>
        <v>#REF!</v>
      </c>
      <c r="K11" s="16" t="s">
        <v>7</v>
      </c>
      <c r="L11" s="16" t="s">
        <v>7</v>
      </c>
      <c r="M11" s="16" t="e">
        <f>VLOOKUP(D11,#REF!,10,)</f>
        <v>#REF!</v>
      </c>
    </row>
    <row r="12" spans="1:13" ht="15.75" customHeight="1">
      <c r="A12" s="16" t="s">
        <v>5</v>
      </c>
      <c r="B12" s="16" t="s">
        <v>16</v>
      </c>
      <c r="C12" s="16" t="s">
        <v>96</v>
      </c>
      <c r="D12" s="57" t="s">
        <v>249</v>
      </c>
      <c r="E12" s="16" t="e">
        <f>VLOOKUP(D12,#REF!,2,)</f>
        <v>#REF!</v>
      </c>
      <c r="F12" s="11" t="s">
        <v>22</v>
      </c>
      <c r="G12" s="16" t="s">
        <v>23</v>
      </c>
      <c r="H12" s="12"/>
      <c r="I12" s="16"/>
      <c r="J12" s="16" t="e">
        <f>VLOOKUP(D12,#REF!,7,)</f>
        <v>#REF!</v>
      </c>
      <c r="K12" s="16" t="s">
        <v>7</v>
      </c>
      <c r="L12" s="16" t="s">
        <v>7</v>
      </c>
      <c r="M12" s="16" t="e">
        <f>VLOOKUP(D12,#REF!,10,)</f>
        <v>#REF!</v>
      </c>
    </row>
    <row r="13" spans="1:13" ht="15.75" customHeight="1">
      <c r="A13" s="16" t="s">
        <v>5</v>
      </c>
      <c r="B13" s="16" t="s">
        <v>16</v>
      </c>
      <c r="C13" s="16" t="s">
        <v>96</v>
      </c>
      <c r="D13" s="46" t="s">
        <v>250</v>
      </c>
      <c r="E13" s="16" t="e">
        <f>VLOOKUP(D13,#REF!,2,)</f>
        <v>#REF!</v>
      </c>
      <c r="F13" s="11" t="s">
        <v>22</v>
      </c>
      <c r="G13" s="16" t="s">
        <v>23</v>
      </c>
      <c r="H13" s="12"/>
      <c r="I13" s="16"/>
      <c r="J13" s="16" t="e">
        <f>VLOOKUP(D13,#REF!,7,)</f>
        <v>#REF!</v>
      </c>
      <c r="K13" s="16" t="s">
        <v>7</v>
      </c>
      <c r="L13" s="16" t="s">
        <v>7</v>
      </c>
      <c r="M13" s="16" t="e">
        <f>VLOOKUP(D13,#REF!,10,)</f>
        <v>#REF!</v>
      </c>
    </row>
    <row r="14" spans="1:13" ht="15.75" customHeight="1">
      <c r="A14" s="16" t="s">
        <v>5</v>
      </c>
      <c r="B14" s="16" t="s">
        <v>16</v>
      </c>
      <c r="C14" s="16" t="s">
        <v>96</v>
      </c>
      <c r="D14" s="46" t="s">
        <v>255</v>
      </c>
      <c r="E14" s="16" t="e">
        <f>VLOOKUP(D14,#REF!,2,)</f>
        <v>#REF!</v>
      </c>
      <c r="F14" s="11" t="s">
        <v>22</v>
      </c>
      <c r="G14" s="16" t="s">
        <v>23</v>
      </c>
      <c r="H14" s="12"/>
      <c r="I14" s="16"/>
      <c r="J14" s="16" t="e">
        <f>VLOOKUP(D14,#REF!,7,)</f>
        <v>#REF!</v>
      </c>
      <c r="K14" s="16" t="s">
        <v>7</v>
      </c>
      <c r="L14" s="16" t="s">
        <v>7</v>
      </c>
      <c r="M14" s="16" t="e">
        <f>VLOOKUP(D14,#REF!,10,)</f>
        <v>#REF!</v>
      </c>
    </row>
    <row r="15" spans="1:13" ht="15.75" customHeight="1">
      <c r="A15" s="16" t="s">
        <v>5</v>
      </c>
      <c r="B15" s="16" t="s">
        <v>16</v>
      </c>
      <c r="C15" s="16" t="s">
        <v>26</v>
      </c>
      <c r="D15" s="46" t="s">
        <v>266</v>
      </c>
      <c r="E15" s="16" t="e">
        <f>VLOOKUP(D15,#REF!,2,)</f>
        <v>#REF!</v>
      </c>
      <c r="F15" s="11" t="s">
        <v>22</v>
      </c>
      <c r="G15" s="16" t="s">
        <v>81</v>
      </c>
      <c r="H15" s="12"/>
      <c r="I15" s="16" t="s">
        <v>7</v>
      </c>
      <c r="J15" s="16" t="e">
        <f>VLOOKUP(D15,#REF!,7,)</f>
        <v>#REF!</v>
      </c>
      <c r="K15" s="16" t="s">
        <v>7</v>
      </c>
      <c r="L15" s="16" t="s">
        <v>7</v>
      </c>
      <c r="M15" s="16" t="e">
        <f>VLOOKUP(D15,#REF!,10,)</f>
        <v>#REF!</v>
      </c>
    </row>
    <row r="16" spans="1:13" ht="15.75" customHeight="1">
      <c r="A16" s="16" t="s">
        <v>5</v>
      </c>
      <c r="B16" s="16" t="s">
        <v>16</v>
      </c>
      <c r="C16" s="16" t="s">
        <v>26</v>
      </c>
      <c r="D16" s="46" t="s">
        <v>712</v>
      </c>
      <c r="E16" s="16" t="e">
        <f>VLOOKUP(D16,#REF!,2,)</f>
        <v>#REF!</v>
      </c>
      <c r="F16" s="11" t="s">
        <v>22</v>
      </c>
      <c r="G16" s="16" t="s">
        <v>23</v>
      </c>
      <c r="H16" s="12"/>
      <c r="I16" s="16" t="s">
        <v>7</v>
      </c>
      <c r="J16" s="16" t="e">
        <f>VLOOKUP(D16,#REF!,7,)</f>
        <v>#REF!</v>
      </c>
      <c r="K16" s="16" t="s">
        <v>7</v>
      </c>
      <c r="L16" s="16" t="s">
        <v>7</v>
      </c>
      <c r="M16" s="16" t="e">
        <f>VLOOKUP(D16,#REF!,10,)</f>
        <v>#REF!</v>
      </c>
    </row>
    <row r="17" spans="1:13" ht="15.75" customHeight="1">
      <c r="A17" s="16" t="s">
        <v>5</v>
      </c>
      <c r="B17" s="16" t="s">
        <v>16</v>
      </c>
      <c r="C17" s="16" t="s">
        <v>33</v>
      </c>
      <c r="D17" s="46" t="s">
        <v>279</v>
      </c>
      <c r="E17" s="16" t="e">
        <f>VLOOKUP(D17,#REF!,2,)</f>
        <v>#REF!</v>
      </c>
      <c r="F17" s="11" t="s">
        <v>22</v>
      </c>
      <c r="G17" s="16" t="s">
        <v>23</v>
      </c>
      <c r="H17" s="12"/>
      <c r="I17" s="16" t="s">
        <v>7</v>
      </c>
      <c r="J17" s="16" t="e">
        <f>VLOOKUP(D17,#REF!,7,)</f>
        <v>#REF!</v>
      </c>
      <c r="K17" s="16" t="s">
        <v>7</v>
      </c>
      <c r="L17" s="16" t="s">
        <v>7</v>
      </c>
      <c r="M17" s="16" t="e">
        <f>VLOOKUP(D17,#REF!,10,)</f>
        <v>#REF!</v>
      </c>
    </row>
    <row r="18" spans="1:13" ht="15.75" customHeight="1">
      <c r="A18" s="16" t="s">
        <v>5</v>
      </c>
      <c r="B18" s="16" t="s">
        <v>16</v>
      </c>
      <c r="C18" s="16" t="s">
        <v>17</v>
      </c>
      <c r="D18" s="46" t="s">
        <v>292</v>
      </c>
      <c r="E18" s="16" t="e">
        <f>VLOOKUP(D18,#REF!,2,)</f>
        <v>#REF!</v>
      </c>
      <c r="F18" s="11" t="s">
        <v>22</v>
      </c>
      <c r="G18" s="16" t="s">
        <v>709</v>
      </c>
      <c r="H18" s="12"/>
      <c r="I18" s="16" t="s">
        <v>7</v>
      </c>
      <c r="J18" s="16" t="e">
        <f>VLOOKUP(D18,#REF!,7,)</f>
        <v>#REF!</v>
      </c>
      <c r="K18" s="16" t="s">
        <v>7</v>
      </c>
      <c r="L18" s="16" t="s">
        <v>7</v>
      </c>
      <c r="M18" s="16" t="e">
        <f>VLOOKUP(D18,#REF!,10,)</f>
        <v>#REF!</v>
      </c>
    </row>
    <row r="19" spans="1:13" ht="15.75" customHeight="1">
      <c r="A19" s="16" t="s">
        <v>5</v>
      </c>
      <c r="B19" s="16" t="s">
        <v>16</v>
      </c>
      <c r="C19" s="16" t="s">
        <v>33</v>
      </c>
      <c r="D19" s="46" t="s">
        <v>314</v>
      </c>
      <c r="E19" s="16" t="e">
        <f>VLOOKUP(D19,#REF!,2,)</f>
        <v>#REF!</v>
      </c>
      <c r="F19" s="11" t="s">
        <v>22</v>
      </c>
      <c r="G19" s="16" t="s">
        <v>81</v>
      </c>
      <c r="H19" s="12"/>
      <c r="I19" s="16" t="s">
        <v>7</v>
      </c>
      <c r="J19" s="16" t="e">
        <f>VLOOKUP(D19,#REF!,7,)</f>
        <v>#REF!</v>
      </c>
      <c r="K19" s="16" t="s">
        <v>7</v>
      </c>
      <c r="L19" s="16" t="s">
        <v>7</v>
      </c>
      <c r="M19" s="16" t="e">
        <f>VLOOKUP(D19,#REF!,10,)</f>
        <v>#REF!</v>
      </c>
    </row>
    <row r="20" spans="1:13" ht="15.75" customHeight="1">
      <c r="A20" s="16" t="s">
        <v>5</v>
      </c>
      <c r="B20" s="16" t="s">
        <v>16</v>
      </c>
      <c r="C20" s="16" t="s">
        <v>33</v>
      </c>
      <c r="D20" s="46" t="s">
        <v>34</v>
      </c>
      <c r="E20" s="16" t="e">
        <f>VLOOKUP(D20,#REF!,2,)</f>
        <v>#REF!</v>
      </c>
      <c r="F20" s="11" t="s">
        <v>22</v>
      </c>
      <c r="G20" s="16" t="s">
        <v>23</v>
      </c>
      <c r="H20" s="12"/>
      <c r="I20" s="16" t="s">
        <v>7</v>
      </c>
      <c r="J20" s="16" t="e">
        <f>VLOOKUP(D20,#REF!,7,)</f>
        <v>#REF!</v>
      </c>
      <c r="K20" s="16" t="s">
        <v>7</v>
      </c>
      <c r="L20" s="16" t="s">
        <v>7</v>
      </c>
      <c r="M20" s="16" t="e">
        <f>VLOOKUP(D20,#REF!,10,)</f>
        <v>#REF!</v>
      </c>
    </row>
    <row r="21" spans="1:13" ht="15.75" customHeight="1">
      <c r="A21" s="16" t="s">
        <v>5</v>
      </c>
      <c r="B21" s="16" t="s">
        <v>16</v>
      </c>
      <c r="C21" s="16" t="s">
        <v>33</v>
      </c>
      <c r="D21" s="46" t="s">
        <v>328</v>
      </c>
      <c r="E21" s="16" t="e">
        <f>VLOOKUP(D21,#REF!,2,)</f>
        <v>#REF!</v>
      </c>
      <c r="F21" s="11" t="s">
        <v>22</v>
      </c>
      <c r="G21" s="16" t="s">
        <v>23</v>
      </c>
      <c r="H21" s="12"/>
      <c r="I21" s="16" t="s">
        <v>7</v>
      </c>
      <c r="J21" s="16" t="e">
        <f>VLOOKUP(D21,#REF!,7,)</f>
        <v>#REF!</v>
      </c>
      <c r="K21" s="16" t="s">
        <v>7</v>
      </c>
      <c r="L21" s="16" t="s">
        <v>7</v>
      </c>
      <c r="M21" s="16" t="e">
        <f>VLOOKUP(D21,#REF!,10,)</f>
        <v>#REF!</v>
      </c>
    </row>
    <row r="22" spans="1:13" ht="15.75" customHeight="1">
      <c r="A22" s="16" t="s">
        <v>5</v>
      </c>
      <c r="B22" s="16" t="s">
        <v>16</v>
      </c>
      <c r="C22" s="16" t="s">
        <v>17</v>
      </c>
      <c r="D22" s="46" t="s">
        <v>329</v>
      </c>
      <c r="E22" s="16" t="e">
        <f>VLOOKUP(D22,#REF!,2,)</f>
        <v>#REF!</v>
      </c>
      <c r="F22" s="11" t="s">
        <v>22</v>
      </c>
      <c r="G22" s="16" t="s">
        <v>81</v>
      </c>
      <c r="H22" s="12"/>
      <c r="I22" s="16" t="s">
        <v>7</v>
      </c>
      <c r="J22" s="16" t="e">
        <f>VLOOKUP(D22,#REF!,7,)</f>
        <v>#REF!</v>
      </c>
      <c r="K22" s="16" t="s">
        <v>7</v>
      </c>
      <c r="L22" s="16" t="s">
        <v>7</v>
      </c>
      <c r="M22" s="16" t="e">
        <f>VLOOKUP(D22,#REF!,10,)</f>
        <v>#REF!</v>
      </c>
    </row>
    <row r="23" spans="1:13" ht="15.75" customHeight="1">
      <c r="A23" s="16" t="s">
        <v>5</v>
      </c>
      <c r="B23" s="16" t="s">
        <v>16</v>
      </c>
      <c r="C23" s="16" t="s">
        <v>17</v>
      </c>
      <c r="D23" s="46" t="s">
        <v>330</v>
      </c>
      <c r="E23" s="16" t="e">
        <f>VLOOKUP(D23,#REF!,2,)</f>
        <v>#REF!</v>
      </c>
      <c r="F23" s="11" t="s">
        <v>22</v>
      </c>
      <c r="G23" s="16" t="s">
        <v>81</v>
      </c>
      <c r="H23" s="12"/>
      <c r="I23" s="16"/>
      <c r="J23" s="16" t="e">
        <f>VLOOKUP(D23,#REF!,7,)</f>
        <v>#REF!</v>
      </c>
      <c r="K23" s="16" t="s">
        <v>7</v>
      </c>
      <c r="L23" s="16" t="s">
        <v>7</v>
      </c>
      <c r="M23" s="16" t="e">
        <f>VLOOKUP(D23,#REF!,10,)</f>
        <v>#REF!</v>
      </c>
    </row>
    <row r="24" spans="1:13" ht="25.5">
      <c r="A24" s="16" t="s">
        <v>200</v>
      </c>
      <c r="B24" s="16" t="s">
        <v>16</v>
      </c>
      <c r="C24" s="16" t="s">
        <v>17</v>
      </c>
      <c r="D24" s="46" t="s">
        <v>337</v>
      </c>
      <c r="E24" s="16" t="e">
        <f>VLOOKUP(D24,#REF!,2,)</f>
        <v>#REF!</v>
      </c>
      <c r="F24" s="11" t="s">
        <v>22</v>
      </c>
      <c r="G24" s="16" t="s">
        <v>709</v>
      </c>
      <c r="H24" s="12"/>
      <c r="I24" s="16"/>
      <c r="J24" s="16" t="e">
        <f>VLOOKUP(D24,#REF!,7,)</f>
        <v>#REF!</v>
      </c>
      <c r="K24" s="16" t="s">
        <v>7</v>
      </c>
      <c r="L24" s="16" t="s">
        <v>7</v>
      </c>
      <c r="M24" s="16" t="e">
        <f>VLOOKUP(D24,#REF!,10,)</f>
        <v>#REF!</v>
      </c>
    </row>
    <row r="25" spans="1:13" ht="25.5">
      <c r="A25" s="16" t="s">
        <v>5</v>
      </c>
      <c r="B25" s="16" t="s">
        <v>16</v>
      </c>
      <c r="C25" s="16" t="s">
        <v>96</v>
      </c>
      <c r="D25" s="46" t="s">
        <v>345</v>
      </c>
      <c r="E25" s="16" t="e">
        <f>VLOOKUP(D25,#REF!,2,)</f>
        <v>#REF!</v>
      </c>
      <c r="F25" s="11" t="s">
        <v>22</v>
      </c>
      <c r="G25" s="16" t="s">
        <v>81</v>
      </c>
      <c r="H25" s="12"/>
      <c r="I25" s="16" t="s">
        <v>7</v>
      </c>
      <c r="J25" s="16" t="e">
        <f>VLOOKUP(D25,#REF!,7,)</f>
        <v>#REF!</v>
      </c>
      <c r="K25" s="16" t="s">
        <v>7</v>
      </c>
      <c r="L25" s="16" t="s">
        <v>7</v>
      </c>
      <c r="M25" s="16" t="e">
        <f>VLOOKUP(D25,#REF!,10,)</f>
        <v>#REF!</v>
      </c>
    </row>
    <row r="26" spans="1:13" ht="25.5">
      <c r="A26" s="16" t="s">
        <v>5</v>
      </c>
      <c r="B26" s="16" t="s">
        <v>16</v>
      </c>
      <c r="C26" s="16" t="s">
        <v>17</v>
      </c>
      <c r="D26" s="46" t="s">
        <v>350</v>
      </c>
      <c r="E26" s="16" t="e">
        <f>VLOOKUP(D26,#REF!,2,)</f>
        <v>#REF!</v>
      </c>
      <c r="F26" s="11" t="s">
        <v>22</v>
      </c>
      <c r="G26" s="16" t="s">
        <v>81</v>
      </c>
      <c r="H26" s="12"/>
      <c r="I26" s="16" t="s">
        <v>7</v>
      </c>
      <c r="J26" s="16" t="e">
        <f>VLOOKUP(D26,#REF!,7,)</f>
        <v>#REF!</v>
      </c>
      <c r="K26" s="16" t="s">
        <v>7</v>
      </c>
      <c r="L26" s="16" t="s">
        <v>7</v>
      </c>
      <c r="M26" s="16" t="e">
        <f>VLOOKUP(D26,#REF!,10,)</f>
        <v>#REF!</v>
      </c>
    </row>
    <row r="27" spans="1:13" ht="25.5">
      <c r="A27" s="16" t="s">
        <v>5</v>
      </c>
      <c r="B27" s="16" t="s">
        <v>16</v>
      </c>
      <c r="C27" s="16" t="s">
        <v>26</v>
      </c>
      <c r="D27" s="46" t="s">
        <v>365</v>
      </c>
      <c r="E27" s="16" t="e">
        <f>VLOOKUP(D27,#REF!,2,)</f>
        <v>#REF!</v>
      </c>
      <c r="F27" s="11" t="s">
        <v>22</v>
      </c>
      <c r="G27" s="16" t="s">
        <v>23</v>
      </c>
      <c r="H27" s="12"/>
      <c r="I27" s="16" t="s">
        <v>7</v>
      </c>
      <c r="J27" s="16" t="e">
        <f>VLOOKUP(D27,#REF!,7,)</f>
        <v>#REF!</v>
      </c>
      <c r="K27" s="16" t="s">
        <v>7</v>
      </c>
      <c r="L27" s="16" t="s">
        <v>7</v>
      </c>
      <c r="M27" s="16" t="e">
        <f>VLOOKUP(D27,#REF!,10,)</f>
        <v>#REF!</v>
      </c>
    </row>
    <row r="28" spans="1:13" ht="25.5">
      <c r="A28" s="16" t="s">
        <v>5</v>
      </c>
      <c r="B28" s="16" t="s">
        <v>16</v>
      </c>
      <c r="C28" s="16" t="s">
        <v>41</v>
      </c>
      <c r="D28" s="46" t="s">
        <v>367</v>
      </c>
      <c r="E28" s="16" t="e">
        <f>VLOOKUP(D28,#REF!,2,)</f>
        <v>#REF!</v>
      </c>
      <c r="F28" s="11" t="s">
        <v>22</v>
      </c>
      <c r="G28" s="16" t="s">
        <v>23</v>
      </c>
      <c r="H28" s="12"/>
      <c r="I28" s="16" t="s">
        <v>7</v>
      </c>
      <c r="J28" s="16" t="e">
        <f>VLOOKUP(D28,#REF!,7,)</f>
        <v>#REF!</v>
      </c>
      <c r="K28" s="16" t="s">
        <v>7</v>
      </c>
      <c r="L28" s="16" t="s">
        <v>7</v>
      </c>
      <c r="M28" s="16" t="e">
        <f>VLOOKUP(D28,#REF!,10,)</f>
        <v>#REF!</v>
      </c>
    </row>
    <row r="29" spans="1:13" ht="25.5">
      <c r="A29" s="16" t="s">
        <v>5</v>
      </c>
      <c r="B29" s="16" t="s">
        <v>16</v>
      </c>
      <c r="C29" s="16" t="s">
        <v>41</v>
      </c>
      <c r="D29" s="46" t="s">
        <v>374</v>
      </c>
      <c r="E29" s="16" t="e">
        <f>VLOOKUP(D29,#REF!,2,)</f>
        <v>#REF!</v>
      </c>
      <c r="F29" s="11" t="s">
        <v>22</v>
      </c>
      <c r="G29" s="16" t="s">
        <v>23</v>
      </c>
      <c r="H29" s="12"/>
      <c r="I29" s="16"/>
      <c r="J29" s="16" t="e">
        <f>VLOOKUP(D29,#REF!,7,)</f>
        <v>#REF!</v>
      </c>
      <c r="K29" s="16" t="s">
        <v>7</v>
      </c>
      <c r="L29" s="16" t="s">
        <v>7</v>
      </c>
      <c r="M29" s="16" t="e">
        <f>VLOOKUP(D29,#REF!,10,)</f>
        <v>#REF!</v>
      </c>
    </row>
    <row r="30" spans="1:13" ht="25.5">
      <c r="A30" s="16" t="s">
        <v>5</v>
      </c>
      <c r="B30" s="16" t="s">
        <v>16</v>
      </c>
      <c r="C30" s="16" t="s">
        <v>41</v>
      </c>
      <c r="D30" s="46" t="s">
        <v>379</v>
      </c>
      <c r="E30" s="16" t="e">
        <f>VLOOKUP(D30,#REF!,2,)</f>
        <v>#REF!</v>
      </c>
      <c r="F30" s="11" t="s">
        <v>22</v>
      </c>
      <c r="G30" s="16" t="s">
        <v>23</v>
      </c>
      <c r="H30" s="12"/>
      <c r="I30" s="16"/>
      <c r="J30" s="16" t="e">
        <f>VLOOKUP(D30,#REF!,7,)</f>
        <v>#REF!</v>
      </c>
      <c r="K30" s="16" t="s">
        <v>7</v>
      </c>
      <c r="L30" s="16" t="s">
        <v>7</v>
      </c>
      <c r="M30" s="16" t="e">
        <f>VLOOKUP(D30,#REF!,10,)</f>
        <v>#REF!</v>
      </c>
    </row>
    <row r="31" spans="1:13" ht="25.5">
      <c r="A31" s="16" t="s">
        <v>5</v>
      </c>
      <c r="B31" s="16" t="s">
        <v>16</v>
      </c>
      <c r="C31" s="16" t="s">
        <v>41</v>
      </c>
      <c r="D31" s="46" t="s">
        <v>381</v>
      </c>
      <c r="E31" s="16" t="e">
        <f>VLOOKUP(D31,#REF!,2,)</f>
        <v>#REF!</v>
      </c>
      <c r="F31" s="11" t="s">
        <v>22</v>
      </c>
      <c r="G31" s="16" t="s">
        <v>23</v>
      </c>
      <c r="H31" s="12"/>
      <c r="I31" s="16"/>
      <c r="J31" s="16" t="e">
        <f>VLOOKUP(D31,#REF!,7,)</f>
        <v>#REF!</v>
      </c>
      <c r="K31" s="16" t="s">
        <v>7</v>
      </c>
      <c r="L31" s="16" t="s">
        <v>7</v>
      </c>
      <c r="M31" s="16" t="e">
        <f>VLOOKUP(D31,#REF!,10,)</f>
        <v>#REF!</v>
      </c>
    </row>
    <row r="32" spans="1:13" ht="25.5">
      <c r="A32" s="16" t="s">
        <v>5</v>
      </c>
      <c r="B32" s="16" t="s">
        <v>16</v>
      </c>
      <c r="C32" s="16" t="s">
        <v>41</v>
      </c>
      <c r="D32" s="46" t="s">
        <v>386</v>
      </c>
      <c r="E32" s="16" t="e">
        <f>VLOOKUP(D32,#REF!,2,)</f>
        <v>#REF!</v>
      </c>
      <c r="F32" s="11" t="s">
        <v>22</v>
      </c>
      <c r="G32" s="16" t="s">
        <v>23</v>
      </c>
      <c r="H32" s="12"/>
      <c r="I32" s="16"/>
      <c r="J32" s="16" t="e">
        <f>VLOOKUP(D32,#REF!,7,)</f>
        <v>#REF!</v>
      </c>
      <c r="K32" s="16" t="s">
        <v>7</v>
      </c>
      <c r="L32" s="16" t="s">
        <v>7</v>
      </c>
      <c r="M32" s="16" t="e">
        <f>VLOOKUP(D32,#REF!,10,)</f>
        <v>#REF!</v>
      </c>
    </row>
    <row r="33" spans="1:13" ht="25.5">
      <c r="A33" s="16" t="s">
        <v>5</v>
      </c>
      <c r="B33" s="16" t="s">
        <v>16</v>
      </c>
      <c r="C33" s="16" t="s">
        <v>41</v>
      </c>
      <c r="D33" s="46" t="s">
        <v>388</v>
      </c>
      <c r="E33" s="16" t="e">
        <f>VLOOKUP(D33,#REF!,2,)</f>
        <v>#REF!</v>
      </c>
      <c r="F33" s="11" t="s">
        <v>22</v>
      </c>
      <c r="G33" s="16" t="s">
        <v>23</v>
      </c>
      <c r="H33" s="12"/>
      <c r="I33" s="16"/>
      <c r="J33" s="16" t="e">
        <f>VLOOKUP(D33,#REF!,7,)</f>
        <v>#REF!</v>
      </c>
      <c r="K33" s="16" t="s">
        <v>7</v>
      </c>
      <c r="L33" s="16" t="s">
        <v>7</v>
      </c>
      <c r="M33" s="16" t="e">
        <f>VLOOKUP(D33,#REF!,10,)</f>
        <v>#REF!</v>
      </c>
    </row>
    <row r="34" spans="1:13" ht="25.5">
      <c r="A34" s="16" t="s">
        <v>5</v>
      </c>
      <c r="B34" s="16" t="s">
        <v>16</v>
      </c>
      <c r="C34" s="16" t="s">
        <v>41</v>
      </c>
      <c r="D34" s="46" t="s">
        <v>391</v>
      </c>
      <c r="E34" s="16" t="e">
        <f>VLOOKUP(D34,#REF!,2,)</f>
        <v>#REF!</v>
      </c>
      <c r="F34" s="11" t="s">
        <v>22</v>
      </c>
      <c r="G34" s="16" t="s">
        <v>23</v>
      </c>
      <c r="H34" s="12"/>
      <c r="I34" s="16"/>
      <c r="J34" s="16" t="e">
        <f>VLOOKUP(D34,#REF!,7,)</f>
        <v>#REF!</v>
      </c>
      <c r="K34" s="16" t="s">
        <v>7</v>
      </c>
      <c r="L34" s="16" t="s">
        <v>7</v>
      </c>
      <c r="M34" s="16" t="e">
        <f>VLOOKUP(D34,#REF!,10,)</f>
        <v>#REF!</v>
      </c>
    </row>
    <row r="35" spans="1:13" ht="25.5">
      <c r="A35" s="16" t="s">
        <v>5</v>
      </c>
      <c r="B35" s="16" t="s">
        <v>16</v>
      </c>
      <c r="C35" s="16" t="s">
        <v>41</v>
      </c>
      <c r="D35" s="46" t="s">
        <v>395</v>
      </c>
      <c r="E35" s="16" t="e">
        <f>VLOOKUP(D35,#REF!,2,)</f>
        <v>#REF!</v>
      </c>
      <c r="F35" s="11" t="s">
        <v>22</v>
      </c>
      <c r="G35" s="16" t="s">
        <v>23</v>
      </c>
      <c r="H35" s="12"/>
      <c r="I35" s="16"/>
      <c r="J35" s="16" t="e">
        <f>VLOOKUP(D35,#REF!,7,)</f>
        <v>#REF!</v>
      </c>
      <c r="K35" s="16" t="s">
        <v>7</v>
      </c>
      <c r="L35" s="16" t="s">
        <v>7</v>
      </c>
      <c r="M35" s="16" t="e">
        <f>VLOOKUP(D35,#REF!,10,)</f>
        <v>#REF!</v>
      </c>
    </row>
    <row r="36" spans="1:13" ht="25.5">
      <c r="A36" s="16" t="s">
        <v>5</v>
      </c>
      <c r="B36" s="16" t="s">
        <v>16</v>
      </c>
      <c r="C36" s="16" t="s">
        <v>41</v>
      </c>
      <c r="D36" s="46" t="s">
        <v>396</v>
      </c>
      <c r="E36" s="16" t="e">
        <f>VLOOKUP(D36,#REF!,2,)</f>
        <v>#REF!</v>
      </c>
      <c r="F36" s="11" t="s">
        <v>22</v>
      </c>
      <c r="G36" s="16" t="s">
        <v>23</v>
      </c>
      <c r="H36" s="12"/>
      <c r="I36" s="16"/>
      <c r="J36" s="16" t="e">
        <f>VLOOKUP(D36,#REF!,7,)</f>
        <v>#REF!</v>
      </c>
      <c r="K36" s="16" t="s">
        <v>7</v>
      </c>
      <c r="L36" s="16" t="s">
        <v>7</v>
      </c>
      <c r="M36" s="16" t="e">
        <f>VLOOKUP(D36,#REF!,10,)</f>
        <v>#REF!</v>
      </c>
    </row>
    <row r="37" spans="1:13" ht="25.5">
      <c r="A37" s="16" t="s">
        <v>5</v>
      </c>
      <c r="B37" s="16" t="s">
        <v>16</v>
      </c>
      <c r="C37" s="16" t="s">
        <v>41</v>
      </c>
      <c r="D37" s="46" t="s">
        <v>399</v>
      </c>
      <c r="E37" s="16" t="e">
        <f>VLOOKUP(D37,#REF!,2,)</f>
        <v>#REF!</v>
      </c>
      <c r="F37" s="11" t="s">
        <v>22</v>
      </c>
      <c r="G37" s="16" t="s">
        <v>23</v>
      </c>
      <c r="H37" s="12"/>
      <c r="I37" s="16"/>
      <c r="J37" s="16" t="e">
        <f>VLOOKUP(D37,#REF!,7,)</f>
        <v>#REF!</v>
      </c>
      <c r="K37" s="16" t="s">
        <v>7</v>
      </c>
      <c r="L37" s="16" t="s">
        <v>7</v>
      </c>
      <c r="M37" s="16" t="e">
        <f>VLOOKUP(D37,#REF!,10,)</f>
        <v>#REF!</v>
      </c>
    </row>
    <row r="38" spans="1:13" ht="25.5">
      <c r="A38" s="16" t="s">
        <v>5</v>
      </c>
      <c r="B38" s="16" t="s">
        <v>16</v>
      </c>
      <c r="C38" s="16" t="s">
        <v>41</v>
      </c>
      <c r="D38" s="46" t="s">
        <v>403</v>
      </c>
      <c r="E38" s="16" t="e">
        <f>VLOOKUP(D38,#REF!,2,)</f>
        <v>#REF!</v>
      </c>
      <c r="F38" s="11" t="s">
        <v>22</v>
      </c>
      <c r="G38" s="16" t="s">
        <v>23</v>
      </c>
      <c r="H38" s="12"/>
      <c r="I38" s="16"/>
      <c r="J38" s="16" t="e">
        <f>VLOOKUP(D38,#REF!,7,)</f>
        <v>#REF!</v>
      </c>
      <c r="K38" s="16" t="s">
        <v>7</v>
      </c>
      <c r="L38" s="16" t="s">
        <v>7</v>
      </c>
      <c r="M38" s="16" t="e">
        <f>VLOOKUP(D38,#REF!,10,)</f>
        <v>#REF!</v>
      </c>
    </row>
    <row r="39" spans="1:13" ht="25.5">
      <c r="A39" s="16" t="s">
        <v>5</v>
      </c>
      <c r="B39" s="16" t="s">
        <v>16</v>
      </c>
      <c r="C39" s="16" t="s">
        <v>41</v>
      </c>
      <c r="D39" s="46" t="s">
        <v>406</v>
      </c>
      <c r="E39" s="16" t="e">
        <f>VLOOKUP(D39,#REF!,2,)</f>
        <v>#REF!</v>
      </c>
      <c r="F39" s="11" t="s">
        <v>22</v>
      </c>
      <c r="G39" s="16" t="s">
        <v>23</v>
      </c>
      <c r="H39" s="12"/>
      <c r="I39" s="16"/>
      <c r="J39" s="16" t="e">
        <f>VLOOKUP(D39,#REF!,7,)</f>
        <v>#REF!</v>
      </c>
      <c r="K39" s="16" t="s">
        <v>7</v>
      </c>
      <c r="L39" s="16" t="s">
        <v>7</v>
      </c>
      <c r="M39" s="16" t="e">
        <f>VLOOKUP(D39,#REF!,10,)</f>
        <v>#REF!</v>
      </c>
    </row>
    <row r="40" spans="1:13" ht="25.5">
      <c r="A40" s="16" t="s">
        <v>5</v>
      </c>
      <c r="B40" s="16" t="s">
        <v>16</v>
      </c>
      <c r="C40" s="16" t="s">
        <v>41</v>
      </c>
      <c r="D40" s="46" t="s">
        <v>410</v>
      </c>
      <c r="E40" s="16" t="e">
        <f>VLOOKUP(D40,#REF!,2,)</f>
        <v>#REF!</v>
      </c>
      <c r="F40" s="11" t="s">
        <v>22</v>
      </c>
      <c r="G40" s="16" t="s">
        <v>23</v>
      </c>
      <c r="H40" s="12"/>
      <c r="I40" s="16"/>
      <c r="J40" s="16" t="e">
        <f>VLOOKUP(D40,#REF!,7,)</f>
        <v>#REF!</v>
      </c>
      <c r="K40" s="16" t="s">
        <v>7</v>
      </c>
      <c r="L40" s="16" t="s">
        <v>7</v>
      </c>
      <c r="M40" s="16" t="e">
        <f>VLOOKUP(D40,#REF!,10,)</f>
        <v>#REF!</v>
      </c>
    </row>
    <row r="41" spans="1:13" ht="38.25">
      <c r="A41" s="16" t="s">
        <v>5</v>
      </c>
      <c r="B41" s="16" t="s">
        <v>16</v>
      </c>
      <c r="C41" s="16" t="s">
        <v>41</v>
      </c>
      <c r="D41" s="46" t="s">
        <v>411</v>
      </c>
      <c r="E41" s="16" t="e">
        <f>VLOOKUP(D41,#REF!,2,)</f>
        <v>#REF!</v>
      </c>
      <c r="F41" s="11" t="s">
        <v>22</v>
      </c>
      <c r="G41" s="16" t="s">
        <v>23</v>
      </c>
      <c r="H41" s="12"/>
      <c r="I41" s="16"/>
      <c r="J41" s="16" t="e">
        <f>VLOOKUP(D41,#REF!,7,)</f>
        <v>#REF!</v>
      </c>
      <c r="K41" s="16" t="s">
        <v>7</v>
      </c>
      <c r="L41" s="16" t="s">
        <v>7</v>
      </c>
      <c r="M41" s="16" t="e">
        <f>VLOOKUP(D41,#REF!,10,)</f>
        <v>#REF!</v>
      </c>
    </row>
    <row r="42" spans="1:13" ht="25.5">
      <c r="A42" s="16" t="s">
        <v>5</v>
      </c>
      <c r="B42" s="16" t="s">
        <v>16</v>
      </c>
      <c r="C42" s="16" t="s">
        <v>41</v>
      </c>
      <c r="D42" s="46" t="s">
        <v>416</v>
      </c>
      <c r="E42" s="16" t="e">
        <f>VLOOKUP(D42,#REF!,2,)</f>
        <v>#REF!</v>
      </c>
      <c r="F42" s="11" t="s">
        <v>22</v>
      </c>
      <c r="G42" s="16" t="s">
        <v>23</v>
      </c>
      <c r="H42" s="12"/>
      <c r="I42" s="16"/>
      <c r="J42" s="16" t="e">
        <f>VLOOKUP(D42,#REF!,7,)</f>
        <v>#REF!</v>
      </c>
      <c r="K42" s="16" t="s">
        <v>7</v>
      </c>
      <c r="L42" s="16" t="s">
        <v>7</v>
      </c>
      <c r="M42" s="16" t="e">
        <f>VLOOKUP(D42,#REF!,10,)</f>
        <v>#REF!</v>
      </c>
    </row>
    <row r="43" spans="1:13" ht="25.5">
      <c r="A43" s="16" t="s">
        <v>5</v>
      </c>
      <c r="B43" s="16" t="s">
        <v>16</v>
      </c>
      <c r="C43" s="16" t="s">
        <v>41</v>
      </c>
      <c r="D43" s="46" t="s">
        <v>420</v>
      </c>
      <c r="E43" s="16" t="e">
        <f>VLOOKUP(D43,#REF!,2,)</f>
        <v>#REF!</v>
      </c>
      <c r="F43" s="11" t="s">
        <v>22</v>
      </c>
      <c r="G43" s="16" t="s">
        <v>23</v>
      </c>
      <c r="H43" s="12"/>
      <c r="I43" s="16"/>
      <c r="J43" s="16" t="e">
        <f>VLOOKUP(D43,#REF!,7,)</f>
        <v>#REF!</v>
      </c>
      <c r="K43" s="16" t="s">
        <v>7</v>
      </c>
      <c r="L43" s="16" t="s">
        <v>7</v>
      </c>
      <c r="M43" s="16" t="e">
        <f>VLOOKUP(D43,#REF!,10,)</f>
        <v>#REF!</v>
      </c>
    </row>
    <row r="44" spans="1:13" ht="25.5">
      <c r="A44" s="16" t="s">
        <v>5</v>
      </c>
      <c r="B44" s="16" t="s">
        <v>16</v>
      </c>
      <c r="C44" s="16" t="s">
        <v>41</v>
      </c>
      <c r="D44" s="46" t="s">
        <v>425</v>
      </c>
      <c r="E44" s="16" t="e">
        <f>VLOOKUP(D44,#REF!,2,)</f>
        <v>#REF!</v>
      </c>
      <c r="F44" s="11" t="s">
        <v>22</v>
      </c>
      <c r="G44" s="16" t="s">
        <v>23</v>
      </c>
      <c r="H44" s="12"/>
      <c r="I44" s="16"/>
      <c r="J44" s="16" t="e">
        <f>VLOOKUP(D44,#REF!,7,)</f>
        <v>#REF!</v>
      </c>
      <c r="K44" s="16" t="s">
        <v>7</v>
      </c>
      <c r="L44" s="16" t="s">
        <v>7</v>
      </c>
      <c r="M44" s="16" t="e">
        <f>VLOOKUP(D44,#REF!,10,)</f>
        <v>#REF!</v>
      </c>
    </row>
    <row r="45" spans="1:13" ht="25.5">
      <c r="A45" s="16" t="s">
        <v>5</v>
      </c>
      <c r="B45" s="16" t="s">
        <v>16</v>
      </c>
      <c r="C45" s="16" t="s">
        <v>41</v>
      </c>
      <c r="D45" s="46" t="s">
        <v>427</v>
      </c>
      <c r="E45" s="16" t="e">
        <f>VLOOKUP(D45,#REF!,2,)</f>
        <v>#REF!</v>
      </c>
      <c r="F45" s="11" t="s">
        <v>22</v>
      </c>
      <c r="G45" s="16" t="s">
        <v>23</v>
      </c>
      <c r="H45" s="12"/>
      <c r="I45" s="16"/>
      <c r="J45" s="16" t="e">
        <f>VLOOKUP(D45,#REF!,7,)</f>
        <v>#REF!</v>
      </c>
      <c r="K45" s="16" t="s">
        <v>7</v>
      </c>
      <c r="L45" s="16" t="s">
        <v>7</v>
      </c>
      <c r="M45" s="16" t="e">
        <f>VLOOKUP(D45,#REF!,10,)</f>
        <v>#REF!</v>
      </c>
    </row>
    <row r="46" spans="1:13" ht="38.25">
      <c r="A46" s="16" t="s">
        <v>5</v>
      </c>
      <c r="B46" s="16" t="s">
        <v>16</v>
      </c>
      <c r="C46" s="16" t="s">
        <v>41</v>
      </c>
      <c r="D46" s="46" t="s">
        <v>430</v>
      </c>
      <c r="E46" s="16" t="e">
        <f>VLOOKUP(D46,#REF!,2,)</f>
        <v>#REF!</v>
      </c>
      <c r="F46" s="11" t="s">
        <v>22</v>
      </c>
      <c r="G46" s="16" t="s">
        <v>23</v>
      </c>
      <c r="H46" s="12"/>
      <c r="I46" s="16"/>
      <c r="J46" s="16" t="e">
        <f>VLOOKUP(D46,#REF!,7,)</f>
        <v>#REF!</v>
      </c>
      <c r="K46" s="16" t="s">
        <v>7</v>
      </c>
      <c r="L46" s="16" t="s">
        <v>7</v>
      </c>
      <c r="M46" s="16" t="e">
        <f>VLOOKUP(D46,#REF!,10,)</f>
        <v>#REF!</v>
      </c>
    </row>
    <row r="47" spans="1:13" ht="25.5">
      <c r="A47" s="16" t="s">
        <v>5</v>
      </c>
      <c r="B47" s="16" t="s">
        <v>16</v>
      </c>
      <c r="C47" s="16" t="s">
        <v>41</v>
      </c>
      <c r="D47" s="46" t="s">
        <v>433</v>
      </c>
      <c r="E47" s="16" t="e">
        <f>VLOOKUP(D47,#REF!,2,)</f>
        <v>#REF!</v>
      </c>
      <c r="F47" s="11" t="s">
        <v>22</v>
      </c>
      <c r="G47" s="16" t="s">
        <v>23</v>
      </c>
      <c r="H47" s="12"/>
      <c r="I47" s="16"/>
      <c r="J47" s="16" t="e">
        <f>VLOOKUP(D47,#REF!,7,)</f>
        <v>#REF!</v>
      </c>
      <c r="K47" s="16" t="s">
        <v>7</v>
      </c>
      <c r="L47" s="16" t="s">
        <v>7</v>
      </c>
      <c r="M47" s="16" t="e">
        <f>VLOOKUP(D47,#REF!,10,)</f>
        <v>#REF!</v>
      </c>
    </row>
    <row r="48" spans="1:13" ht="25.5">
      <c r="A48" s="16" t="s">
        <v>5</v>
      </c>
      <c r="B48" s="16" t="s">
        <v>16</v>
      </c>
      <c r="C48" s="16" t="s">
        <v>41</v>
      </c>
      <c r="D48" s="46" t="s">
        <v>435</v>
      </c>
      <c r="E48" s="16" t="e">
        <f>VLOOKUP(D48,#REF!,2,)</f>
        <v>#REF!</v>
      </c>
      <c r="F48" s="11" t="s">
        <v>22</v>
      </c>
      <c r="G48" s="16" t="s">
        <v>23</v>
      </c>
      <c r="H48" s="12"/>
      <c r="I48" s="16"/>
      <c r="J48" s="16" t="e">
        <f>VLOOKUP(D48,#REF!,7,)</f>
        <v>#REF!</v>
      </c>
      <c r="K48" s="16" t="s">
        <v>7</v>
      </c>
      <c r="L48" s="16" t="s">
        <v>7</v>
      </c>
      <c r="M48" s="16" t="e">
        <f>VLOOKUP(D48,#REF!,10,)</f>
        <v>#REF!</v>
      </c>
    </row>
    <row r="49" spans="1:13" ht="25.5">
      <c r="A49" s="16" t="s">
        <v>5</v>
      </c>
      <c r="B49" s="16" t="s">
        <v>16</v>
      </c>
      <c r="C49" s="16" t="s">
        <v>41</v>
      </c>
      <c r="D49" s="46" t="s">
        <v>440</v>
      </c>
      <c r="E49" s="16" t="e">
        <f>VLOOKUP(D49,#REF!,2,)</f>
        <v>#REF!</v>
      </c>
      <c r="F49" s="11" t="s">
        <v>22</v>
      </c>
      <c r="G49" s="16" t="s">
        <v>23</v>
      </c>
      <c r="H49" s="12"/>
      <c r="I49" s="16"/>
      <c r="J49" s="16" t="e">
        <f>VLOOKUP(D49,#REF!,7,)</f>
        <v>#REF!</v>
      </c>
      <c r="K49" s="16" t="s">
        <v>7</v>
      </c>
      <c r="L49" s="16" t="s">
        <v>7</v>
      </c>
      <c r="M49" s="16" t="e">
        <f>VLOOKUP(D49,#REF!,10,)</f>
        <v>#REF!</v>
      </c>
    </row>
    <row r="50" spans="1:13" ht="25.5">
      <c r="A50" s="16" t="s">
        <v>5</v>
      </c>
      <c r="B50" s="16" t="s">
        <v>16</v>
      </c>
      <c r="C50" s="16" t="s">
        <v>41</v>
      </c>
      <c r="D50" s="46" t="s">
        <v>442</v>
      </c>
      <c r="E50" s="16" t="e">
        <f>VLOOKUP(D50,#REF!,2,)</f>
        <v>#REF!</v>
      </c>
      <c r="F50" s="11" t="s">
        <v>22</v>
      </c>
      <c r="G50" s="16" t="s">
        <v>23</v>
      </c>
      <c r="H50" s="12"/>
      <c r="I50" s="16"/>
      <c r="J50" s="16" t="e">
        <f>VLOOKUP(D50,#REF!,7,)</f>
        <v>#REF!</v>
      </c>
      <c r="K50" s="16" t="s">
        <v>7</v>
      </c>
      <c r="L50" s="16" t="s">
        <v>7</v>
      </c>
      <c r="M50" s="16" t="e">
        <f>VLOOKUP(D50,#REF!,10,)</f>
        <v>#REF!</v>
      </c>
    </row>
    <row r="51" spans="1:13" ht="25.5">
      <c r="A51" s="16" t="s">
        <v>5</v>
      </c>
      <c r="B51" s="16" t="s">
        <v>16</v>
      </c>
      <c r="C51" s="16" t="s">
        <v>41</v>
      </c>
      <c r="D51" s="46" t="s">
        <v>443</v>
      </c>
      <c r="E51" s="16" t="e">
        <f>VLOOKUP(D51,#REF!,2,)</f>
        <v>#REF!</v>
      </c>
      <c r="F51" s="11" t="s">
        <v>22</v>
      </c>
      <c r="G51" s="16" t="s">
        <v>23</v>
      </c>
      <c r="H51" s="12"/>
      <c r="I51" s="16"/>
      <c r="J51" s="16" t="e">
        <f>VLOOKUP(D51,#REF!,7,)</f>
        <v>#REF!</v>
      </c>
      <c r="K51" s="16" t="s">
        <v>7</v>
      </c>
      <c r="L51" s="16" t="s">
        <v>7</v>
      </c>
      <c r="M51" s="16" t="e">
        <f>VLOOKUP(D51,#REF!,10,)</f>
        <v>#REF!</v>
      </c>
    </row>
    <row r="52" spans="1:13" ht="25.5">
      <c r="A52" s="16" t="s">
        <v>5</v>
      </c>
      <c r="B52" s="16" t="s">
        <v>16</v>
      </c>
      <c r="C52" s="16" t="s">
        <v>26</v>
      </c>
      <c r="D52" s="46" t="s">
        <v>444</v>
      </c>
      <c r="E52" s="16" t="e">
        <f>VLOOKUP(D52,#REF!,2,)</f>
        <v>#REF!</v>
      </c>
      <c r="F52" s="11" t="s">
        <v>22</v>
      </c>
      <c r="G52" s="16" t="s">
        <v>23</v>
      </c>
      <c r="H52" s="12"/>
      <c r="I52" s="16" t="s">
        <v>7</v>
      </c>
      <c r="J52" s="16" t="e">
        <f>VLOOKUP(D52,#REF!,7,)</f>
        <v>#REF!</v>
      </c>
      <c r="K52" s="16" t="s">
        <v>7</v>
      </c>
      <c r="L52" s="16" t="s">
        <v>7</v>
      </c>
      <c r="M52" s="16" t="e">
        <f>VLOOKUP(D52,#REF!,10,)</f>
        <v>#REF!</v>
      </c>
    </row>
    <row r="53" spans="1:13" ht="25.5">
      <c r="A53" s="16" t="s">
        <v>5</v>
      </c>
      <c r="B53" s="16" t="s">
        <v>16</v>
      </c>
      <c r="C53" s="16" t="s">
        <v>26</v>
      </c>
      <c r="D53" s="46" t="s">
        <v>445</v>
      </c>
      <c r="E53" s="16" t="e">
        <f>VLOOKUP(D53,#REF!,2,)</f>
        <v>#REF!</v>
      </c>
      <c r="F53" s="11" t="s">
        <v>22</v>
      </c>
      <c r="G53" s="16" t="s">
        <v>23</v>
      </c>
      <c r="H53" s="12"/>
      <c r="I53" s="16" t="s">
        <v>7</v>
      </c>
      <c r="J53" s="16" t="e">
        <f>VLOOKUP(D53,#REF!,7,)</f>
        <v>#REF!</v>
      </c>
      <c r="K53" s="16" t="s">
        <v>7</v>
      </c>
      <c r="L53" s="16" t="s">
        <v>7</v>
      </c>
      <c r="M53" s="16" t="e">
        <f>VLOOKUP(D53,#REF!,10,)</f>
        <v>#REF!</v>
      </c>
    </row>
    <row r="54" spans="1:13" ht="25.5">
      <c r="A54" s="16" t="s">
        <v>5</v>
      </c>
      <c r="B54" s="16" t="s">
        <v>16</v>
      </c>
      <c r="C54" s="16" t="s">
        <v>26</v>
      </c>
      <c r="D54" s="46" t="s">
        <v>448</v>
      </c>
      <c r="E54" s="16" t="e">
        <f>VLOOKUP(D54,#REF!,2,)</f>
        <v>#REF!</v>
      </c>
      <c r="F54" s="11" t="s">
        <v>22</v>
      </c>
      <c r="G54" s="16" t="s">
        <v>23</v>
      </c>
      <c r="H54" s="12"/>
      <c r="I54" s="16" t="s">
        <v>7</v>
      </c>
      <c r="J54" s="16" t="e">
        <f>VLOOKUP(D54,#REF!,7,)</f>
        <v>#REF!</v>
      </c>
      <c r="K54" s="16" t="s">
        <v>7</v>
      </c>
      <c r="L54" s="16" t="s">
        <v>7</v>
      </c>
      <c r="M54" s="16" t="e">
        <f>VLOOKUP(D54,#REF!,10,)</f>
        <v>#REF!</v>
      </c>
    </row>
    <row r="55" spans="1:13" ht="25.5">
      <c r="A55" s="16" t="s">
        <v>542</v>
      </c>
      <c r="B55" s="16" t="s">
        <v>16</v>
      </c>
      <c r="C55" s="16" t="s">
        <v>64</v>
      </c>
      <c r="D55" s="46" t="s">
        <v>752</v>
      </c>
      <c r="E55" s="16" t="e">
        <f>VLOOKUP(D55,#REF!,2,)</f>
        <v>#REF!</v>
      </c>
      <c r="F55" s="11" t="s">
        <v>22</v>
      </c>
      <c r="G55" s="16" t="s">
        <v>23</v>
      </c>
      <c r="H55" s="12"/>
      <c r="I55" s="16" t="s">
        <v>7</v>
      </c>
      <c r="J55" s="16" t="e">
        <f>VLOOKUP(D55,#REF!,7,)</f>
        <v>#REF!</v>
      </c>
      <c r="K55" s="16" t="s">
        <v>7</v>
      </c>
      <c r="L55" s="16" t="s">
        <v>7</v>
      </c>
      <c r="M55" s="16" t="e">
        <f>VLOOKUP(D55,#REF!,10,)</f>
        <v>#REF!</v>
      </c>
    </row>
    <row r="56" spans="1:13" ht="25.5">
      <c r="A56" s="16" t="s">
        <v>5</v>
      </c>
      <c r="B56" s="16" t="s">
        <v>16</v>
      </c>
      <c r="C56" s="16" t="s">
        <v>33</v>
      </c>
      <c r="D56" s="46" t="s">
        <v>756</v>
      </c>
      <c r="E56" s="16" t="e">
        <f>VLOOKUP(D56,#REF!,2,)</f>
        <v>#REF!</v>
      </c>
      <c r="F56" s="11" t="s">
        <v>22</v>
      </c>
      <c r="G56" s="16"/>
      <c r="H56" s="12"/>
      <c r="I56" s="16" t="s">
        <v>7</v>
      </c>
      <c r="J56" s="16" t="e">
        <f>VLOOKUP(D56,#REF!,7,)</f>
        <v>#REF!</v>
      </c>
      <c r="K56" s="16" t="s">
        <v>7</v>
      </c>
      <c r="L56" s="16" t="s">
        <v>7</v>
      </c>
      <c r="M56" s="16" t="e">
        <f>VLOOKUP(D56,#REF!,10,)</f>
        <v>#REF!</v>
      </c>
    </row>
    <row r="57" spans="1:13" ht="25.5">
      <c r="A57" s="1" t="s">
        <v>5</v>
      </c>
      <c r="B57" s="16" t="s">
        <v>16</v>
      </c>
      <c r="C57" s="16" t="s">
        <v>33</v>
      </c>
      <c r="D57" s="60" t="s">
        <v>680</v>
      </c>
      <c r="E57" s="16" t="e">
        <f>VLOOKUP(D57,#REF!,2,)</f>
        <v>#REF!</v>
      </c>
      <c r="F57" s="11" t="s">
        <v>22</v>
      </c>
      <c r="G57" s="16" t="s">
        <v>709</v>
      </c>
      <c r="H57" s="12"/>
      <c r="I57" s="16" t="s">
        <v>7</v>
      </c>
      <c r="J57" s="16" t="e">
        <f>VLOOKUP(D57,#REF!,7,)</f>
        <v>#REF!</v>
      </c>
      <c r="K57" s="16" t="s">
        <v>7</v>
      </c>
      <c r="L57" s="16" t="s">
        <v>7</v>
      </c>
      <c r="M57" s="16" t="e">
        <f>VLOOKUP(D57,#REF!,10,)</f>
        <v>#REF!</v>
      </c>
    </row>
    <row r="58" spans="1:13" ht="25.5">
      <c r="A58" s="1" t="s">
        <v>5</v>
      </c>
      <c r="B58" s="16" t="s">
        <v>16</v>
      </c>
      <c r="C58" s="16" t="s">
        <v>33</v>
      </c>
      <c r="D58" s="46" t="s">
        <v>682</v>
      </c>
      <c r="E58" s="16" t="e">
        <f>VLOOKUP(D58,#REF!,2,)</f>
        <v>#REF!</v>
      </c>
      <c r="F58" s="11" t="s">
        <v>22</v>
      </c>
      <c r="G58" s="16" t="s">
        <v>764</v>
      </c>
      <c r="H58" s="12"/>
      <c r="I58" s="16" t="s">
        <v>7</v>
      </c>
      <c r="J58" s="16" t="e">
        <f>VLOOKUP(D58,#REF!,7,)</f>
        <v>#REF!</v>
      </c>
      <c r="K58" s="16" t="s">
        <v>7</v>
      </c>
      <c r="L58" s="16" t="s">
        <v>7</v>
      </c>
      <c r="M58" s="16" t="e">
        <f>VLOOKUP(D58,#REF!,10,)</f>
        <v>#REF!</v>
      </c>
    </row>
    <row r="59" spans="1:13" ht="25.5">
      <c r="A59" s="1" t="s">
        <v>5</v>
      </c>
      <c r="B59" s="16" t="s">
        <v>16</v>
      </c>
      <c r="C59" s="16" t="s">
        <v>17</v>
      </c>
      <c r="D59" s="46" t="s">
        <v>688</v>
      </c>
      <c r="E59" s="16" t="e">
        <f>VLOOKUP(D59,#REF!,2,)</f>
        <v>#REF!</v>
      </c>
      <c r="F59" s="11" t="s">
        <v>22</v>
      </c>
      <c r="G59" s="16" t="s">
        <v>709</v>
      </c>
      <c r="H59" s="12"/>
      <c r="I59" s="16" t="s">
        <v>7</v>
      </c>
      <c r="J59" s="16" t="e">
        <f>VLOOKUP(D59,#REF!,7,)</f>
        <v>#REF!</v>
      </c>
      <c r="K59" s="16" t="s">
        <v>7</v>
      </c>
      <c r="L59" s="16" t="s">
        <v>7</v>
      </c>
      <c r="M59" s="16" t="e">
        <f>VLOOKUP(D59,#REF!,10,)</f>
        <v>#REF!</v>
      </c>
    </row>
    <row r="60" spans="1:13" ht="38.25">
      <c r="A60" s="16" t="s">
        <v>5</v>
      </c>
      <c r="B60" s="16" t="s">
        <v>180</v>
      </c>
      <c r="C60" s="16" t="s">
        <v>196</v>
      </c>
      <c r="D60" s="46" t="s">
        <v>197</v>
      </c>
      <c r="E60" s="16" t="e">
        <f>VLOOKUP(D60,#REF!,2,)</f>
        <v>#REF!</v>
      </c>
      <c r="F60" s="11" t="s">
        <v>22</v>
      </c>
      <c r="G60" s="16" t="s">
        <v>114</v>
      </c>
      <c r="H60" s="12"/>
      <c r="I60" s="16" t="s">
        <v>7</v>
      </c>
      <c r="J60" s="16" t="e">
        <f>VLOOKUP(D60,#REF!,7,)</f>
        <v>#REF!</v>
      </c>
      <c r="K60" s="16" t="s">
        <v>7</v>
      </c>
      <c r="L60" s="16" t="s">
        <v>7</v>
      </c>
      <c r="M60" s="16" t="e">
        <f>VLOOKUP(D60,#REF!,10,)</f>
        <v>#REF!</v>
      </c>
    </row>
    <row r="61" spans="1:13" ht="38.25">
      <c r="A61" s="16" t="s">
        <v>5</v>
      </c>
      <c r="B61" s="16" t="s">
        <v>180</v>
      </c>
      <c r="C61" s="16" t="s">
        <v>181</v>
      </c>
      <c r="D61" s="46" t="s">
        <v>205</v>
      </c>
      <c r="E61" s="16" t="e">
        <f>VLOOKUP(D61,#REF!,2,)</f>
        <v>#REF!</v>
      </c>
      <c r="F61" s="11" t="s">
        <v>22</v>
      </c>
      <c r="G61" s="16" t="s">
        <v>23</v>
      </c>
      <c r="H61" s="12"/>
      <c r="I61" s="16" t="s">
        <v>7</v>
      </c>
      <c r="J61" s="16" t="e">
        <f>VLOOKUP(D61,#REF!,7,)</f>
        <v>#REF!</v>
      </c>
      <c r="K61" s="16" t="s">
        <v>7</v>
      </c>
      <c r="L61" s="16" t="s">
        <v>7</v>
      </c>
      <c r="M61" s="16" t="e">
        <f>VLOOKUP(D61,#REF!,10,)</f>
        <v>#REF!</v>
      </c>
    </row>
    <row r="62" spans="1:13" ht="38.25">
      <c r="A62" s="16" t="s">
        <v>5</v>
      </c>
      <c r="B62" s="16" t="s">
        <v>180</v>
      </c>
      <c r="C62" s="16" t="s">
        <v>181</v>
      </c>
      <c r="D62" s="46" t="s">
        <v>257</v>
      </c>
      <c r="E62" s="16" t="e">
        <f>VLOOKUP(D62,#REF!,2,)</f>
        <v>#REF!</v>
      </c>
      <c r="F62" s="11" t="s">
        <v>22</v>
      </c>
      <c r="G62" s="16" t="s">
        <v>23</v>
      </c>
      <c r="H62" s="12"/>
      <c r="I62" s="16" t="s">
        <v>7</v>
      </c>
      <c r="J62" s="16" t="e">
        <f>VLOOKUP(D62,#REF!,7,)</f>
        <v>#REF!</v>
      </c>
      <c r="K62" s="16" t="s">
        <v>7</v>
      </c>
      <c r="L62" s="16" t="s">
        <v>7</v>
      </c>
      <c r="M62" s="16" t="e">
        <f>VLOOKUP(D62,#REF!,10,)</f>
        <v>#REF!</v>
      </c>
    </row>
    <row r="63" spans="1:13" ht="38.25">
      <c r="A63" s="16" t="s">
        <v>5</v>
      </c>
      <c r="B63" s="16" t="s">
        <v>180</v>
      </c>
      <c r="C63" s="16" t="s">
        <v>181</v>
      </c>
      <c r="D63" s="46" t="s">
        <v>264</v>
      </c>
      <c r="E63" s="16" t="e">
        <f>VLOOKUP(D63,#REF!,2,)</f>
        <v>#REF!</v>
      </c>
      <c r="F63" s="11" t="s">
        <v>22</v>
      </c>
      <c r="G63" s="16" t="s">
        <v>23</v>
      </c>
      <c r="H63" s="12"/>
      <c r="I63" s="16" t="s">
        <v>7</v>
      </c>
      <c r="J63" s="16" t="e">
        <f>VLOOKUP(D63,#REF!,7,)</f>
        <v>#REF!</v>
      </c>
      <c r="K63" s="16" t="s">
        <v>7</v>
      </c>
      <c r="L63" s="16" t="s">
        <v>7</v>
      </c>
      <c r="M63" s="16" t="e">
        <f>VLOOKUP(D63,#REF!,10,)</f>
        <v>#REF!</v>
      </c>
    </row>
    <row r="64" spans="1:13" ht="38.25">
      <c r="A64" s="16" t="s">
        <v>5</v>
      </c>
      <c r="B64" s="16" t="s">
        <v>180</v>
      </c>
      <c r="C64" s="16" t="s">
        <v>181</v>
      </c>
      <c r="D64" s="46" t="s">
        <v>713</v>
      </c>
      <c r="E64" s="16" t="e">
        <f>VLOOKUP(D64,#REF!,2,)</f>
        <v>#REF!</v>
      </c>
      <c r="F64" s="11" t="s">
        <v>22</v>
      </c>
      <c r="G64" s="16" t="s">
        <v>81</v>
      </c>
      <c r="H64" s="12"/>
      <c r="I64" s="16" t="s">
        <v>7</v>
      </c>
      <c r="J64" s="16" t="e">
        <f>VLOOKUP(D64,#REF!,7,)</f>
        <v>#REF!</v>
      </c>
      <c r="K64" s="16" t="s">
        <v>7</v>
      </c>
      <c r="L64" s="16" t="s">
        <v>7</v>
      </c>
      <c r="M64" s="16" t="e">
        <f>VLOOKUP(D64,#REF!,10,)</f>
        <v>#REF!</v>
      </c>
    </row>
    <row r="65" spans="1:13" ht="38.25">
      <c r="A65" s="16" t="s">
        <v>5</v>
      </c>
      <c r="B65" s="16" t="s">
        <v>180</v>
      </c>
      <c r="C65" s="16" t="s">
        <v>181</v>
      </c>
      <c r="D65" s="46" t="s">
        <v>287</v>
      </c>
      <c r="E65" s="16" t="e">
        <f>VLOOKUP(D65,#REF!,2,)</f>
        <v>#REF!</v>
      </c>
      <c r="F65" s="11" t="s">
        <v>22</v>
      </c>
      <c r="G65" s="16" t="s">
        <v>81</v>
      </c>
      <c r="H65" s="12"/>
      <c r="I65" s="16" t="s">
        <v>7</v>
      </c>
      <c r="J65" s="16" t="e">
        <f>VLOOKUP(D65,#REF!,7,)</f>
        <v>#REF!</v>
      </c>
      <c r="K65" s="16" t="s">
        <v>7</v>
      </c>
      <c r="L65" s="16" t="s">
        <v>7</v>
      </c>
      <c r="M65" s="16" t="e">
        <f>VLOOKUP(D65,#REF!,10,)</f>
        <v>#REF!</v>
      </c>
    </row>
    <row r="66" spans="1:13" ht="38.25">
      <c r="A66" s="16" t="s">
        <v>5</v>
      </c>
      <c r="B66" s="16" t="s">
        <v>180</v>
      </c>
      <c r="C66" s="16" t="s">
        <v>181</v>
      </c>
      <c r="D66" s="46" t="s">
        <v>288</v>
      </c>
      <c r="E66" s="16" t="e">
        <f>VLOOKUP(D66,#REF!,2,)</f>
        <v>#REF!</v>
      </c>
      <c r="F66" s="11" t="s">
        <v>22</v>
      </c>
      <c r="G66" s="16" t="s">
        <v>81</v>
      </c>
      <c r="H66" s="12"/>
      <c r="I66" s="16" t="s">
        <v>7</v>
      </c>
      <c r="J66" s="16" t="e">
        <f>VLOOKUP(D66,#REF!,7,)</f>
        <v>#REF!</v>
      </c>
      <c r="K66" s="16" t="s">
        <v>7</v>
      </c>
      <c r="L66" s="16" t="s">
        <v>7</v>
      </c>
      <c r="M66" s="16" t="e">
        <f>VLOOKUP(D66,#REF!,10,)</f>
        <v>#REF!</v>
      </c>
    </row>
    <row r="67" spans="1:13" ht="38.25">
      <c r="A67" s="16" t="s">
        <v>5</v>
      </c>
      <c r="B67" s="16" t="s">
        <v>180</v>
      </c>
      <c r="C67" s="16" t="s">
        <v>181</v>
      </c>
      <c r="D67" s="46" t="s">
        <v>303</v>
      </c>
      <c r="E67" s="16" t="e">
        <f>VLOOKUP(D67,#REF!,2,)</f>
        <v>#REF!</v>
      </c>
      <c r="F67" s="11" t="s">
        <v>22</v>
      </c>
      <c r="G67" s="16" t="s">
        <v>81</v>
      </c>
      <c r="H67" s="12"/>
      <c r="I67" s="16" t="s">
        <v>7</v>
      </c>
      <c r="J67" s="16" t="e">
        <f>VLOOKUP(D67,#REF!,7,)</f>
        <v>#REF!</v>
      </c>
      <c r="K67" s="16" t="s">
        <v>7</v>
      </c>
      <c r="L67" s="16" t="s">
        <v>7</v>
      </c>
      <c r="M67" s="16" t="e">
        <f>VLOOKUP(D67,#REF!,10,)</f>
        <v>#REF!</v>
      </c>
    </row>
    <row r="68" spans="1:13" ht="38.25">
      <c r="A68" s="16" t="s">
        <v>5</v>
      </c>
      <c r="B68" s="16" t="s">
        <v>180</v>
      </c>
      <c r="C68" s="16" t="s">
        <v>181</v>
      </c>
      <c r="D68" s="46" t="s">
        <v>304</v>
      </c>
      <c r="E68" s="16" t="e">
        <f>VLOOKUP(D68,#REF!,2,)</f>
        <v>#REF!</v>
      </c>
      <c r="F68" s="11" t="s">
        <v>22</v>
      </c>
      <c r="G68" s="16" t="s">
        <v>23</v>
      </c>
      <c r="H68" s="12"/>
      <c r="I68" s="16" t="s">
        <v>7</v>
      </c>
      <c r="J68" s="16" t="e">
        <f>VLOOKUP(D68,#REF!,7,)</f>
        <v>#REF!</v>
      </c>
      <c r="K68" s="16" t="s">
        <v>7</v>
      </c>
      <c r="L68" s="16" t="s">
        <v>7</v>
      </c>
      <c r="M68" s="16" t="e">
        <f>VLOOKUP(D68,#REF!,10,)</f>
        <v>#REF!</v>
      </c>
    </row>
    <row r="69" spans="1:13" ht="38.25">
      <c r="A69" s="16" t="s">
        <v>5</v>
      </c>
      <c r="B69" s="16" t="s">
        <v>180</v>
      </c>
      <c r="C69" s="16" t="s">
        <v>181</v>
      </c>
      <c r="D69" s="46" t="s">
        <v>714</v>
      </c>
      <c r="E69" s="16" t="e">
        <f>VLOOKUP(D69,#REF!,2,)</f>
        <v>#REF!</v>
      </c>
      <c r="F69" s="11" t="s">
        <v>22</v>
      </c>
      <c r="G69" s="16" t="s">
        <v>23</v>
      </c>
      <c r="H69" s="12"/>
      <c r="I69" s="16"/>
      <c r="J69" s="16" t="e">
        <f>VLOOKUP(D69,#REF!,7,)</f>
        <v>#REF!</v>
      </c>
      <c r="K69" s="16" t="s">
        <v>7</v>
      </c>
      <c r="L69" s="16" t="s">
        <v>7</v>
      </c>
      <c r="M69" s="16" t="e">
        <f>VLOOKUP(D69,#REF!,10,)</f>
        <v>#REF!</v>
      </c>
    </row>
    <row r="70" spans="1:13" ht="38.25">
      <c r="A70" s="16" t="s">
        <v>5</v>
      </c>
      <c r="B70" s="16" t="s">
        <v>180</v>
      </c>
      <c r="C70" s="16" t="s">
        <v>181</v>
      </c>
      <c r="D70" s="46" t="s">
        <v>307</v>
      </c>
      <c r="E70" s="16" t="e">
        <f>VLOOKUP(D70,#REF!,2,)</f>
        <v>#REF!</v>
      </c>
      <c r="F70" s="11" t="s">
        <v>22</v>
      </c>
      <c r="G70" s="16" t="s">
        <v>23</v>
      </c>
      <c r="H70" s="12"/>
      <c r="I70" s="16" t="s">
        <v>7</v>
      </c>
      <c r="J70" s="16" t="e">
        <f>VLOOKUP(D70,#REF!,7,)</f>
        <v>#REF!</v>
      </c>
      <c r="K70" s="16" t="s">
        <v>7</v>
      </c>
      <c r="L70" s="16" t="s">
        <v>7</v>
      </c>
      <c r="M70" s="16" t="e">
        <f>VLOOKUP(D70,#REF!,10,)</f>
        <v>#REF!</v>
      </c>
    </row>
    <row r="71" spans="1:13" ht="38.25">
      <c r="A71" s="16" t="s">
        <v>5</v>
      </c>
      <c r="B71" s="16" t="s">
        <v>180</v>
      </c>
      <c r="C71" s="16" t="s">
        <v>181</v>
      </c>
      <c r="D71" s="46" t="s">
        <v>309</v>
      </c>
      <c r="E71" s="16" t="e">
        <f>VLOOKUP(D71,#REF!,2,)</f>
        <v>#REF!</v>
      </c>
      <c r="F71" s="11" t="s">
        <v>22</v>
      </c>
      <c r="G71" s="16" t="s">
        <v>23</v>
      </c>
      <c r="H71" s="12"/>
      <c r="I71" s="16" t="s">
        <v>7</v>
      </c>
      <c r="J71" s="16" t="e">
        <f>VLOOKUP(D71,#REF!,7,)</f>
        <v>#REF!</v>
      </c>
      <c r="K71" s="16" t="s">
        <v>7</v>
      </c>
      <c r="L71" s="16" t="s">
        <v>7</v>
      </c>
      <c r="M71" s="16" t="e">
        <f>VLOOKUP(D71,#REF!,10,)</f>
        <v>#REF!</v>
      </c>
    </row>
    <row r="72" spans="1:13" ht="38.25">
      <c r="A72" s="16" t="s">
        <v>5</v>
      </c>
      <c r="B72" s="16" t="s">
        <v>180</v>
      </c>
      <c r="C72" s="16" t="s">
        <v>181</v>
      </c>
      <c r="D72" s="46" t="s">
        <v>313</v>
      </c>
      <c r="E72" s="16" t="e">
        <f>VLOOKUP(D72,#REF!,2,)</f>
        <v>#REF!</v>
      </c>
      <c r="F72" s="11" t="s">
        <v>22</v>
      </c>
      <c r="G72" s="16" t="s">
        <v>23</v>
      </c>
      <c r="H72" s="12"/>
      <c r="I72" s="16" t="s">
        <v>7</v>
      </c>
      <c r="J72" s="16" t="e">
        <f>VLOOKUP(D72,#REF!,7,)</f>
        <v>#REF!</v>
      </c>
      <c r="K72" s="16" t="s">
        <v>7</v>
      </c>
      <c r="L72" s="16" t="s">
        <v>7</v>
      </c>
      <c r="M72" s="16" t="e">
        <f>VLOOKUP(D72,#REF!,10,)</f>
        <v>#REF!</v>
      </c>
    </row>
    <row r="73" spans="1:13" ht="38.25">
      <c r="A73" s="16" t="s">
        <v>5</v>
      </c>
      <c r="B73" s="16" t="s">
        <v>180</v>
      </c>
      <c r="C73" s="16" t="s">
        <v>181</v>
      </c>
      <c r="D73" s="46" t="s">
        <v>322</v>
      </c>
      <c r="E73" s="16" t="e">
        <f>VLOOKUP(D73,#REF!,2,)</f>
        <v>#REF!</v>
      </c>
      <c r="F73" s="11" t="s">
        <v>22</v>
      </c>
      <c r="G73" s="16" t="s">
        <v>23</v>
      </c>
      <c r="H73" s="12"/>
      <c r="I73" s="16" t="s">
        <v>7</v>
      </c>
      <c r="J73" s="16" t="e">
        <f>VLOOKUP(D73,#REF!,7,)</f>
        <v>#REF!</v>
      </c>
      <c r="K73" s="16" t="s">
        <v>7</v>
      </c>
      <c r="L73" s="16" t="s">
        <v>7</v>
      </c>
      <c r="M73" s="16" t="e">
        <f>VLOOKUP(D73,#REF!,10,)</f>
        <v>#REF!</v>
      </c>
    </row>
    <row r="74" spans="1:13" ht="38.25">
      <c r="A74" s="16" t="s">
        <v>5</v>
      </c>
      <c r="B74" s="16" t="s">
        <v>180</v>
      </c>
      <c r="C74" s="16" t="s">
        <v>181</v>
      </c>
      <c r="D74" s="46" t="s">
        <v>715</v>
      </c>
      <c r="E74" s="16" t="e">
        <f>VLOOKUP(D74,#REF!,2,)</f>
        <v>#REF!</v>
      </c>
      <c r="F74" s="11" t="s">
        <v>22</v>
      </c>
      <c r="G74" s="16" t="s">
        <v>23</v>
      </c>
      <c r="H74" s="12"/>
      <c r="I74" s="16" t="s">
        <v>7</v>
      </c>
      <c r="J74" s="16" t="e">
        <f>VLOOKUP(D74,#REF!,7,)</f>
        <v>#REF!</v>
      </c>
      <c r="K74" s="16" t="s">
        <v>7</v>
      </c>
      <c r="L74" s="16" t="s">
        <v>7</v>
      </c>
      <c r="M74" s="16" t="e">
        <f>VLOOKUP(D74,#REF!,10,)</f>
        <v>#REF!</v>
      </c>
    </row>
    <row r="75" spans="1:13" ht="38.25">
      <c r="A75" s="16" t="s">
        <v>5</v>
      </c>
      <c r="B75" s="16" t="s">
        <v>180</v>
      </c>
      <c r="C75" s="16" t="s">
        <v>181</v>
      </c>
      <c r="D75" s="46" t="s">
        <v>326</v>
      </c>
      <c r="E75" s="16" t="e">
        <f>VLOOKUP(D75,#REF!,2,)</f>
        <v>#REF!</v>
      </c>
      <c r="F75" s="11" t="s">
        <v>22</v>
      </c>
      <c r="G75" s="16" t="s">
        <v>23</v>
      </c>
      <c r="H75" s="12"/>
      <c r="I75" s="16" t="s">
        <v>7</v>
      </c>
      <c r="J75" s="16" t="e">
        <f>VLOOKUP(D75,#REF!,7,)</f>
        <v>#REF!</v>
      </c>
      <c r="K75" s="16" t="s">
        <v>7</v>
      </c>
      <c r="L75" s="16" t="s">
        <v>7</v>
      </c>
      <c r="M75" s="16" t="e">
        <f>VLOOKUP(D75,#REF!,10,)</f>
        <v>#REF!</v>
      </c>
    </row>
    <row r="76" spans="1:13" ht="38.25">
      <c r="A76" s="16" t="s">
        <v>5</v>
      </c>
      <c r="B76" s="16" t="s">
        <v>180</v>
      </c>
      <c r="C76" s="16" t="s">
        <v>181</v>
      </c>
      <c r="D76" s="46" t="s">
        <v>347</v>
      </c>
      <c r="E76" s="16" t="e">
        <f>VLOOKUP(D76,#REF!,2,)</f>
        <v>#REF!</v>
      </c>
      <c r="F76" s="11" t="s">
        <v>22</v>
      </c>
      <c r="G76" s="16" t="s">
        <v>23</v>
      </c>
      <c r="H76" s="12"/>
      <c r="I76" s="16" t="s">
        <v>7</v>
      </c>
      <c r="J76" s="16" t="e">
        <f>VLOOKUP(D76,#REF!,7,)</f>
        <v>#REF!</v>
      </c>
      <c r="K76" s="16" t="s">
        <v>7</v>
      </c>
      <c r="L76" s="16" t="s">
        <v>7</v>
      </c>
      <c r="M76" s="16" t="e">
        <f>VLOOKUP(D76,#REF!,10,)</f>
        <v>#REF!</v>
      </c>
    </row>
    <row r="77" spans="1:13" ht="38.25">
      <c r="A77" s="16" t="s">
        <v>5</v>
      </c>
      <c r="B77" s="16" t="s">
        <v>180</v>
      </c>
      <c r="C77" s="16" t="s">
        <v>181</v>
      </c>
      <c r="D77" s="46" t="s">
        <v>716</v>
      </c>
      <c r="E77" s="16" t="e">
        <f>VLOOKUP(D77,#REF!,2,)</f>
        <v>#REF!</v>
      </c>
      <c r="F77" s="11" t="s">
        <v>22</v>
      </c>
      <c r="G77" s="16" t="s">
        <v>23</v>
      </c>
      <c r="H77" s="12"/>
      <c r="I77" s="16" t="s">
        <v>7</v>
      </c>
      <c r="J77" s="16" t="e">
        <f>VLOOKUP(D77,#REF!,7,)</f>
        <v>#REF!</v>
      </c>
      <c r="K77" s="16" t="s">
        <v>7</v>
      </c>
      <c r="L77" s="16" t="s">
        <v>7</v>
      </c>
      <c r="M77" s="16" t="e">
        <f>VLOOKUP(D77,#REF!,10,)</f>
        <v>#REF!</v>
      </c>
    </row>
    <row r="78" spans="1:13" ht="38.25">
      <c r="A78" s="16" t="s">
        <v>5</v>
      </c>
      <c r="B78" s="16" t="s">
        <v>180</v>
      </c>
      <c r="C78" s="16" t="s">
        <v>181</v>
      </c>
      <c r="D78" s="46" t="s">
        <v>357</v>
      </c>
      <c r="E78" s="16" t="e">
        <f>VLOOKUP(D78,#REF!,2,)</f>
        <v>#REF!</v>
      </c>
      <c r="F78" s="11" t="s">
        <v>22</v>
      </c>
      <c r="G78" s="16" t="s">
        <v>81</v>
      </c>
      <c r="H78" s="12"/>
      <c r="I78" s="16" t="s">
        <v>7</v>
      </c>
      <c r="J78" s="16" t="e">
        <f>VLOOKUP(D78,#REF!,7,)</f>
        <v>#REF!</v>
      </c>
      <c r="K78" s="16" t="s">
        <v>7</v>
      </c>
      <c r="L78" s="16" t="s">
        <v>7</v>
      </c>
      <c r="M78" s="16" t="e">
        <f>VLOOKUP(D78,#REF!,10,)</f>
        <v>#REF!</v>
      </c>
    </row>
    <row r="79" spans="1:13" ht="38.25">
      <c r="A79" s="16" t="s">
        <v>5</v>
      </c>
      <c r="B79" s="16" t="s">
        <v>180</v>
      </c>
      <c r="C79" s="16" t="s">
        <v>181</v>
      </c>
      <c r="D79" s="46" t="s">
        <v>361</v>
      </c>
      <c r="E79" s="16" t="e">
        <f>VLOOKUP(D79,#REF!,2,)</f>
        <v>#REF!</v>
      </c>
      <c r="F79" s="11" t="s">
        <v>22</v>
      </c>
      <c r="G79" s="16" t="s">
        <v>23</v>
      </c>
      <c r="H79" s="12"/>
      <c r="I79" s="16" t="s">
        <v>7</v>
      </c>
      <c r="J79" s="16" t="e">
        <f>VLOOKUP(D79,#REF!,7,)</f>
        <v>#REF!</v>
      </c>
      <c r="K79" s="16" t="s">
        <v>7</v>
      </c>
      <c r="L79" s="16" t="s">
        <v>7</v>
      </c>
      <c r="M79" s="16" t="e">
        <f>VLOOKUP(D79,#REF!,10,)</f>
        <v>#REF!</v>
      </c>
    </row>
    <row r="80" spans="1:13" ht="38.25">
      <c r="A80" s="16" t="s">
        <v>5</v>
      </c>
      <c r="B80" s="16" t="s">
        <v>180</v>
      </c>
      <c r="C80" s="16" t="s">
        <v>181</v>
      </c>
      <c r="D80" s="16" t="s">
        <v>452</v>
      </c>
      <c r="E80" s="16" t="e">
        <f>VLOOKUP(D80,#REF!,2,)</f>
        <v>#REF!</v>
      </c>
      <c r="F80" s="11" t="s">
        <v>22</v>
      </c>
      <c r="G80" s="16" t="s">
        <v>23</v>
      </c>
      <c r="H80" s="12"/>
      <c r="I80" s="16" t="s">
        <v>7</v>
      </c>
      <c r="J80" s="16" t="e">
        <f>VLOOKUP(D80,#REF!,7,)</f>
        <v>#REF!</v>
      </c>
      <c r="K80" s="16" t="s">
        <v>7</v>
      </c>
      <c r="L80" s="16" t="s">
        <v>7</v>
      </c>
      <c r="M80" s="16" t="e">
        <f>VLOOKUP(D80,#REF!,10,)</f>
        <v>#REF!</v>
      </c>
    </row>
    <row r="81" spans="1:13" ht="38.25">
      <c r="A81" s="16" t="s">
        <v>5</v>
      </c>
      <c r="B81" s="16" t="s">
        <v>180</v>
      </c>
      <c r="C81" s="16" t="s">
        <v>181</v>
      </c>
      <c r="D81" s="46" t="s">
        <v>454</v>
      </c>
      <c r="E81" s="16" t="e">
        <f>VLOOKUP(D81,#REF!,2,)</f>
        <v>#REF!</v>
      </c>
      <c r="F81" s="11" t="s">
        <v>22</v>
      </c>
      <c r="G81" s="16" t="s">
        <v>81</v>
      </c>
      <c r="H81" s="12"/>
      <c r="I81" s="16" t="s">
        <v>7</v>
      </c>
      <c r="J81" s="16" t="e">
        <f>VLOOKUP(D81,#REF!,7,)</f>
        <v>#REF!</v>
      </c>
      <c r="K81" s="16" t="s">
        <v>7</v>
      </c>
      <c r="L81" s="16" t="s">
        <v>7</v>
      </c>
      <c r="M81" s="16" t="e">
        <f>VLOOKUP(D81,#REF!,10,)</f>
        <v>#REF!</v>
      </c>
    </row>
    <row r="82" spans="1:13" ht="38.25">
      <c r="A82" s="16" t="s">
        <v>456</v>
      </c>
      <c r="B82" s="16" t="s">
        <v>180</v>
      </c>
      <c r="C82" s="16" t="s">
        <v>181</v>
      </c>
      <c r="D82" s="46" t="s">
        <v>487</v>
      </c>
      <c r="E82" s="16" t="e">
        <f>VLOOKUP(D82,#REF!,2,)</f>
        <v>#REF!</v>
      </c>
      <c r="F82" s="11" t="s">
        <v>22</v>
      </c>
      <c r="G82" s="16" t="s">
        <v>23</v>
      </c>
      <c r="H82" s="12"/>
      <c r="I82" s="16"/>
      <c r="J82" s="16" t="e">
        <f>VLOOKUP(D82,#REF!,7,)</f>
        <v>#REF!</v>
      </c>
      <c r="K82" s="16" t="s">
        <v>7</v>
      </c>
      <c r="L82" s="16" t="s">
        <v>7</v>
      </c>
      <c r="M82" s="16" t="e">
        <f>VLOOKUP(D82,#REF!,10,)</f>
        <v>#REF!</v>
      </c>
    </row>
    <row r="83" spans="1:13" ht="38.25">
      <c r="A83" s="16" t="s">
        <v>456</v>
      </c>
      <c r="B83" s="16" t="s">
        <v>180</v>
      </c>
      <c r="C83" s="16" t="s">
        <v>181</v>
      </c>
      <c r="D83" s="46" t="s">
        <v>489</v>
      </c>
      <c r="E83" s="16" t="e">
        <f>VLOOKUP(D83,#REF!,2,)</f>
        <v>#REF!</v>
      </c>
      <c r="F83" s="11" t="s">
        <v>22</v>
      </c>
      <c r="G83" s="16" t="s">
        <v>23</v>
      </c>
      <c r="H83" s="12"/>
      <c r="I83" s="16"/>
      <c r="J83" s="16" t="e">
        <f>VLOOKUP(D83,#REF!,7,)</f>
        <v>#REF!</v>
      </c>
      <c r="K83" s="16" t="s">
        <v>7</v>
      </c>
      <c r="L83" s="16" t="s">
        <v>7</v>
      </c>
      <c r="M83" s="16" t="e">
        <f>VLOOKUP(D83,#REF!,10,)</f>
        <v>#REF!</v>
      </c>
    </row>
    <row r="84" spans="1:13" ht="38.25">
      <c r="A84" s="16" t="s">
        <v>456</v>
      </c>
      <c r="B84" s="16" t="s">
        <v>180</v>
      </c>
      <c r="C84" s="16" t="s">
        <v>181</v>
      </c>
      <c r="D84" s="46" t="s">
        <v>310</v>
      </c>
      <c r="E84" s="16" t="e">
        <f>VLOOKUP(D84,#REF!,2,)</f>
        <v>#REF!</v>
      </c>
      <c r="F84" s="11" t="s">
        <v>22</v>
      </c>
      <c r="G84" s="16" t="s">
        <v>23</v>
      </c>
      <c r="H84" s="12"/>
      <c r="I84" s="16" t="s">
        <v>7</v>
      </c>
      <c r="J84" s="16" t="e">
        <f>VLOOKUP(D84,#REF!,7,)</f>
        <v>#REF!</v>
      </c>
      <c r="K84" s="16" t="s">
        <v>7</v>
      </c>
      <c r="L84" s="16" t="s">
        <v>7</v>
      </c>
      <c r="M84" s="16" t="e">
        <f>VLOOKUP(D84,#REF!,10,)</f>
        <v>#REF!</v>
      </c>
    </row>
    <row r="85" spans="1:13" ht="38.25">
      <c r="A85" s="16" t="s">
        <v>456</v>
      </c>
      <c r="B85" s="16" t="s">
        <v>180</v>
      </c>
      <c r="C85" s="16" t="s">
        <v>181</v>
      </c>
      <c r="D85" s="46" t="s">
        <v>494</v>
      </c>
      <c r="E85" s="16" t="e">
        <f>VLOOKUP(D85,#REF!,2,)</f>
        <v>#REF!</v>
      </c>
      <c r="F85" s="11" t="s">
        <v>22</v>
      </c>
      <c r="G85" s="16" t="s">
        <v>81</v>
      </c>
      <c r="H85" s="12"/>
      <c r="I85" s="16" t="s">
        <v>7</v>
      </c>
      <c r="J85" s="16" t="e">
        <f>VLOOKUP(D85,#REF!,7,)</f>
        <v>#REF!</v>
      </c>
      <c r="K85" s="16" t="s">
        <v>7</v>
      </c>
      <c r="L85" s="16" t="s">
        <v>7</v>
      </c>
      <c r="M85" s="16" t="e">
        <f>VLOOKUP(D85,#REF!,10,)</f>
        <v>#REF!</v>
      </c>
    </row>
    <row r="86" spans="1:13" ht="38.25">
      <c r="A86" s="16" t="s">
        <v>456</v>
      </c>
      <c r="B86" s="16" t="s">
        <v>180</v>
      </c>
      <c r="C86" s="16" t="s">
        <v>181</v>
      </c>
      <c r="D86" s="46" t="s">
        <v>497</v>
      </c>
      <c r="E86" s="16" t="e">
        <f>VLOOKUP(D86,#REF!,2,)</f>
        <v>#REF!</v>
      </c>
      <c r="F86" s="11" t="s">
        <v>22</v>
      </c>
      <c r="G86" s="16" t="s">
        <v>23</v>
      </c>
      <c r="H86" s="12"/>
      <c r="I86" s="16" t="s">
        <v>7</v>
      </c>
      <c r="J86" s="16" t="e">
        <f>VLOOKUP(D86,#REF!,7,)</f>
        <v>#REF!</v>
      </c>
      <c r="K86" s="16" t="s">
        <v>7</v>
      </c>
      <c r="L86" s="16" t="s">
        <v>7</v>
      </c>
      <c r="M86" s="16" t="e">
        <f>VLOOKUP(D86,#REF!,10,)</f>
        <v>#REF!</v>
      </c>
    </row>
    <row r="87" spans="1:13" ht="38.25">
      <c r="A87" s="16" t="s">
        <v>456</v>
      </c>
      <c r="B87" s="16" t="s">
        <v>180</v>
      </c>
      <c r="C87" s="16" t="s">
        <v>181</v>
      </c>
      <c r="D87" s="46" t="s">
        <v>501</v>
      </c>
      <c r="E87" s="16" t="e">
        <f>VLOOKUP(D87,#REF!,2,)</f>
        <v>#REF!</v>
      </c>
      <c r="F87" s="11" t="s">
        <v>22</v>
      </c>
      <c r="G87" s="16" t="s">
        <v>23</v>
      </c>
      <c r="H87" s="12"/>
      <c r="I87" s="16" t="s">
        <v>7</v>
      </c>
      <c r="J87" s="16" t="e">
        <f>VLOOKUP(D87,#REF!,7,)</f>
        <v>#REF!</v>
      </c>
      <c r="K87" s="16" t="s">
        <v>7</v>
      </c>
      <c r="L87" s="16" t="s">
        <v>7</v>
      </c>
      <c r="M87" s="16" t="e">
        <f>VLOOKUP(D87,#REF!,10,)</f>
        <v>#REF!</v>
      </c>
    </row>
    <row r="88" spans="1:13" ht="38.25">
      <c r="A88" s="16" t="s">
        <v>456</v>
      </c>
      <c r="B88" s="16" t="s">
        <v>180</v>
      </c>
      <c r="C88" s="16" t="s">
        <v>181</v>
      </c>
      <c r="D88" s="46" t="s">
        <v>502</v>
      </c>
      <c r="E88" s="16" t="e">
        <f>VLOOKUP(D88,#REF!,2,)</f>
        <v>#REF!</v>
      </c>
      <c r="F88" s="11" t="s">
        <v>22</v>
      </c>
      <c r="G88" s="16" t="s">
        <v>23</v>
      </c>
      <c r="H88" s="12"/>
      <c r="I88" s="16" t="s">
        <v>7</v>
      </c>
      <c r="J88" s="16" t="e">
        <f>VLOOKUP(D88,#REF!,7,)</f>
        <v>#REF!</v>
      </c>
      <c r="K88" s="16" t="s">
        <v>7</v>
      </c>
      <c r="L88" s="16" t="s">
        <v>7</v>
      </c>
      <c r="M88" s="16" t="e">
        <f>VLOOKUP(D88,#REF!,10,)</f>
        <v>#REF!</v>
      </c>
    </row>
    <row r="89" spans="1:13" ht="38.25">
      <c r="A89" s="16" t="s">
        <v>5</v>
      </c>
      <c r="B89" s="16" t="s">
        <v>180</v>
      </c>
      <c r="C89" s="16" t="s">
        <v>181</v>
      </c>
      <c r="D89" s="46" t="s">
        <v>505</v>
      </c>
      <c r="E89" s="16" t="e">
        <f>VLOOKUP(D89,#REF!,2,)</f>
        <v>#REF!</v>
      </c>
      <c r="F89" s="11" t="s">
        <v>22</v>
      </c>
      <c r="G89" s="16" t="s">
        <v>23</v>
      </c>
      <c r="H89" s="12"/>
      <c r="I89" s="16" t="s">
        <v>7</v>
      </c>
      <c r="J89" s="16" t="e">
        <f>VLOOKUP(D89,#REF!,7,)</f>
        <v>#REF!</v>
      </c>
      <c r="K89" s="16" t="s">
        <v>7</v>
      </c>
      <c r="L89" s="16" t="s">
        <v>7</v>
      </c>
      <c r="M89" s="16" t="e">
        <f>VLOOKUP(D89,#REF!,10,)</f>
        <v>#REF!</v>
      </c>
    </row>
    <row r="90" spans="1:13" ht="51">
      <c r="A90" s="16" t="s">
        <v>5</v>
      </c>
      <c r="B90" s="16" t="s">
        <v>180</v>
      </c>
      <c r="C90" s="16" t="s">
        <v>181</v>
      </c>
      <c r="D90" s="46" t="s">
        <v>508</v>
      </c>
      <c r="E90" s="16" t="e">
        <f>VLOOKUP(D90,#REF!,2,)</f>
        <v>#REF!</v>
      </c>
      <c r="F90" s="11" t="s">
        <v>22</v>
      </c>
      <c r="G90" s="16" t="s">
        <v>81</v>
      </c>
      <c r="H90" s="12"/>
      <c r="I90" s="16" t="s">
        <v>7</v>
      </c>
      <c r="J90" s="16" t="e">
        <f>VLOOKUP(D90,#REF!,7,)</f>
        <v>#REF!</v>
      </c>
      <c r="K90" s="16" t="s">
        <v>7</v>
      </c>
      <c r="L90" s="16" t="s">
        <v>7</v>
      </c>
      <c r="M90" s="16" t="e">
        <f>VLOOKUP(D90,#REF!,10,)</f>
        <v>#REF!</v>
      </c>
    </row>
    <row r="91" spans="1:13" ht="38.25">
      <c r="A91" s="16" t="s">
        <v>5</v>
      </c>
      <c r="B91" s="16" t="s">
        <v>180</v>
      </c>
      <c r="C91" s="16" t="s">
        <v>181</v>
      </c>
      <c r="D91" s="46" t="s">
        <v>515</v>
      </c>
      <c r="E91" s="16" t="e">
        <f>VLOOKUP(D91,#REF!,2,)</f>
        <v>#REF!</v>
      </c>
      <c r="F91" s="11" t="s">
        <v>22</v>
      </c>
      <c r="G91" s="16" t="s">
        <v>23</v>
      </c>
      <c r="H91" s="12"/>
      <c r="I91" s="16" t="s">
        <v>7</v>
      </c>
      <c r="J91" s="16" t="e">
        <f>VLOOKUP(D91,#REF!,7,)</f>
        <v>#REF!</v>
      </c>
      <c r="K91" s="16" t="s">
        <v>7</v>
      </c>
      <c r="L91" s="16" t="s">
        <v>7</v>
      </c>
      <c r="M91" s="16" t="e">
        <f>VLOOKUP(D91,#REF!,10,)</f>
        <v>#REF!</v>
      </c>
    </row>
    <row r="92" spans="1:13" ht="38.25">
      <c r="A92" s="16" t="s">
        <v>5</v>
      </c>
      <c r="B92" s="16" t="s">
        <v>180</v>
      </c>
      <c r="C92" s="16" t="s">
        <v>181</v>
      </c>
      <c r="D92" s="46" t="s">
        <v>518</v>
      </c>
      <c r="E92" s="16" t="e">
        <f>VLOOKUP(D92,#REF!,2,)</f>
        <v>#REF!</v>
      </c>
      <c r="F92" s="11" t="s">
        <v>22</v>
      </c>
      <c r="G92" s="16" t="s">
        <v>23</v>
      </c>
      <c r="H92" s="12"/>
      <c r="I92" s="16" t="s">
        <v>7</v>
      </c>
      <c r="J92" s="16" t="e">
        <f>VLOOKUP(D92,#REF!,7,)</f>
        <v>#REF!</v>
      </c>
      <c r="K92" s="16" t="s">
        <v>7</v>
      </c>
      <c r="L92" s="16" t="s">
        <v>7</v>
      </c>
      <c r="M92" s="16" t="e">
        <f>VLOOKUP(D92,#REF!,10,)</f>
        <v>#REF!</v>
      </c>
    </row>
    <row r="93" spans="1:13" ht="38.25">
      <c r="A93" s="16" t="s">
        <v>5</v>
      </c>
      <c r="B93" s="16" t="s">
        <v>180</v>
      </c>
      <c r="C93" s="16" t="s">
        <v>181</v>
      </c>
      <c r="D93" s="46" t="s">
        <v>523</v>
      </c>
      <c r="E93" s="16" t="e">
        <f>VLOOKUP(D93,#REF!,2,)</f>
        <v>#REF!</v>
      </c>
      <c r="F93" s="11" t="s">
        <v>22</v>
      </c>
      <c r="G93" s="16" t="s">
        <v>23</v>
      </c>
      <c r="H93" s="12"/>
      <c r="I93" s="16" t="s">
        <v>7</v>
      </c>
      <c r="J93" s="16" t="e">
        <f>VLOOKUP(D93,#REF!,7,)</f>
        <v>#REF!</v>
      </c>
      <c r="K93" s="16" t="s">
        <v>7</v>
      </c>
      <c r="L93" s="16" t="s">
        <v>7</v>
      </c>
      <c r="M93" s="16" t="e">
        <f>VLOOKUP(D93,#REF!,10,)</f>
        <v>#REF!</v>
      </c>
    </row>
    <row r="94" spans="1:13" ht="38.25">
      <c r="A94" s="16" t="s">
        <v>5</v>
      </c>
      <c r="B94" s="16" t="s">
        <v>180</v>
      </c>
      <c r="C94" s="16" t="s">
        <v>181</v>
      </c>
      <c r="D94" s="46" t="s">
        <v>524</v>
      </c>
      <c r="E94" s="16" t="e">
        <f>VLOOKUP(D94,#REF!,2,)</f>
        <v>#REF!</v>
      </c>
      <c r="F94" s="11" t="s">
        <v>22</v>
      </c>
      <c r="G94" s="16" t="s">
        <v>81</v>
      </c>
      <c r="H94" s="12"/>
      <c r="I94" s="16" t="s">
        <v>7</v>
      </c>
      <c r="J94" s="16" t="e">
        <f>VLOOKUP(D94,#REF!,7,)</f>
        <v>#REF!</v>
      </c>
      <c r="K94" s="16" t="s">
        <v>7</v>
      </c>
      <c r="L94" s="16" t="s">
        <v>7</v>
      </c>
      <c r="M94" s="16" t="e">
        <f>VLOOKUP(D94,#REF!,10,)</f>
        <v>#REF!</v>
      </c>
    </row>
    <row r="95" spans="1:13" ht="38.25">
      <c r="A95" s="16" t="s">
        <v>5</v>
      </c>
      <c r="B95" s="16" t="s">
        <v>180</v>
      </c>
      <c r="C95" s="16" t="s">
        <v>181</v>
      </c>
      <c r="D95" s="46" t="s">
        <v>525</v>
      </c>
      <c r="E95" s="16" t="e">
        <f>VLOOKUP(D95,#REF!,2,)</f>
        <v>#REF!</v>
      </c>
      <c r="F95" s="11" t="s">
        <v>22</v>
      </c>
      <c r="G95" s="16" t="s">
        <v>81</v>
      </c>
      <c r="H95" s="12"/>
      <c r="I95" s="16" t="s">
        <v>7</v>
      </c>
      <c r="J95" s="16" t="e">
        <f>VLOOKUP(D95,#REF!,7,)</f>
        <v>#REF!</v>
      </c>
      <c r="K95" s="16" t="s">
        <v>7</v>
      </c>
      <c r="L95" s="16" t="s">
        <v>7</v>
      </c>
      <c r="M95" s="16" t="e">
        <f>VLOOKUP(D95,#REF!,10,)</f>
        <v>#REF!</v>
      </c>
    </row>
    <row r="96" spans="1:13" ht="38.25">
      <c r="A96" s="16" t="s">
        <v>5</v>
      </c>
      <c r="B96" s="16" t="s">
        <v>180</v>
      </c>
      <c r="C96" s="16" t="s">
        <v>181</v>
      </c>
      <c r="D96" s="46" t="s">
        <v>749</v>
      </c>
      <c r="E96" s="16" t="e">
        <f>VLOOKUP(D96,#REF!,2,)</f>
        <v>#REF!</v>
      </c>
      <c r="F96" s="11" t="s">
        <v>22</v>
      </c>
      <c r="G96" s="16" t="s">
        <v>23</v>
      </c>
      <c r="H96" s="12"/>
      <c r="I96" s="16" t="s">
        <v>7</v>
      </c>
      <c r="J96" s="16" t="e">
        <f>VLOOKUP(D96,#REF!,7,)</f>
        <v>#REF!</v>
      </c>
      <c r="K96" s="16" t="s">
        <v>7</v>
      </c>
      <c r="L96" s="16" t="s">
        <v>7</v>
      </c>
      <c r="M96" s="16" t="e">
        <f>VLOOKUP(D96,#REF!,10,)</f>
        <v>#REF!</v>
      </c>
    </row>
    <row r="97" spans="1:13" ht="38.25">
      <c r="A97" s="16" t="s">
        <v>5</v>
      </c>
      <c r="B97" s="16" t="s">
        <v>180</v>
      </c>
      <c r="C97" s="16" t="s">
        <v>181</v>
      </c>
      <c r="D97" s="46" t="s">
        <v>528</v>
      </c>
      <c r="E97" s="16" t="e">
        <f>VLOOKUP(D97,#REF!,2,)</f>
        <v>#REF!</v>
      </c>
      <c r="F97" s="11" t="s">
        <v>22</v>
      </c>
      <c r="G97" s="16" t="s">
        <v>23</v>
      </c>
      <c r="H97" s="12"/>
      <c r="I97" s="16" t="s">
        <v>7</v>
      </c>
      <c r="J97" s="16" t="e">
        <f>VLOOKUP(D97,#REF!,7,)</f>
        <v>#REF!</v>
      </c>
      <c r="K97" s="16" t="s">
        <v>7</v>
      </c>
      <c r="L97" s="16" t="s">
        <v>7</v>
      </c>
      <c r="M97" s="16" t="e">
        <f>VLOOKUP(D97,#REF!,10,)</f>
        <v>#REF!</v>
      </c>
    </row>
    <row r="98" spans="1:13" ht="38.25">
      <c r="A98" s="16" t="s">
        <v>5</v>
      </c>
      <c r="B98" s="16" t="s">
        <v>180</v>
      </c>
      <c r="C98" s="16" t="s">
        <v>181</v>
      </c>
      <c r="D98" s="46" t="s">
        <v>531</v>
      </c>
      <c r="E98" s="16" t="e">
        <f>VLOOKUP(D98,#REF!,2,)</f>
        <v>#REF!</v>
      </c>
      <c r="F98" s="11" t="s">
        <v>22</v>
      </c>
      <c r="G98" s="16" t="s">
        <v>23</v>
      </c>
      <c r="H98" s="12"/>
      <c r="I98" s="16" t="s">
        <v>7</v>
      </c>
      <c r="J98" s="16" t="e">
        <f>VLOOKUP(D98,#REF!,7,)</f>
        <v>#REF!</v>
      </c>
      <c r="K98" s="16" t="s">
        <v>7</v>
      </c>
      <c r="L98" s="16" t="s">
        <v>7</v>
      </c>
      <c r="M98" s="16" t="e">
        <f>VLOOKUP(D98,#REF!,10,)</f>
        <v>#REF!</v>
      </c>
    </row>
    <row r="99" spans="1:13" ht="38.25">
      <c r="A99" s="16" t="s">
        <v>5</v>
      </c>
      <c r="B99" s="16" t="s">
        <v>180</v>
      </c>
      <c r="C99" s="16" t="s">
        <v>181</v>
      </c>
      <c r="D99" s="46" t="s">
        <v>535</v>
      </c>
      <c r="E99" s="16" t="e">
        <f>VLOOKUP(D99,#REF!,2,)</f>
        <v>#REF!</v>
      </c>
      <c r="F99" s="11" t="s">
        <v>22</v>
      </c>
      <c r="G99" s="16" t="s">
        <v>23</v>
      </c>
      <c r="H99" s="12"/>
      <c r="I99" s="16" t="s">
        <v>7</v>
      </c>
      <c r="J99" s="16" t="e">
        <f>VLOOKUP(D99,#REF!,7,)</f>
        <v>#REF!</v>
      </c>
      <c r="K99" s="16" t="s">
        <v>7</v>
      </c>
      <c r="L99" s="16" t="s">
        <v>7</v>
      </c>
      <c r="M99" s="16" t="e">
        <f>VLOOKUP(D99,#REF!,10,)</f>
        <v>#REF!</v>
      </c>
    </row>
    <row r="100" spans="1:13" ht="38.25">
      <c r="A100" s="16" t="s">
        <v>5</v>
      </c>
      <c r="B100" s="16" t="s">
        <v>180</v>
      </c>
      <c r="C100" s="16" t="s">
        <v>181</v>
      </c>
      <c r="D100" s="46" t="s">
        <v>536</v>
      </c>
      <c r="E100" s="16" t="e">
        <f>VLOOKUP(D100,#REF!,2,)</f>
        <v>#REF!</v>
      </c>
      <c r="F100" s="11" t="s">
        <v>22</v>
      </c>
      <c r="G100" s="16" t="s">
        <v>23</v>
      </c>
      <c r="H100" s="12"/>
      <c r="I100" s="16" t="s">
        <v>7</v>
      </c>
      <c r="J100" s="16" t="e">
        <f>VLOOKUP(D100,#REF!,7,)</f>
        <v>#REF!</v>
      </c>
      <c r="K100" s="16" t="s">
        <v>7</v>
      </c>
      <c r="L100" s="16" t="s">
        <v>7</v>
      </c>
      <c r="M100" s="16" t="e">
        <f>VLOOKUP(D100,#REF!,10,)</f>
        <v>#REF!</v>
      </c>
    </row>
    <row r="101" spans="1:13" ht="38.25">
      <c r="A101" s="16" t="s">
        <v>5</v>
      </c>
      <c r="B101" s="16" t="s">
        <v>180</v>
      </c>
      <c r="C101" s="16" t="s">
        <v>181</v>
      </c>
      <c r="D101" s="46" t="s">
        <v>538</v>
      </c>
      <c r="E101" s="16" t="e">
        <f>VLOOKUP(D101,#REF!,2,)</f>
        <v>#REF!</v>
      </c>
      <c r="F101" s="11" t="s">
        <v>22</v>
      </c>
      <c r="G101" s="16" t="s">
        <v>23</v>
      </c>
      <c r="H101" s="12"/>
      <c r="I101" s="16" t="s">
        <v>7</v>
      </c>
      <c r="J101" s="16" t="e">
        <f>VLOOKUP(D101,#REF!,7,)</f>
        <v>#REF!</v>
      </c>
      <c r="K101" s="16" t="s">
        <v>7</v>
      </c>
      <c r="L101" s="16" t="s">
        <v>7</v>
      </c>
      <c r="M101" s="16" t="e">
        <f>VLOOKUP(D101,#REF!,10,)</f>
        <v>#REF!</v>
      </c>
    </row>
    <row r="102" spans="1:13" ht="38.25">
      <c r="A102" s="16" t="s">
        <v>5</v>
      </c>
      <c r="B102" s="16" t="s">
        <v>180</v>
      </c>
      <c r="C102" s="16" t="s">
        <v>181</v>
      </c>
      <c r="D102" s="46" t="s">
        <v>750</v>
      </c>
      <c r="E102" s="16" t="e">
        <f>VLOOKUP(D102,#REF!,2,)</f>
        <v>#REF!</v>
      </c>
      <c r="F102" s="11" t="s">
        <v>22</v>
      </c>
      <c r="G102" s="16" t="s">
        <v>23</v>
      </c>
      <c r="H102" s="12"/>
      <c r="I102" s="16" t="s">
        <v>7</v>
      </c>
      <c r="J102" s="16" t="e">
        <f>VLOOKUP(D102,#REF!,7,)</f>
        <v>#REF!</v>
      </c>
      <c r="K102" s="16" t="s">
        <v>7</v>
      </c>
      <c r="L102" s="16" t="s">
        <v>7</v>
      </c>
      <c r="M102" s="16" t="e">
        <f>VLOOKUP(D102,#REF!,10,)</f>
        <v>#REF!</v>
      </c>
    </row>
    <row r="103" spans="1:13" ht="38.25">
      <c r="A103" s="16" t="s">
        <v>5</v>
      </c>
      <c r="B103" s="16" t="s">
        <v>180</v>
      </c>
      <c r="C103" s="16" t="s">
        <v>181</v>
      </c>
      <c r="D103" s="46" t="s">
        <v>540</v>
      </c>
      <c r="E103" s="16" t="e">
        <f>VLOOKUP(D103,#REF!,2,)</f>
        <v>#REF!</v>
      </c>
      <c r="F103" s="11" t="s">
        <v>22</v>
      </c>
      <c r="G103" s="16" t="s">
        <v>23</v>
      </c>
      <c r="H103" s="12"/>
      <c r="I103" s="16" t="s">
        <v>7</v>
      </c>
      <c r="J103" s="16" t="e">
        <f>VLOOKUP(D103,#REF!,7,)</f>
        <v>#REF!</v>
      </c>
      <c r="K103" s="16" t="s">
        <v>7</v>
      </c>
      <c r="L103" s="16" t="s">
        <v>7</v>
      </c>
      <c r="M103" s="16" t="e">
        <f>VLOOKUP(D103,#REF!,10,)</f>
        <v>#REF!</v>
      </c>
    </row>
    <row r="104" spans="1:13" ht="38.25">
      <c r="A104" s="16" t="s">
        <v>5</v>
      </c>
      <c r="B104" s="16" t="s">
        <v>180</v>
      </c>
      <c r="C104" s="16" t="s">
        <v>181</v>
      </c>
      <c r="D104" s="46" t="s">
        <v>541</v>
      </c>
      <c r="E104" s="16" t="e">
        <f>VLOOKUP(D104,#REF!,2,)</f>
        <v>#REF!</v>
      </c>
      <c r="F104" s="11" t="s">
        <v>22</v>
      </c>
      <c r="G104" s="16" t="s">
        <v>81</v>
      </c>
      <c r="H104" s="12"/>
      <c r="I104" s="16" t="s">
        <v>7</v>
      </c>
      <c r="J104" s="16" t="e">
        <f>VLOOKUP(D104,#REF!,7,)</f>
        <v>#REF!</v>
      </c>
      <c r="K104" s="16" t="s">
        <v>7</v>
      </c>
      <c r="L104" s="16" t="s">
        <v>7</v>
      </c>
      <c r="M104" s="16" t="e">
        <f>VLOOKUP(D104,#REF!,10,)</f>
        <v>#REF!</v>
      </c>
    </row>
    <row r="105" spans="1:13" ht="38.25">
      <c r="A105" s="16" t="s">
        <v>542</v>
      </c>
      <c r="B105" s="16" t="s">
        <v>180</v>
      </c>
      <c r="C105" s="16" t="s">
        <v>181</v>
      </c>
      <c r="D105" s="46" t="s">
        <v>296</v>
      </c>
      <c r="E105" s="16" t="e">
        <f>VLOOKUP(D105,#REF!,2,)</f>
        <v>#REF!</v>
      </c>
      <c r="F105" s="11" t="s">
        <v>22</v>
      </c>
      <c r="G105" s="16" t="s">
        <v>23</v>
      </c>
      <c r="H105" s="12"/>
      <c r="I105" s="16" t="s">
        <v>7</v>
      </c>
      <c r="J105" s="16" t="e">
        <f>VLOOKUP(D105,#REF!,7,)</f>
        <v>#REF!</v>
      </c>
      <c r="K105" s="16" t="s">
        <v>7</v>
      </c>
      <c r="L105" s="16" t="s">
        <v>7</v>
      </c>
      <c r="M105" s="16" t="e">
        <f>VLOOKUP(D105,#REF!,10,)</f>
        <v>#REF!</v>
      </c>
    </row>
    <row r="106" spans="1:13" ht="38.25">
      <c r="A106" s="16" t="s">
        <v>5</v>
      </c>
      <c r="B106" s="16" t="s">
        <v>180</v>
      </c>
      <c r="C106" s="16" t="s">
        <v>181</v>
      </c>
      <c r="D106" s="46" t="s">
        <v>597</v>
      </c>
      <c r="E106" s="16" t="e">
        <f>VLOOKUP(D106,#REF!,2,)</f>
        <v>#REF!</v>
      </c>
      <c r="F106" s="11" t="s">
        <v>22</v>
      </c>
      <c r="G106" s="16" t="s">
        <v>114</v>
      </c>
      <c r="H106" s="12"/>
      <c r="I106" s="16" t="s">
        <v>7</v>
      </c>
      <c r="J106" s="16" t="e">
        <f>VLOOKUP(D106,#REF!,7,)</f>
        <v>#REF!</v>
      </c>
      <c r="K106" s="16" t="s">
        <v>7</v>
      </c>
      <c r="L106" s="16" t="s">
        <v>7</v>
      </c>
      <c r="M106" s="16" t="e">
        <f>VLOOKUP(D106,#REF!,10,)</f>
        <v>#REF!</v>
      </c>
    </row>
    <row r="107" spans="1:13" ht="38.25">
      <c r="A107" s="16" t="s">
        <v>5</v>
      </c>
      <c r="B107" s="16" t="s">
        <v>180</v>
      </c>
      <c r="C107" s="16" t="s">
        <v>181</v>
      </c>
      <c r="D107" s="46" t="s">
        <v>599</v>
      </c>
      <c r="E107" s="16" t="e">
        <f>VLOOKUP(D107,#REF!,2,)</f>
        <v>#REF!</v>
      </c>
      <c r="F107" s="11" t="s">
        <v>22</v>
      </c>
      <c r="G107" s="16" t="s">
        <v>114</v>
      </c>
      <c r="H107" s="12"/>
      <c r="I107" s="16" t="s">
        <v>7</v>
      </c>
      <c r="J107" s="16" t="e">
        <f>VLOOKUP(D107,#REF!,7,)</f>
        <v>#REF!</v>
      </c>
      <c r="K107" s="16" t="s">
        <v>7</v>
      </c>
      <c r="L107" s="16" t="s">
        <v>7</v>
      </c>
      <c r="M107" s="16" t="e">
        <f>VLOOKUP(D107,#REF!,10,)</f>
        <v>#REF!</v>
      </c>
    </row>
    <row r="108" spans="1:13" ht="38.25">
      <c r="A108" s="16" t="s">
        <v>5</v>
      </c>
      <c r="B108" s="16" t="s">
        <v>180</v>
      </c>
      <c r="C108" s="16" t="s">
        <v>181</v>
      </c>
      <c r="D108" s="46" t="s">
        <v>600</v>
      </c>
      <c r="E108" s="16" t="e">
        <f>VLOOKUP(D108,#REF!,2,)</f>
        <v>#REF!</v>
      </c>
      <c r="F108" s="11" t="s">
        <v>22</v>
      </c>
      <c r="G108" s="16" t="s">
        <v>81</v>
      </c>
      <c r="H108" s="12"/>
      <c r="I108" s="16" t="s">
        <v>7</v>
      </c>
      <c r="J108" s="16" t="e">
        <f>VLOOKUP(D108,#REF!,7,)</f>
        <v>#REF!</v>
      </c>
      <c r="K108" s="16" t="s">
        <v>7</v>
      </c>
      <c r="L108" s="16" t="s">
        <v>7</v>
      </c>
      <c r="M108" s="16" t="e">
        <f>VLOOKUP(D108,#REF!,10,)</f>
        <v>#REF!</v>
      </c>
    </row>
    <row r="109" spans="1:13" ht="38.25">
      <c r="A109" s="16" t="s">
        <v>5</v>
      </c>
      <c r="B109" s="16" t="s">
        <v>180</v>
      </c>
      <c r="C109" s="16" t="s">
        <v>181</v>
      </c>
      <c r="D109" s="46" t="s">
        <v>602</v>
      </c>
      <c r="E109" s="16" t="e">
        <f>VLOOKUP(D109,#REF!,2,)</f>
        <v>#REF!</v>
      </c>
      <c r="F109" s="11" t="s">
        <v>22</v>
      </c>
      <c r="G109" s="16" t="s">
        <v>114</v>
      </c>
      <c r="H109" s="12"/>
      <c r="I109" s="16" t="s">
        <v>7</v>
      </c>
      <c r="J109" s="16" t="e">
        <f>VLOOKUP(D109,#REF!,7,)</f>
        <v>#REF!</v>
      </c>
      <c r="K109" s="16" t="s">
        <v>7</v>
      </c>
      <c r="L109" s="16" t="s">
        <v>7</v>
      </c>
      <c r="M109" s="16" t="e">
        <f>VLOOKUP(D109,#REF!,10,)</f>
        <v>#REF!</v>
      </c>
    </row>
    <row r="110" spans="1:13" ht="38.25">
      <c r="A110" s="16" t="s">
        <v>5</v>
      </c>
      <c r="B110" s="16" t="s">
        <v>180</v>
      </c>
      <c r="C110" s="16" t="s">
        <v>181</v>
      </c>
      <c r="D110" s="46" t="s">
        <v>753</v>
      </c>
      <c r="E110" s="16" t="e">
        <f>VLOOKUP(D110,#REF!,2,)</f>
        <v>#REF!</v>
      </c>
      <c r="F110" s="11" t="s">
        <v>22</v>
      </c>
      <c r="G110" s="16" t="s">
        <v>114</v>
      </c>
      <c r="H110" s="12"/>
      <c r="I110" s="16" t="s">
        <v>7</v>
      </c>
      <c r="J110" s="16" t="e">
        <f>VLOOKUP(D110,#REF!,7,)</f>
        <v>#REF!</v>
      </c>
      <c r="K110" s="16" t="s">
        <v>7</v>
      </c>
      <c r="L110" s="16" t="s">
        <v>7</v>
      </c>
      <c r="M110" s="16" t="e">
        <f>VLOOKUP(D110,#REF!,10,)</f>
        <v>#REF!</v>
      </c>
    </row>
    <row r="111" spans="1:13" ht="38.25">
      <c r="A111" s="16" t="s">
        <v>5</v>
      </c>
      <c r="B111" s="16" t="s">
        <v>180</v>
      </c>
      <c r="C111" s="16" t="s">
        <v>181</v>
      </c>
      <c r="D111" s="46" t="s">
        <v>754</v>
      </c>
      <c r="E111" s="16" t="e">
        <f>VLOOKUP(D111,#REF!,2,)</f>
        <v>#REF!</v>
      </c>
      <c r="F111" s="11" t="s">
        <v>22</v>
      </c>
      <c r="G111" s="16" t="s">
        <v>114</v>
      </c>
      <c r="H111" s="12"/>
      <c r="I111" s="16" t="s">
        <v>7</v>
      </c>
      <c r="J111" s="16" t="e">
        <f>VLOOKUP(D111,#REF!,7,)</f>
        <v>#REF!</v>
      </c>
      <c r="K111" s="16" t="s">
        <v>7</v>
      </c>
      <c r="L111" s="16" t="s">
        <v>7</v>
      </c>
      <c r="M111" s="16" t="e">
        <f>VLOOKUP(D111,#REF!,10,)</f>
        <v>#REF!</v>
      </c>
    </row>
    <row r="112" spans="1:13" ht="38.25">
      <c r="A112" s="16" t="s">
        <v>5</v>
      </c>
      <c r="B112" s="16" t="s">
        <v>180</v>
      </c>
      <c r="C112" s="16" t="s">
        <v>181</v>
      </c>
      <c r="D112" s="46" t="s">
        <v>607</v>
      </c>
      <c r="E112" s="16" t="e">
        <f>VLOOKUP(D112,#REF!,2,)</f>
        <v>#REF!</v>
      </c>
      <c r="F112" s="11" t="s">
        <v>22</v>
      </c>
      <c r="G112" s="16" t="s">
        <v>114</v>
      </c>
      <c r="H112" s="12"/>
      <c r="I112" s="16" t="s">
        <v>7</v>
      </c>
      <c r="J112" s="16" t="e">
        <f>VLOOKUP(D112,#REF!,7,)</f>
        <v>#REF!</v>
      </c>
      <c r="K112" s="16" t="s">
        <v>7</v>
      </c>
      <c r="L112" s="16" t="s">
        <v>7</v>
      </c>
      <c r="M112" s="16" t="e">
        <f>VLOOKUP(D112,#REF!,10,)</f>
        <v>#REF!</v>
      </c>
    </row>
    <row r="113" spans="1:13" ht="38.25">
      <c r="A113" s="16" t="s">
        <v>5</v>
      </c>
      <c r="B113" s="16" t="s">
        <v>180</v>
      </c>
      <c r="C113" s="16" t="s">
        <v>181</v>
      </c>
      <c r="D113" s="46" t="s">
        <v>608</v>
      </c>
      <c r="E113" s="16" t="e">
        <f>VLOOKUP(D113,#REF!,2,)</f>
        <v>#REF!</v>
      </c>
      <c r="F113" s="11" t="s">
        <v>22</v>
      </c>
      <c r="G113" s="16" t="s">
        <v>114</v>
      </c>
      <c r="H113" s="12"/>
      <c r="I113" s="16" t="s">
        <v>7</v>
      </c>
      <c r="J113" s="16" t="e">
        <f>VLOOKUP(D113,#REF!,7,)</f>
        <v>#REF!</v>
      </c>
      <c r="K113" s="16" t="s">
        <v>7</v>
      </c>
      <c r="L113" s="16" t="s">
        <v>7</v>
      </c>
      <c r="M113" s="16" t="e">
        <f>VLOOKUP(D113,#REF!,10,)</f>
        <v>#REF!</v>
      </c>
    </row>
    <row r="114" spans="1:13" ht="38.25">
      <c r="A114" s="16" t="s">
        <v>5</v>
      </c>
      <c r="B114" s="16" t="s">
        <v>180</v>
      </c>
      <c r="C114" s="16" t="s">
        <v>181</v>
      </c>
      <c r="D114" s="46" t="s">
        <v>755</v>
      </c>
      <c r="E114" s="16" t="e">
        <f>VLOOKUP(D114,#REF!,2,)</f>
        <v>#REF!</v>
      </c>
      <c r="F114" s="11" t="s">
        <v>22</v>
      </c>
      <c r="G114" s="16" t="s">
        <v>114</v>
      </c>
      <c r="H114" s="12"/>
      <c r="I114" s="16" t="s">
        <v>7</v>
      </c>
      <c r="J114" s="16" t="e">
        <f>VLOOKUP(D114,#REF!,7,)</f>
        <v>#REF!</v>
      </c>
      <c r="K114" s="16" t="s">
        <v>7</v>
      </c>
      <c r="L114" s="16" t="s">
        <v>7</v>
      </c>
      <c r="M114" s="16" t="e">
        <f>VLOOKUP(D114,#REF!,10,)</f>
        <v>#REF!</v>
      </c>
    </row>
    <row r="115" spans="1:13" ht="38.25">
      <c r="A115" s="16" t="s">
        <v>5</v>
      </c>
      <c r="B115" s="16" t="s">
        <v>180</v>
      </c>
      <c r="C115" s="16" t="s">
        <v>181</v>
      </c>
      <c r="D115" s="46" t="s">
        <v>612</v>
      </c>
      <c r="E115" s="16" t="e">
        <f>VLOOKUP(D115,#REF!,2,)</f>
        <v>#REF!</v>
      </c>
      <c r="F115" s="11" t="s">
        <v>22</v>
      </c>
      <c r="G115" s="16" t="s">
        <v>81</v>
      </c>
      <c r="H115" s="12"/>
      <c r="I115" s="16" t="s">
        <v>7</v>
      </c>
      <c r="J115" s="16" t="e">
        <f>VLOOKUP(D115,#REF!,7,)</f>
        <v>#REF!</v>
      </c>
      <c r="K115" s="16" t="s">
        <v>7</v>
      </c>
      <c r="L115" s="16" t="s">
        <v>7</v>
      </c>
      <c r="M115" s="16" t="e">
        <f>VLOOKUP(D115,#REF!,10,)</f>
        <v>#REF!</v>
      </c>
    </row>
    <row r="116" spans="1:13" ht="38.25">
      <c r="A116" s="16" t="s">
        <v>5</v>
      </c>
      <c r="B116" s="16" t="s">
        <v>180</v>
      </c>
      <c r="C116" s="16" t="s">
        <v>181</v>
      </c>
      <c r="D116" s="46" t="s">
        <v>757</v>
      </c>
      <c r="E116" s="16" t="e">
        <f>VLOOKUP(D116,#REF!,2,)</f>
        <v>#REF!</v>
      </c>
      <c r="F116" s="11" t="s">
        <v>22</v>
      </c>
      <c r="G116" s="16" t="s">
        <v>114</v>
      </c>
      <c r="H116" s="12"/>
      <c r="I116" s="16" t="s">
        <v>7</v>
      </c>
      <c r="J116" s="16" t="e">
        <f>VLOOKUP(D116,#REF!,7,)</f>
        <v>#REF!</v>
      </c>
      <c r="K116" s="16" t="s">
        <v>7</v>
      </c>
      <c r="L116" s="16" t="s">
        <v>7</v>
      </c>
      <c r="M116" s="16" t="e">
        <f>VLOOKUP(D116,#REF!,10,)</f>
        <v>#REF!</v>
      </c>
    </row>
    <row r="117" spans="1:13" ht="38.25">
      <c r="A117" s="16" t="s">
        <v>5</v>
      </c>
      <c r="B117" s="16" t="s">
        <v>180</v>
      </c>
      <c r="C117" s="16" t="s">
        <v>181</v>
      </c>
      <c r="D117" s="60" t="s">
        <v>758</v>
      </c>
      <c r="E117" s="16" t="e">
        <f>VLOOKUP(D117,#REF!,2,)</f>
        <v>#REF!</v>
      </c>
      <c r="F117" s="11" t="s">
        <v>22</v>
      </c>
      <c r="G117" s="16" t="s">
        <v>114</v>
      </c>
      <c r="H117" s="12"/>
      <c r="I117" s="16" t="s">
        <v>7</v>
      </c>
      <c r="J117" s="16" t="e">
        <f>VLOOKUP(D117,#REF!,7,)</f>
        <v>#REF!</v>
      </c>
      <c r="K117" s="16" t="s">
        <v>7</v>
      </c>
      <c r="L117" s="16" t="s">
        <v>7</v>
      </c>
      <c r="M117" s="16" t="e">
        <f>VLOOKUP(D117,#REF!,10,)</f>
        <v>#REF!</v>
      </c>
    </row>
    <row r="118" spans="1:13" ht="38.25">
      <c r="A118" s="16" t="s">
        <v>5</v>
      </c>
      <c r="B118" s="16" t="s">
        <v>180</v>
      </c>
      <c r="C118" s="16" t="s">
        <v>181</v>
      </c>
      <c r="D118" s="46" t="s">
        <v>627</v>
      </c>
      <c r="E118" s="16" t="e">
        <f>VLOOKUP(D118,#REF!,2,)</f>
        <v>#REF!</v>
      </c>
      <c r="F118" s="11" t="s">
        <v>22</v>
      </c>
      <c r="G118" s="16" t="s">
        <v>114</v>
      </c>
      <c r="H118" s="12"/>
      <c r="I118" s="16" t="s">
        <v>7</v>
      </c>
      <c r="J118" s="16" t="e">
        <f>VLOOKUP(D118,#REF!,7,)</f>
        <v>#REF!</v>
      </c>
      <c r="K118" s="16" t="s">
        <v>7</v>
      </c>
      <c r="L118" s="16" t="s">
        <v>7</v>
      </c>
      <c r="M118" s="16" t="e">
        <f>VLOOKUP(D118,#REF!,10,)</f>
        <v>#REF!</v>
      </c>
    </row>
    <row r="119" spans="1:13" ht="38.25">
      <c r="A119" s="16" t="s">
        <v>5</v>
      </c>
      <c r="B119" s="16" t="s">
        <v>180</v>
      </c>
      <c r="C119" s="16" t="s">
        <v>181</v>
      </c>
      <c r="D119" s="46" t="s">
        <v>631</v>
      </c>
      <c r="E119" s="16" t="e">
        <f>VLOOKUP(D119,#REF!,2,)</f>
        <v>#REF!</v>
      </c>
      <c r="F119" s="11" t="s">
        <v>22</v>
      </c>
      <c r="G119" s="16" t="s">
        <v>81</v>
      </c>
      <c r="H119" s="12"/>
      <c r="I119" s="16" t="s">
        <v>7</v>
      </c>
      <c r="J119" s="16" t="e">
        <f>VLOOKUP(D119,#REF!,7,)</f>
        <v>#REF!</v>
      </c>
      <c r="K119" s="16" t="s">
        <v>7</v>
      </c>
      <c r="L119" s="16" t="s">
        <v>7</v>
      </c>
      <c r="M119" s="16" t="e">
        <f>VLOOKUP(D119,#REF!,10,)</f>
        <v>#REF!</v>
      </c>
    </row>
    <row r="120" spans="1:13" ht="38.25">
      <c r="A120" s="16" t="s">
        <v>5</v>
      </c>
      <c r="B120" s="16" t="s">
        <v>180</v>
      </c>
      <c r="C120" s="16" t="s">
        <v>181</v>
      </c>
      <c r="D120" s="46" t="s">
        <v>759</v>
      </c>
      <c r="E120" s="16" t="e">
        <f>VLOOKUP(D120,#REF!,2,)</f>
        <v>#REF!</v>
      </c>
      <c r="F120" s="11" t="s">
        <v>22</v>
      </c>
      <c r="G120" s="16" t="s">
        <v>114</v>
      </c>
      <c r="H120" s="12"/>
      <c r="I120" s="16" t="s">
        <v>7</v>
      </c>
      <c r="J120" s="16" t="e">
        <f>VLOOKUP(D120,#REF!,7,)</f>
        <v>#REF!</v>
      </c>
      <c r="K120" s="16" t="s">
        <v>7</v>
      </c>
      <c r="L120" s="16" t="s">
        <v>7</v>
      </c>
      <c r="M120" s="16" t="e">
        <f>VLOOKUP(D120,#REF!,10,)</f>
        <v>#REF!</v>
      </c>
    </row>
    <row r="121" spans="1:13" ht="38.25">
      <c r="A121" s="16" t="s">
        <v>5</v>
      </c>
      <c r="B121" s="16" t="s">
        <v>180</v>
      </c>
      <c r="C121" s="16" t="s">
        <v>181</v>
      </c>
      <c r="D121" s="46" t="s">
        <v>632</v>
      </c>
      <c r="E121" s="16" t="e">
        <f>VLOOKUP(D121,#REF!,2,)</f>
        <v>#REF!</v>
      </c>
      <c r="F121" s="11" t="s">
        <v>22</v>
      </c>
      <c r="G121" s="16" t="s">
        <v>114</v>
      </c>
      <c r="H121" s="12"/>
      <c r="I121" s="16" t="s">
        <v>7</v>
      </c>
      <c r="J121" s="16" t="e">
        <f>VLOOKUP(D121,#REF!,7,)</f>
        <v>#REF!</v>
      </c>
      <c r="K121" s="16" t="s">
        <v>7</v>
      </c>
      <c r="L121" s="16" t="s">
        <v>7</v>
      </c>
      <c r="M121" s="16" t="e">
        <f>VLOOKUP(D121,#REF!,10,)</f>
        <v>#REF!</v>
      </c>
    </row>
    <row r="122" spans="1:13" ht="38.25">
      <c r="A122" s="16" t="s">
        <v>5</v>
      </c>
      <c r="B122" s="16" t="s">
        <v>180</v>
      </c>
      <c r="C122" s="16" t="s">
        <v>181</v>
      </c>
      <c r="D122" s="46" t="s">
        <v>633</v>
      </c>
      <c r="E122" s="16" t="e">
        <f>VLOOKUP(D122,#REF!,2,)</f>
        <v>#REF!</v>
      </c>
      <c r="F122" s="11" t="s">
        <v>22</v>
      </c>
      <c r="G122" s="16" t="s">
        <v>114</v>
      </c>
      <c r="H122" s="12"/>
      <c r="I122" s="16" t="s">
        <v>7</v>
      </c>
      <c r="J122" s="16" t="e">
        <f>VLOOKUP(D122,#REF!,7,)</f>
        <v>#REF!</v>
      </c>
      <c r="K122" s="16" t="s">
        <v>7</v>
      </c>
      <c r="L122" s="16" t="s">
        <v>7</v>
      </c>
      <c r="M122" s="16" t="e">
        <f>VLOOKUP(D122,#REF!,10,)</f>
        <v>#REF!</v>
      </c>
    </row>
    <row r="123" spans="1:13" ht="38.25">
      <c r="A123" s="16" t="s">
        <v>5</v>
      </c>
      <c r="B123" s="16" t="s">
        <v>180</v>
      </c>
      <c r="C123" s="16" t="s">
        <v>181</v>
      </c>
      <c r="D123" s="46" t="s">
        <v>634</v>
      </c>
      <c r="E123" s="16" t="e">
        <f>VLOOKUP(D123,#REF!,2,)</f>
        <v>#REF!</v>
      </c>
      <c r="F123" s="11" t="s">
        <v>22</v>
      </c>
      <c r="G123" s="16" t="s">
        <v>81</v>
      </c>
      <c r="H123" s="12"/>
      <c r="I123" s="16" t="s">
        <v>7</v>
      </c>
      <c r="J123" s="16" t="e">
        <f>VLOOKUP(D123,#REF!,7,)</f>
        <v>#REF!</v>
      </c>
      <c r="K123" s="16" t="s">
        <v>7</v>
      </c>
      <c r="L123" s="16" t="s">
        <v>7</v>
      </c>
      <c r="M123" s="16" t="e">
        <f>VLOOKUP(D123,#REF!,10,)</f>
        <v>#REF!</v>
      </c>
    </row>
    <row r="124" spans="1:13" ht="38.25">
      <c r="A124" s="16" t="s">
        <v>5</v>
      </c>
      <c r="B124" s="16" t="s">
        <v>180</v>
      </c>
      <c r="C124" s="16" t="s">
        <v>181</v>
      </c>
      <c r="D124" s="46" t="s">
        <v>635</v>
      </c>
      <c r="E124" s="16" t="e">
        <f>VLOOKUP(D124,#REF!,2,)</f>
        <v>#REF!</v>
      </c>
      <c r="F124" s="11" t="s">
        <v>22</v>
      </c>
      <c r="G124" s="16" t="s">
        <v>81</v>
      </c>
      <c r="H124" s="12"/>
      <c r="I124" s="16" t="s">
        <v>7</v>
      </c>
      <c r="J124" s="16" t="e">
        <f>VLOOKUP(D124,#REF!,7,)</f>
        <v>#REF!</v>
      </c>
      <c r="K124" s="16" t="s">
        <v>7</v>
      </c>
      <c r="L124" s="16" t="s">
        <v>7</v>
      </c>
      <c r="M124" s="16" t="e">
        <f>VLOOKUP(D124,#REF!,10,)</f>
        <v>#REF!</v>
      </c>
    </row>
    <row r="125" spans="1:13" ht="38.25">
      <c r="A125" s="16" t="s">
        <v>5</v>
      </c>
      <c r="B125" s="16" t="s">
        <v>180</v>
      </c>
      <c r="C125" s="16" t="s">
        <v>181</v>
      </c>
      <c r="D125" s="46" t="s">
        <v>760</v>
      </c>
      <c r="E125" s="16" t="e">
        <f>VLOOKUP(D125,#REF!,2,)</f>
        <v>#REF!</v>
      </c>
      <c r="F125" s="11" t="s">
        <v>22</v>
      </c>
      <c r="G125" s="16" t="s">
        <v>114</v>
      </c>
      <c r="H125" s="12"/>
      <c r="I125" s="16"/>
      <c r="J125" s="16" t="e">
        <f>VLOOKUP(D125,#REF!,7,)</f>
        <v>#REF!</v>
      </c>
      <c r="K125" s="16" t="s">
        <v>7</v>
      </c>
      <c r="L125" s="16" t="s">
        <v>7</v>
      </c>
      <c r="M125" s="16" t="e">
        <f>VLOOKUP(D125,#REF!,10,)</f>
        <v>#REF!</v>
      </c>
    </row>
    <row r="126" spans="1:13" ht="38.25">
      <c r="A126" s="16" t="s">
        <v>5</v>
      </c>
      <c r="B126" s="16" t="s">
        <v>180</v>
      </c>
      <c r="C126" s="16" t="s">
        <v>181</v>
      </c>
      <c r="D126" s="46" t="s">
        <v>761</v>
      </c>
      <c r="E126" s="16" t="e">
        <f>VLOOKUP(D126,#REF!,2,)</f>
        <v>#REF!</v>
      </c>
      <c r="F126" s="11" t="s">
        <v>22</v>
      </c>
      <c r="G126" s="16" t="s">
        <v>114</v>
      </c>
      <c r="H126" s="12"/>
      <c r="I126" s="16"/>
      <c r="J126" s="16" t="e">
        <f>VLOOKUP(D126,#REF!,7,)</f>
        <v>#REF!</v>
      </c>
      <c r="K126" s="16" t="s">
        <v>7</v>
      </c>
      <c r="L126" s="16" t="s">
        <v>7</v>
      </c>
      <c r="M126" s="16" t="e">
        <f>VLOOKUP(D126,#REF!,10,)</f>
        <v>#REF!</v>
      </c>
    </row>
    <row r="127" spans="1:13" ht="38.25">
      <c r="A127" s="16" t="s">
        <v>5</v>
      </c>
      <c r="B127" s="16" t="s">
        <v>180</v>
      </c>
      <c r="C127" s="16" t="s">
        <v>181</v>
      </c>
      <c r="D127" s="46" t="s">
        <v>640</v>
      </c>
      <c r="E127" s="16" t="e">
        <f>VLOOKUP(D127,#REF!,2,)</f>
        <v>#REF!</v>
      </c>
      <c r="F127" s="11" t="s">
        <v>22</v>
      </c>
      <c r="G127" s="16" t="s">
        <v>81</v>
      </c>
      <c r="H127" s="12"/>
      <c r="I127" s="16" t="s">
        <v>7</v>
      </c>
      <c r="J127" s="16" t="e">
        <f>VLOOKUP(D127,#REF!,7,)</f>
        <v>#REF!</v>
      </c>
      <c r="K127" s="16" t="s">
        <v>7</v>
      </c>
      <c r="L127" s="16" t="s">
        <v>7</v>
      </c>
      <c r="M127" s="16" t="e">
        <f>VLOOKUP(D127,#REF!,10,)</f>
        <v>#REF!</v>
      </c>
    </row>
    <row r="128" spans="1:13" ht="38.25">
      <c r="A128" s="16" t="s">
        <v>5</v>
      </c>
      <c r="B128" s="16" t="s">
        <v>180</v>
      </c>
      <c r="C128" s="16" t="s">
        <v>181</v>
      </c>
      <c r="D128" s="46" t="s">
        <v>641</v>
      </c>
      <c r="E128" s="16" t="e">
        <f>VLOOKUP(D128,#REF!,2,)</f>
        <v>#REF!</v>
      </c>
      <c r="F128" s="11" t="s">
        <v>22</v>
      </c>
      <c r="G128" s="16" t="s">
        <v>114</v>
      </c>
      <c r="H128" s="12"/>
      <c r="I128" s="16" t="s">
        <v>7</v>
      </c>
      <c r="J128" s="16" t="e">
        <f>VLOOKUP(D128,#REF!,7,)</f>
        <v>#REF!</v>
      </c>
      <c r="K128" s="16" t="s">
        <v>7</v>
      </c>
      <c r="L128" s="16" t="s">
        <v>7</v>
      </c>
      <c r="M128" s="16" t="e">
        <f>VLOOKUP(D128,#REF!,10,)</f>
        <v>#REF!</v>
      </c>
    </row>
    <row r="129" spans="1:13" ht="38.25">
      <c r="A129" s="16" t="s">
        <v>5</v>
      </c>
      <c r="B129" s="16" t="s">
        <v>180</v>
      </c>
      <c r="C129" s="16" t="s">
        <v>181</v>
      </c>
      <c r="D129" s="46" t="s">
        <v>642</v>
      </c>
      <c r="E129" s="16" t="e">
        <f>VLOOKUP(D129,#REF!,2,)</f>
        <v>#REF!</v>
      </c>
      <c r="F129" s="11" t="s">
        <v>22</v>
      </c>
      <c r="G129" s="16" t="s">
        <v>81</v>
      </c>
      <c r="H129" s="12"/>
      <c r="I129" s="16" t="s">
        <v>7</v>
      </c>
      <c r="J129" s="16" t="e">
        <f>VLOOKUP(D129,#REF!,7,)</f>
        <v>#REF!</v>
      </c>
      <c r="K129" s="16" t="s">
        <v>7</v>
      </c>
      <c r="L129" s="16" t="s">
        <v>7</v>
      </c>
      <c r="M129" s="16" t="e">
        <f>VLOOKUP(D129,#REF!,10,)</f>
        <v>#REF!</v>
      </c>
    </row>
    <row r="130" spans="1:13" ht="38.25">
      <c r="A130" s="16" t="s">
        <v>5</v>
      </c>
      <c r="B130" s="16" t="s">
        <v>180</v>
      </c>
      <c r="C130" s="16" t="s">
        <v>181</v>
      </c>
      <c r="D130" s="46" t="s">
        <v>643</v>
      </c>
      <c r="E130" s="16" t="e">
        <f>VLOOKUP(D130,#REF!,2,)</f>
        <v>#REF!</v>
      </c>
      <c r="F130" s="11" t="s">
        <v>22</v>
      </c>
      <c r="G130" s="16" t="s">
        <v>114</v>
      </c>
      <c r="H130" s="12"/>
      <c r="I130" s="16" t="s">
        <v>7</v>
      </c>
      <c r="J130" s="16" t="e">
        <f>VLOOKUP(D130,#REF!,7,)</f>
        <v>#REF!</v>
      </c>
      <c r="K130" s="16" t="s">
        <v>7</v>
      </c>
      <c r="L130" s="16" t="s">
        <v>7</v>
      </c>
      <c r="M130" s="16" t="e">
        <f>VLOOKUP(D130,#REF!,10,)</f>
        <v>#REF!</v>
      </c>
    </row>
    <row r="131" spans="1:13" ht="38.25">
      <c r="A131" s="16" t="s">
        <v>5</v>
      </c>
      <c r="B131" s="16" t="s">
        <v>180</v>
      </c>
      <c r="C131" s="16" t="s">
        <v>181</v>
      </c>
      <c r="D131" s="46" t="s">
        <v>647</v>
      </c>
      <c r="E131" s="16" t="e">
        <f>VLOOKUP(D131,#REF!,2,)</f>
        <v>#REF!</v>
      </c>
      <c r="F131" s="11" t="s">
        <v>22</v>
      </c>
      <c r="G131" s="16" t="s">
        <v>114</v>
      </c>
      <c r="H131" s="12"/>
      <c r="I131" s="16" t="s">
        <v>7</v>
      </c>
      <c r="J131" s="16" t="e">
        <f>VLOOKUP(D131,#REF!,7,)</f>
        <v>#REF!</v>
      </c>
      <c r="K131" s="16" t="s">
        <v>7</v>
      </c>
      <c r="L131" s="16" t="s">
        <v>7</v>
      </c>
      <c r="M131" s="16" t="e">
        <f>VLOOKUP(D131,#REF!,10,)</f>
        <v>#REF!</v>
      </c>
    </row>
    <row r="132" spans="1:13" ht="38.25">
      <c r="A132" s="16" t="s">
        <v>5</v>
      </c>
      <c r="B132" s="16" t="s">
        <v>180</v>
      </c>
      <c r="C132" s="16" t="s">
        <v>181</v>
      </c>
      <c r="D132" s="46" t="s">
        <v>648</v>
      </c>
      <c r="E132" s="16" t="e">
        <f>VLOOKUP(D132,#REF!,2,)</f>
        <v>#REF!</v>
      </c>
      <c r="F132" s="11" t="s">
        <v>22</v>
      </c>
      <c r="G132" s="16" t="s">
        <v>81</v>
      </c>
      <c r="H132" s="12"/>
      <c r="I132" s="16" t="s">
        <v>7</v>
      </c>
      <c r="J132" s="16" t="e">
        <f>VLOOKUP(D132,#REF!,7,)</f>
        <v>#REF!</v>
      </c>
      <c r="K132" s="16" t="s">
        <v>7</v>
      </c>
      <c r="L132" s="16" t="s">
        <v>7</v>
      </c>
      <c r="M132" s="16" t="e">
        <f>VLOOKUP(D132,#REF!,10,)</f>
        <v>#REF!</v>
      </c>
    </row>
    <row r="133" spans="1:13" ht="38.25">
      <c r="A133" s="16" t="s">
        <v>5</v>
      </c>
      <c r="B133" s="16" t="s">
        <v>180</v>
      </c>
      <c r="C133" s="16" t="s">
        <v>181</v>
      </c>
      <c r="D133" s="46" t="s">
        <v>649</v>
      </c>
      <c r="E133" s="16" t="e">
        <f>VLOOKUP(D133,#REF!,2,)</f>
        <v>#REF!</v>
      </c>
      <c r="F133" s="11" t="s">
        <v>22</v>
      </c>
      <c r="G133" s="16" t="s">
        <v>114</v>
      </c>
      <c r="H133" s="12"/>
      <c r="I133" s="16" t="s">
        <v>7</v>
      </c>
      <c r="J133" s="16" t="e">
        <f>VLOOKUP(D133,#REF!,7,)</f>
        <v>#REF!</v>
      </c>
      <c r="K133" s="16" t="s">
        <v>7</v>
      </c>
      <c r="L133" s="16" t="s">
        <v>7</v>
      </c>
      <c r="M133" s="16" t="e">
        <f>VLOOKUP(D133,#REF!,10,)</f>
        <v>#REF!</v>
      </c>
    </row>
    <row r="134" spans="1:13" ht="38.25">
      <c r="A134" s="16" t="s">
        <v>5</v>
      </c>
      <c r="B134" s="16" t="s">
        <v>180</v>
      </c>
      <c r="C134" s="16" t="s">
        <v>181</v>
      </c>
      <c r="D134" s="46" t="s">
        <v>650</v>
      </c>
      <c r="E134" s="16" t="e">
        <f>VLOOKUP(D134,#REF!,2,)</f>
        <v>#REF!</v>
      </c>
      <c r="F134" s="11" t="s">
        <v>22</v>
      </c>
      <c r="G134" s="16" t="s">
        <v>81</v>
      </c>
      <c r="H134" s="12"/>
      <c r="I134" s="16" t="s">
        <v>7</v>
      </c>
      <c r="J134" s="16" t="e">
        <f>VLOOKUP(D134,#REF!,7,)</f>
        <v>#REF!</v>
      </c>
      <c r="K134" s="16" t="s">
        <v>7</v>
      </c>
      <c r="L134" s="16" t="s">
        <v>7</v>
      </c>
      <c r="M134" s="16" t="e">
        <f>VLOOKUP(D134,#REF!,10,)</f>
        <v>#REF!</v>
      </c>
    </row>
    <row r="135" spans="1:13" ht="38.25">
      <c r="A135" s="16" t="s">
        <v>5</v>
      </c>
      <c r="B135" s="16" t="s">
        <v>180</v>
      </c>
      <c r="C135" s="16" t="s">
        <v>181</v>
      </c>
      <c r="D135" s="46" t="s">
        <v>762</v>
      </c>
      <c r="E135" s="16" t="e">
        <f>VLOOKUP(D135,#REF!,2,)</f>
        <v>#REF!</v>
      </c>
      <c r="F135" s="11" t="s">
        <v>22</v>
      </c>
      <c r="G135" s="16" t="s">
        <v>114</v>
      </c>
      <c r="H135" s="12"/>
      <c r="I135" s="16" t="s">
        <v>7</v>
      </c>
      <c r="J135" s="16" t="e">
        <f>VLOOKUP(D135,#REF!,7,)</f>
        <v>#REF!</v>
      </c>
      <c r="K135" s="16" t="s">
        <v>7</v>
      </c>
      <c r="L135" s="16" t="s">
        <v>7</v>
      </c>
      <c r="M135" s="16" t="e">
        <f>VLOOKUP(D135,#REF!,10,)</f>
        <v>#REF!</v>
      </c>
    </row>
    <row r="136" spans="1:13" ht="38.25">
      <c r="A136" s="16" t="s">
        <v>5</v>
      </c>
      <c r="B136" s="16" t="s">
        <v>180</v>
      </c>
      <c r="C136" s="16" t="s">
        <v>181</v>
      </c>
      <c r="D136" s="46" t="s">
        <v>654</v>
      </c>
      <c r="E136" s="16" t="e">
        <f>VLOOKUP(D136,#REF!,2,)</f>
        <v>#REF!</v>
      </c>
      <c r="F136" s="11" t="s">
        <v>22</v>
      </c>
      <c r="G136" s="16" t="s">
        <v>114</v>
      </c>
      <c r="H136" s="12"/>
      <c r="I136" s="16" t="s">
        <v>7</v>
      </c>
      <c r="J136" s="16" t="e">
        <f>VLOOKUP(D136,#REF!,7,)</f>
        <v>#REF!</v>
      </c>
      <c r="K136" s="16" t="s">
        <v>7</v>
      </c>
      <c r="L136" s="16" t="s">
        <v>7</v>
      </c>
      <c r="M136" s="16" t="e">
        <f>VLOOKUP(D136,#REF!,10,)</f>
        <v>#REF!</v>
      </c>
    </row>
    <row r="137" spans="1:13" ht="38.25">
      <c r="A137" s="16" t="s">
        <v>5</v>
      </c>
      <c r="B137" s="16" t="s">
        <v>180</v>
      </c>
      <c r="C137" s="16" t="s">
        <v>181</v>
      </c>
      <c r="D137" s="46" t="s">
        <v>658</v>
      </c>
      <c r="E137" s="16" t="e">
        <f>VLOOKUP(D137,#REF!,2,)</f>
        <v>#REF!</v>
      </c>
      <c r="F137" s="11" t="s">
        <v>22</v>
      </c>
      <c r="G137" s="16" t="s">
        <v>114</v>
      </c>
      <c r="H137" s="12"/>
      <c r="I137" s="16" t="s">
        <v>7</v>
      </c>
      <c r="J137" s="16" t="e">
        <f>VLOOKUP(D137,#REF!,7,)</f>
        <v>#REF!</v>
      </c>
      <c r="K137" s="16" t="s">
        <v>7</v>
      </c>
      <c r="L137" s="16" t="s">
        <v>7</v>
      </c>
      <c r="M137" s="16" t="e">
        <f>VLOOKUP(D137,#REF!,10,)</f>
        <v>#REF!</v>
      </c>
    </row>
    <row r="138" spans="1:13" ht="38.25">
      <c r="A138" s="16" t="s">
        <v>5</v>
      </c>
      <c r="B138" s="16" t="s">
        <v>180</v>
      </c>
      <c r="C138" s="16" t="s">
        <v>181</v>
      </c>
      <c r="D138" s="46" t="s">
        <v>763</v>
      </c>
      <c r="E138" s="16" t="e">
        <f>VLOOKUP(D138,#REF!,2,)</f>
        <v>#REF!</v>
      </c>
      <c r="F138" s="11" t="s">
        <v>22</v>
      </c>
      <c r="G138" s="16" t="s">
        <v>114</v>
      </c>
      <c r="H138" s="12"/>
      <c r="I138" s="16" t="s">
        <v>7</v>
      </c>
      <c r="J138" s="16" t="e">
        <f>VLOOKUP(D138,#REF!,7,)</f>
        <v>#REF!</v>
      </c>
      <c r="K138" s="16" t="s">
        <v>7</v>
      </c>
      <c r="L138" s="16" t="s">
        <v>7</v>
      </c>
      <c r="M138" s="16" t="e">
        <f>VLOOKUP(D138,#REF!,10,)</f>
        <v>#REF!</v>
      </c>
    </row>
    <row r="139" spans="1:13" ht="38.25">
      <c r="A139" s="16" t="s">
        <v>5</v>
      </c>
      <c r="B139" s="16" t="s">
        <v>180</v>
      </c>
      <c r="C139" s="16" t="s">
        <v>181</v>
      </c>
      <c r="D139" s="46" t="s">
        <v>685</v>
      </c>
      <c r="E139" s="16" t="e">
        <f>VLOOKUP(D139,#REF!,2,)</f>
        <v>#REF!</v>
      </c>
      <c r="F139" s="11" t="s">
        <v>22</v>
      </c>
      <c r="G139" s="16" t="s">
        <v>114</v>
      </c>
      <c r="H139" s="12"/>
      <c r="I139" s="16" t="s">
        <v>7</v>
      </c>
      <c r="J139" s="16" t="e">
        <f>VLOOKUP(D139,#REF!,7,)</f>
        <v>#REF!</v>
      </c>
      <c r="K139" s="16" t="s">
        <v>7</v>
      </c>
      <c r="L139" s="16" t="s">
        <v>7</v>
      </c>
      <c r="M139" s="16" t="e">
        <f>VLOOKUP(D139,#REF!,10,)</f>
        <v>#REF!</v>
      </c>
    </row>
    <row r="140" spans="1:13" ht="38.25">
      <c r="A140" s="16" t="s">
        <v>5</v>
      </c>
      <c r="B140" s="16" t="s">
        <v>193</v>
      </c>
      <c r="C140" s="16" t="s">
        <v>198</v>
      </c>
      <c r="D140" s="46" t="s">
        <v>199</v>
      </c>
      <c r="E140" s="16" t="e">
        <f>VLOOKUP(D140,#REF!,2,)</f>
        <v>#REF!</v>
      </c>
      <c r="F140" s="11" t="s">
        <v>22</v>
      </c>
      <c r="G140" s="16" t="s">
        <v>114</v>
      </c>
      <c r="H140" s="12"/>
      <c r="I140" s="16" t="s">
        <v>7</v>
      </c>
      <c r="J140" s="16" t="e">
        <f>VLOOKUP(D140,#REF!,7,)</f>
        <v>#REF!</v>
      </c>
      <c r="K140" s="16" t="s">
        <v>7</v>
      </c>
      <c r="L140" s="16" t="s">
        <v>7</v>
      </c>
      <c r="M140" s="16" t="e">
        <f>VLOOKUP(D140,#REF!,10,)</f>
        <v>#REF!</v>
      </c>
    </row>
    <row r="141" spans="1:13" ht="38.25">
      <c r="A141" s="16" t="s">
        <v>5</v>
      </c>
      <c r="B141" s="16" t="s">
        <v>193</v>
      </c>
      <c r="C141" s="16" t="s">
        <v>198</v>
      </c>
      <c r="D141" s="46" t="s">
        <v>348</v>
      </c>
      <c r="E141" s="16" t="e">
        <f>VLOOKUP(D141,#REF!,2,)</f>
        <v>#REF!</v>
      </c>
      <c r="F141" s="11" t="s">
        <v>22</v>
      </c>
      <c r="G141" s="16" t="s">
        <v>81</v>
      </c>
      <c r="H141" s="12"/>
      <c r="I141" s="16" t="s">
        <v>7</v>
      </c>
      <c r="J141" s="16" t="e">
        <f>VLOOKUP(D141,#REF!,7,)</f>
        <v>#REF!</v>
      </c>
      <c r="K141" s="16" t="s">
        <v>7</v>
      </c>
      <c r="L141" s="16" t="s">
        <v>7</v>
      </c>
      <c r="M141" s="16" t="e">
        <f>VLOOKUP(D141,#REF!,10,)</f>
        <v>#REF!</v>
      </c>
    </row>
    <row r="142" spans="1:13" ht="38.25">
      <c r="A142" s="16" t="s">
        <v>5</v>
      </c>
      <c r="B142" s="16" t="s">
        <v>193</v>
      </c>
      <c r="C142" s="16" t="s">
        <v>198</v>
      </c>
      <c r="D142" s="46" t="s">
        <v>353</v>
      </c>
      <c r="E142" s="16" t="e">
        <f>VLOOKUP(D142,#REF!,2,)</f>
        <v>#REF!</v>
      </c>
      <c r="F142" s="11" t="s">
        <v>22</v>
      </c>
      <c r="G142" s="16" t="s">
        <v>23</v>
      </c>
      <c r="H142" s="12"/>
      <c r="I142" s="16" t="s">
        <v>7</v>
      </c>
      <c r="J142" s="16" t="e">
        <f>VLOOKUP(D142,#REF!,7,)</f>
        <v>#REF!</v>
      </c>
      <c r="K142" s="16" t="s">
        <v>7</v>
      </c>
      <c r="L142" s="16" t="s">
        <v>7</v>
      </c>
      <c r="M142" s="16" t="e">
        <f>VLOOKUP(D142,#REF!,10,)</f>
        <v>#REF!</v>
      </c>
    </row>
    <row r="143" spans="1:13" ht="38.25">
      <c r="A143" s="16" t="s">
        <v>456</v>
      </c>
      <c r="B143" s="16" t="s">
        <v>193</v>
      </c>
      <c r="C143" s="16" t="s">
        <v>198</v>
      </c>
      <c r="D143" s="46" t="s">
        <v>458</v>
      </c>
      <c r="E143" s="16" t="e">
        <f>VLOOKUP(D143,#REF!,2,)</f>
        <v>#REF!</v>
      </c>
      <c r="F143" s="11" t="s">
        <v>22</v>
      </c>
      <c r="G143" s="16" t="s">
        <v>23</v>
      </c>
      <c r="H143" s="12"/>
      <c r="I143" s="16" t="s">
        <v>7</v>
      </c>
      <c r="J143" s="16" t="e">
        <f>VLOOKUP(D143,#REF!,7,)</f>
        <v>#REF!</v>
      </c>
      <c r="K143" s="16" t="s">
        <v>7</v>
      </c>
      <c r="L143" s="16" t="s">
        <v>7</v>
      </c>
      <c r="M143" s="16" t="e">
        <f>VLOOKUP(D143,#REF!,10,)</f>
        <v>#REF!</v>
      </c>
    </row>
    <row r="144" spans="1:13" ht="38.25">
      <c r="A144" s="16" t="s">
        <v>456</v>
      </c>
      <c r="B144" s="16" t="s">
        <v>193</v>
      </c>
      <c r="C144" s="16" t="s">
        <v>198</v>
      </c>
      <c r="D144" s="46" t="s">
        <v>463</v>
      </c>
      <c r="E144" s="16" t="e">
        <f>VLOOKUP(D144,#REF!,2,)</f>
        <v>#REF!</v>
      </c>
      <c r="F144" s="11" t="s">
        <v>22</v>
      </c>
      <c r="G144" s="16" t="s">
        <v>81</v>
      </c>
      <c r="H144" s="12"/>
      <c r="I144" s="16" t="s">
        <v>7</v>
      </c>
      <c r="J144" s="16" t="e">
        <f>VLOOKUP(D144,#REF!,7,)</f>
        <v>#REF!</v>
      </c>
      <c r="K144" s="16" t="s">
        <v>7</v>
      </c>
      <c r="L144" s="16" t="s">
        <v>7</v>
      </c>
      <c r="M144" s="16" t="e">
        <f>VLOOKUP(D144,#REF!,10,)</f>
        <v>#REF!</v>
      </c>
    </row>
    <row r="145" spans="1:13" ht="38.25">
      <c r="A145" s="16" t="s">
        <v>456</v>
      </c>
      <c r="B145" s="16" t="s">
        <v>193</v>
      </c>
      <c r="C145" s="16" t="s">
        <v>198</v>
      </c>
      <c r="D145" s="46" t="s">
        <v>466</v>
      </c>
      <c r="E145" s="16" t="e">
        <f>VLOOKUP(D145,#REF!,2,)</f>
        <v>#REF!</v>
      </c>
      <c r="F145" s="11" t="s">
        <v>22</v>
      </c>
      <c r="G145" s="16" t="s">
        <v>81</v>
      </c>
      <c r="H145" s="12"/>
      <c r="I145" s="16" t="s">
        <v>7</v>
      </c>
      <c r="J145" s="16" t="e">
        <f>VLOOKUP(D145,#REF!,7,)</f>
        <v>#REF!</v>
      </c>
      <c r="K145" s="16" t="s">
        <v>7</v>
      </c>
      <c r="L145" s="16" t="s">
        <v>7</v>
      </c>
      <c r="M145" s="16" t="e">
        <f>VLOOKUP(D145,#REF!,10,)</f>
        <v>#REF!</v>
      </c>
    </row>
    <row r="146" spans="1:13" ht="38.25">
      <c r="A146" s="16" t="s">
        <v>456</v>
      </c>
      <c r="B146" s="16" t="s">
        <v>193</v>
      </c>
      <c r="C146" s="16" t="s">
        <v>198</v>
      </c>
      <c r="D146" s="46" t="s">
        <v>472</v>
      </c>
      <c r="E146" s="16" t="e">
        <f>VLOOKUP(D146,#REF!,2,)</f>
        <v>#REF!</v>
      </c>
      <c r="F146" s="11" t="s">
        <v>22</v>
      </c>
      <c r="G146" s="16" t="s">
        <v>23</v>
      </c>
      <c r="H146" s="12"/>
      <c r="I146" s="16"/>
      <c r="J146" s="16" t="e">
        <f>VLOOKUP(D146,#REF!,7,)</f>
        <v>#REF!</v>
      </c>
      <c r="K146" s="16" t="s">
        <v>7</v>
      </c>
      <c r="L146" s="16" t="s">
        <v>7</v>
      </c>
      <c r="M146" s="16" t="e">
        <f>VLOOKUP(D146,#REF!,10,)</f>
        <v>#REF!</v>
      </c>
    </row>
    <row r="147" spans="1:13" ht="38.25">
      <c r="A147" s="16" t="s">
        <v>456</v>
      </c>
      <c r="B147" s="16" t="s">
        <v>193</v>
      </c>
      <c r="C147" s="16" t="s">
        <v>198</v>
      </c>
      <c r="D147" s="46" t="s">
        <v>477</v>
      </c>
      <c r="E147" s="16" t="e">
        <f>VLOOKUP(D147,#REF!,2,)</f>
        <v>#REF!</v>
      </c>
      <c r="F147" s="11" t="s">
        <v>22</v>
      </c>
      <c r="G147" s="16" t="s">
        <v>81</v>
      </c>
      <c r="H147" s="12"/>
      <c r="I147" s="16" t="s">
        <v>7</v>
      </c>
      <c r="J147" s="16" t="e">
        <f>VLOOKUP(D147,#REF!,7,)</f>
        <v>#REF!</v>
      </c>
      <c r="K147" s="16" t="s">
        <v>7</v>
      </c>
      <c r="L147" s="16" t="s">
        <v>7</v>
      </c>
      <c r="M147" s="16" t="e">
        <f>VLOOKUP(D147,#REF!,10,)</f>
        <v>#REF!</v>
      </c>
    </row>
    <row r="148" spans="1:13" ht="38.25">
      <c r="A148" s="16" t="s">
        <v>456</v>
      </c>
      <c r="B148" s="16" t="s">
        <v>193</v>
      </c>
      <c r="C148" s="16" t="s">
        <v>198</v>
      </c>
      <c r="D148" s="46" t="s">
        <v>479</v>
      </c>
      <c r="E148" s="16" t="e">
        <f>VLOOKUP(D148,#REF!,2,)</f>
        <v>#REF!</v>
      </c>
      <c r="F148" s="11" t="s">
        <v>22</v>
      </c>
      <c r="G148" s="16" t="s">
        <v>81</v>
      </c>
      <c r="H148" s="12"/>
      <c r="I148" s="16" t="s">
        <v>7</v>
      </c>
      <c r="J148" s="16" t="e">
        <f>VLOOKUP(D148,#REF!,7,)</f>
        <v>#REF!</v>
      </c>
      <c r="K148" s="16" t="s">
        <v>7</v>
      </c>
      <c r="L148" s="16" t="s">
        <v>7</v>
      </c>
      <c r="M148" s="16" t="e">
        <f>VLOOKUP(D148,#REF!,10,)</f>
        <v>#REF!</v>
      </c>
    </row>
    <row r="149" spans="1:13" ht="38.25">
      <c r="A149" s="16" t="s">
        <v>456</v>
      </c>
      <c r="B149" s="16" t="s">
        <v>193</v>
      </c>
      <c r="C149" s="16" t="s">
        <v>198</v>
      </c>
      <c r="D149" s="46" t="s">
        <v>482</v>
      </c>
      <c r="E149" s="16" t="e">
        <f>VLOOKUP(D149,#REF!,2,)</f>
        <v>#REF!</v>
      </c>
      <c r="F149" s="11" t="s">
        <v>22</v>
      </c>
      <c r="G149" s="16" t="s">
        <v>81</v>
      </c>
      <c r="H149" s="12"/>
      <c r="I149" s="16" t="s">
        <v>7</v>
      </c>
      <c r="J149" s="16" t="e">
        <f>VLOOKUP(D149,#REF!,7,)</f>
        <v>#REF!</v>
      </c>
      <c r="K149" s="16" t="s">
        <v>7</v>
      </c>
      <c r="L149" s="16" t="s">
        <v>7</v>
      </c>
      <c r="M149" s="16" t="e">
        <f>VLOOKUP(D149,#REF!,10,)</f>
        <v>#REF!</v>
      </c>
    </row>
    <row r="150" spans="1:13" ht="38.25">
      <c r="A150" s="16" t="s">
        <v>456</v>
      </c>
      <c r="B150" s="16" t="s">
        <v>193</v>
      </c>
      <c r="C150" s="16" t="s">
        <v>198</v>
      </c>
      <c r="D150" s="46" t="s">
        <v>484</v>
      </c>
      <c r="E150" s="16" t="e">
        <f>VLOOKUP(D150,#REF!,2,)</f>
        <v>#REF!</v>
      </c>
      <c r="F150" s="11" t="s">
        <v>22</v>
      </c>
      <c r="G150" s="16" t="s">
        <v>81</v>
      </c>
      <c r="H150" s="12"/>
      <c r="I150" s="16" t="s">
        <v>7</v>
      </c>
      <c r="J150" s="16" t="e">
        <f>VLOOKUP(D150,#REF!,7,)</f>
        <v>#REF!</v>
      </c>
      <c r="K150" s="16" t="s">
        <v>7</v>
      </c>
      <c r="L150" s="16" t="s">
        <v>7</v>
      </c>
      <c r="M150" s="16" t="e">
        <f>VLOOKUP(D150,#REF!,10,)</f>
        <v>#REF!</v>
      </c>
    </row>
    <row r="151" spans="1:13" ht="38.25">
      <c r="A151" s="16" t="s">
        <v>456</v>
      </c>
      <c r="B151" s="16" t="s">
        <v>193</v>
      </c>
      <c r="C151" s="16" t="s">
        <v>198</v>
      </c>
      <c r="D151" s="46" t="s">
        <v>554</v>
      </c>
      <c r="E151" s="16" t="e">
        <f>VLOOKUP(D151,#REF!,2,)</f>
        <v>#REF!</v>
      </c>
      <c r="F151" s="11" t="s">
        <v>22</v>
      </c>
      <c r="G151" s="16" t="s">
        <v>81</v>
      </c>
      <c r="H151" s="12"/>
      <c r="I151" s="16" t="s">
        <v>7</v>
      </c>
      <c r="J151" s="16" t="e">
        <f>VLOOKUP(D151,#REF!,7,)</f>
        <v>#REF!</v>
      </c>
      <c r="K151" s="16" t="s">
        <v>7</v>
      </c>
      <c r="L151" s="16" t="s">
        <v>7</v>
      </c>
      <c r="M151" s="16" t="e">
        <f>VLOOKUP(D151,#REF!,10,)</f>
        <v>#REF!</v>
      </c>
    </row>
    <row r="152" spans="1:13" ht="38.25">
      <c r="A152" s="16" t="s">
        <v>456</v>
      </c>
      <c r="B152" s="16" t="s">
        <v>193</v>
      </c>
      <c r="C152" s="16" t="s">
        <v>198</v>
      </c>
      <c r="D152" s="46" t="s">
        <v>563</v>
      </c>
      <c r="E152" s="16" t="e">
        <f>VLOOKUP(D152,#REF!,2,)</f>
        <v>#REF!</v>
      </c>
      <c r="F152" s="11" t="s">
        <v>22</v>
      </c>
      <c r="G152" s="16" t="s">
        <v>81</v>
      </c>
      <c r="H152" s="12"/>
      <c r="I152" s="16" t="s">
        <v>7</v>
      </c>
      <c r="J152" s="16" t="e">
        <f>VLOOKUP(D152,#REF!,7,)</f>
        <v>#REF!</v>
      </c>
      <c r="K152" s="16" t="s">
        <v>7</v>
      </c>
      <c r="L152" s="16" t="s">
        <v>7</v>
      </c>
      <c r="M152" s="16" t="e">
        <f>VLOOKUP(D152,#REF!,10,)</f>
        <v>#REF!</v>
      </c>
    </row>
    <row r="153" spans="1:13" ht="38.25">
      <c r="A153" s="16" t="s">
        <v>456</v>
      </c>
      <c r="B153" s="16" t="s">
        <v>193</v>
      </c>
      <c r="C153" s="16" t="s">
        <v>198</v>
      </c>
      <c r="D153" s="46" t="s">
        <v>566</v>
      </c>
      <c r="E153" s="16" t="e">
        <f>VLOOKUP(D153,#REF!,2,)</f>
        <v>#REF!</v>
      </c>
      <c r="F153" s="11" t="s">
        <v>22</v>
      </c>
      <c r="G153" s="16" t="s">
        <v>81</v>
      </c>
      <c r="H153" s="12"/>
      <c r="I153" s="16" t="s">
        <v>7</v>
      </c>
      <c r="J153" s="16" t="e">
        <f>VLOOKUP(D153,#REF!,7,)</f>
        <v>#REF!</v>
      </c>
      <c r="K153" s="16" t="s">
        <v>7</v>
      </c>
      <c r="L153" s="16" t="s">
        <v>7</v>
      </c>
      <c r="M153" s="16" t="e">
        <f>VLOOKUP(D153,#REF!,10,)</f>
        <v>#REF!</v>
      </c>
    </row>
    <row r="154" spans="1:13" ht="38.25">
      <c r="A154" s="16" t="s">
        <v>456</v>
      </c>
      <c r="B154" s="16" t="s">
        <v>193</v>
      </c>
      <c r="C154" s="16" t="s">
        <v>198</v>
      </c>
      <c r="D154" s="46" t="s">
        <v>751</v>
      </c>
      <c r="E154" s="16" t="e">
        <f>VLOOKUP(D154,#REF!,2,)</f>
        <v>#REF!</v>
      </c>
      <c r="F154" s="11" t="s">
        <v>22</v>
      </c>
      <c r="G154" s="16" t="s">
        <v>81</v>
      </c>
      <c r="H154" s="12"/>
      <c r="I154" s="16" t="s">
        <v>7</v>
      </c>
      <c r="J154" s="16" t="e">
        <f>VLOOKUP(D154,#REF!,7,)</f>
        <v>#REF!</v>
      </c>
      <c r="K154" s="16" t="s">
        <v>7</v>
      </c>
      <c r="L154" s="16" t="s">
        <v>7</v>
      </c>
      <c r="M154" s="16" t="e">
        <f>VLOOKUP(D154,#REF!,10,)</f>
        <v>#REF!</v>
      </c>
    </row>
    <row r="155" spans="1:13" ht="38.25">
      <c r="A155" s="16" t="s">
        <v>456</v>
      </c>
      <c r="B155" s="16" t="s">
        <v>193</v>
      </c>
      <c r="C155" s="16" t="s">
        <v>198</v>
      </c>
      <c r="D155" s="46" t="s">
        <v>573</v>
      </c>
      <c r="E155" s="16" t="e">
        <f>VLOOKUP(D155,#REF!,2,)</f>
        <v>#REF!</v>
      </c>
      <c r="F155" s="11" t="s">
        <v>22</v>
      </c>
      <c r="G155" s="16" t="s">
        <v>81</v>
      </c>
      <c r="H155" s="12"/>
      <c r="I155" s="16" t="s">
        <v>7</v>
      </c>
      <c r="J155" s="16" t="e">
        <f>VLOOKUP(D155,#REF!,7,)</f>
        <v>#REF!</v>
      </c>
      <c r="K155" s="16" t="s">
        <v>7</v>
      </c>
      <c r="L155" s="16" t="s">
        <v>7</v>
      </c>
      <c r="M155" s="16" t="e">
        <f>VLOOKUP(D155,#REF!,10,)</f>
        <v>#REF!</v>
      </c>
    </row>
    <row r="156" spans="1:13" ht="38.25">
      <c r="A156" s="16" t="s">
        <v>542</v>
      </c>
      <c r="B156" s="16" t="s">
        <v>193</v>
      </c>
      <c r="C156" s="16" t="s">
        <v>198</v>
      </c>
      <c r="D156" s="46" t="s">
        <v>485</v>
      </c>
      <c r="E156" s="16" t="e">
        <f>VLOOKUP(D156,#REF!,2,)</f>
        <v>#REF!</v>
      </c>
      <c r="F156" s="11" t="s">
        <v>22</v>
      </c>
      <c r="G156" s="16" t="s">
        <v>81</v>
      </c>
      <c r="H156" s="12"/>
      <c r="I156" s="16" t="s">
        <v>7</v>
      </c>
      <c r="J156" s="16" t="e">
        <f>VLOOKUP(D156,#REF!,7,)</f>
        <v>#REF!</v>
      </c>
      <c r="K156" s="16" t="s">
        <v>7</v>
      </c>
      <c r="L156" s="16" t="s">
        <v>7</v>
      </c>
      <c r="M156" s="16" t="e">
        <f>VLOOKUP(D156,#REF!,10,)</f>
        <v>#REF!</v>
      </c>
    </row>
    <row r="157" spans="1:13" ht="12.75">
      <c r="A157" s="16" t="s">
        <v>456</v>
      </c>
      <c r="B157" s="12"/>
      <c r="C157" s="12"/>
      <c r="D157" s="46" t="s">
        <v>691</v>
      </c>
      <c r="E157" s="16" t="e">
        <f>VLOOKUP(D157,#REF!,2,)</f>
        <v>#REF!</v>
      </c>
      <c r="F157" s="19"/>
      <c r="G157" s="12"/>
      <c r="H157" s="12"/>
      <c r="I157" s="16" t="s">
        <v>765</v>
      </c>
      <c r="J157" s="16" t="e">
        <f>VLOOKUP(D157,#REF!,7,)</f>
        <v>#REF!</v>
      </c>
      <c r="K157" s="16" t="s">
        <v>765</v>
      </c>
      <c r="L157" s="16" t="s">
        <v>765</v>
      </c>
      <c r="M157" s="16" t="e">
        <f>VLOOKUP(D157,#REF!,10,)</f>
        <v>#REF!</v>
      </c>
    </row>
    <row r="158" spans="1:13" ht="25.5">
      <c r="A158" s="1" t="s">
        <v>5</v>
      </c>
      <c r="B158" s="16" t="s">
        <v>16</v>
      </c>
      <c r="C158" s="16" t="s">
        <v>17</v>
      </c>
      <c r="D158" s="46" t="s">
        <v>688</v>
      </c>
      <c r="E158" s="16" t="e">
        <f>VLOOKUP(D158,#REF!,2,)</f>
        <v>#REF!</v>
      </c>
      <c r="F158" s="11" t="s">
        <v>22</v>
      </c>
      <c r="G158" s="16" t="s">
        <v>709</v>
      </c>
      <c r="H158" s="12"/>
      <c r="I158" s="16" t="s">
        <v>7</v>
      </c>
      <c r="J158" s="16" t="e">
        <f>VLOOKUP(D158,#REF!,7,)</f>
        <v>#REF!</v>
      </c>
      <c r="K158" s="16" t="s">
        <v>7</v>
      </c>
      <c r="L158" s="16" t="s">
        <v>7</v>
      </c>
      <c r="M158" s="16" t="e">
        <f>VLOOKUP(D158,#REF!,10,)</f>
        <v>#REF!</v>
      </c>
    </row>
    <row r="159" spans="1:13" ht="25.5">
      <c r="A159" s="16" t="s">
        <v>5</v>
      </c>
      <c r="B159" s="16" t="s">
        <v>16</v>
      </c>
      <c r="C159" s="16" t="s">
        <v>26</v>
      </c>
      <c r="D159" s="16" t="s">
        <v>766</v>
      </c>
      <c r="E159" s="16" t="e">
        <f>VLOOKUP(D159,#REF!,2,)</f>
        <v>#REF!</v>
      </c>
      <c r="F159" s="11" t="s">
        <v>22</v>
      </c>
      <c r="G159" s="11"/>
      <c r="H159" s="12"/>
      <c r="I159" s="16" t="s">
        <v>7</v>
      </c>
      <c r="J159" s="16" t="e">
        <f>VLOOKUP(D159,#REF!,7,)</f>
        <v>#REF!</v>
      </c>
      <c r="K159" s="16" t="s">
        <v>7</v>
      </c>
      <c r="L159" s="16" t="s">
        <v>7</v>
      </c>
      <c r="M159" s="16" t="e">
        <f>VLOOKUP(D159,#REF!,10,)</f>
        <v>#REF!</v>
      </c>
    </row>
    <row r="160" spans="1:13" ht="12.75">
      <c r="D160" s="61"/>
    </row>
    <row r="161" spans="4:4" ht="12.75">
      <c r="D161" s="61"/>
    </row>
    <row r="162" spans="4:4" ht="12.75">
      <c r="D162" s="61"/>
    </row>
    <row r="163" spans="4:4" ht="12.75">
      <c r="D163" s="61"/>
    </row>
    <row r="164" spans="4:4" ht="12.75">
      <c r="D164" s="61"/>
    </row>
    <row r="165" spans="4:4" ht="12.75">
      <c r="D165" s="61"/>
    </row>
    <row r="166" spans="4:4" ht="12.75">
      <c r="D166" s="61"/>
    </row>
    <row r="167" spans="4:4" ht="12.75">
      <c r="D167" s="61"/>
    </row>
    <row r="168" spans="4:4" ht="12.75">
      <c r="D168" s="61"/>
    </row>
    <row r="169" spans="4:4" ht="12.75">
      <c r="D169" s="61"/>
    </row>
    <row r="170" spans="4:4" ht="12.75">
      <c r="D170" s="61"/>
    </row>
    <row r="171" spans="4:4" ht="12.75">
      <c r="D171" s="61"/>
    </row>
    <row r="172" spans="4:4" ht="12.75">
      <c r="D172" s="61"/>
    </row>
    <row r="173" spans="4:4" ht="12.75">
      <c r="D173" s="61"/>
    </row>
    <row r="174" spans="4:4" ht="12.75">
      <c r="D174" s="61"/>
    </row>
    <row r="175" spans="4:4" ht="12.75">
      <c r="D175" s="61"/>
    </row>
    <row r="176" spans="4:4" ht="12.75">
      <c r="D176" s="61"/>
    </row>
    <row r="177" spans="4:4" ht="12.75">
      <c r="D177" s="61"/>
    </row>
    <row r="178" spans="4:4" ht="12.75">
      <c r="D178" s="61"/>
    </row>
    <row r="179" spans="4:4" ht="12.75">
      <c r="D179" s="61"/>
    </row>
    <row r="180" spans="4:4" ht="12.75">
      <c r="D180" s="61"/>
    </row>
    <row r="181" spans="4:4" ht="12.75">
      <c r="D181" s="61"/>
    </row>
    <row r="182" spans="4:4" ht="12.75">
      <c r="D182" s="61"/>
    </row>
    <row r="183" spans="4:4" ht="12.75">
      <c r="D183" s="61"/>
    </row>
    <row r="184" spans="4:4" ht="12.75">
      <c r="D184" s="61"/>
    </row>
    <row r="185" spans="4:4" ht="12.75">
      <c r="D185" s="61"/>
    </row>
    <row r="186" spans="4:4" ht="12.75">
      <c r="D186" s="61"/>
    </row>
    <row r="187" spans="4:4" ht="12.75">
      <c r="D187" s="61"/>
    </row>
    <row r="188" spans="4:4" ht="12.75">
      <c r="D188" s="61"/>
    </row>
    <row r="189" spans="4:4" ht="12.75">
      <c r="D189" s="61"/>
    </row>
    <row r="190" spans="4:4" ht="12.75">
      <c r="D190" s="61"/>
    </row>
    <row r="191" spans="4:4" ht="12.75">
      <c r="D191" s="61"/>
    </row>
    <row r="192" spans="4:4" ht="12.75">
      <c r="D192" s="61"/>
    </row>
    <row r="193" spans="4:4" ht="12.75">
      <c r="D193" s="61"/>
    </row>
    <row r="194" spans="4:4" ht="12.75">
      <c r="D194" s="61"/>
    </row>
    <row r="195" spans="4:4" ht="12.75">
      <c r="D195" s="61"/>
    </row>
    <row r="196" spans="4:4" ht="12.75">
      <c r="D196" s="61"/>
    </row>
    <row r="197" spans="4:4" ht="12.75">
      <c r="D197" s="61"/>
    </row>
    <row r="198" spans="4:4" ht="12.75">
      <c r="D198" s="61"/>
    </row>
    <row r="199" spans="4:4" ht="12.75">
      <c r="D199" s="61"/>
    </row>
    <row r="200" spans="4:4" ht="12.75">
      <c r="D200" s="61"/>
    </row>
    <row r="201" spans="4:4" ht="12.75">
      <c r="D201" s="61"/>
    </row>
    <row r="202" spans="4:4" ht="12.75">
      <c r="D202" s="61"/>
    </row>
    <row r="203" spans="4:4" ht="12.75">
      <c r="D203" s="61"/>
    </row>
    <row r="204" spans="4:4" ht="12.75">
      <c r="D204" s="61"/>
    </row>
    <row r="205" spans="4:4" ht="12.75">
      <c r="D205" s="61"/>
    </row>
    <row r="206" spans="4:4" ht="12.75">
      <c r="D206" s="61"/>
    </row>
    <row r="207" spans="4:4" ht="12.75">
      <c r="D207" s="61"/>
    </row>
    <row r="208" spans="4:4" ht="12.75">
      <c r="D208" s="61"/>
    </row>
    <row r="209" spans="4:4" ht="12.75">
      <c r="D209" s="61"/>
    </row>
    <row r="210" spans="4:4" ht="12.75">
      <c r="D210" s="61"/>
    </row>
    <row r="211" spans="4:4" ht="12.75">
      <c r="D211" s="61"/>
    </row>
    <row r="212" spans="4:4" ht="12.75">
      <c r="D212" s="61"/>
    </row>
    <row r="213" spans="4:4" ht="12.75">
      <c r="D213" s="61"/>
    </row>
    <row r="214" spans="4:4" ht="12.75">
      <c r="D214" s="61"/>
    </row>
    <row r="215" spans="4:4" ht="12.75">
      <c r="D215" s="61"/>
    </row>
    <row r="216" spans="4:4" ht="12.75">
      <c r="D216" s="61"/>
    </row>
    <row r="217" spans="4:4" ht="12.75">
      <c r="D217" s="61"/>
    </row>
    <row r="218" spans="4:4" ht="12.75">
      <c r="D218" s="61"/>
    </row>
    <row r="219" spans="4:4" ht="12.75">
      <c r="D219" s="61"/>
    </row>
    <row r="220" spans="4:4" ht="12.75">
      <c r="D220" s="61"/>
    </row>
    <row r="221" spans="4:4" ht="12.75">
      <c r="D221" s="61"/>
    </row>
    <row r="222" spans="4:4" ht="12.75">
      <c r="D222" s="61"/>
    </row>
    <row r="223" spans="4:4" ht="12.75">
      <c r="D223" s="61"/>
    </row>
    <row r="224" spans="4:4" ht="12.75">
      <c r="D224" s="61"/>
    </row>
    <row r="225" spans="4:4" ht="12.75">
      <c r="D225" s="61"/>
    </row>
    <row r="226" spans="4:4" ht="12.75">
      <c r="D226" s="61"/>
    </row>
    <row r="227" spans="4:4" ht="12.75">
      <c r="D227" s="61"/>
    </row>
    <row r="228" spans="4:4" ht="12.75">
      <c r="D228" s="61"/>
    </row>
    <row r="229" spans="4:4" ht="12.75">
      <c r="D229" s="61"/>
    </row>
    <row r="230" spans="4:4" ht="12.75">
      <c r="D230" s="61"/>
    </row>
    <row r="231" spans="4:4" ht="12.75">
      <c r="D231" s="61"/>
    </row>
    <row r="232" spans="4:4" ht="12.75">
      <c r="D232" s="61"/>
    </row>
    <row r="233" spans="4:4" ht="12.75">
      <c r="D233" s="61"/>
    </row>
    <row r="234" spans="4:4" ht="12.75">
      <c r="D234" s="61"/>
    </row>
    <row r="235" spans="4:4" ht="12.75">
      <c r="D235" s="61"/>
    </row>
    <row r="236" spans="4:4" ht="12.75">
      <c r="D236" s="61"/>
    </row>
    <row r="237" spans="4:4" ht="12.75">
      <c r="D237" s="61"/>
    </row>
    <row r="238" spans="4:4" ht="12.75">
      <c r="D238" s="61"/>
    </row>
    <row r="239" spans="4:4" ht="12.75">
      <c r="D239" s="61"/>
    </row>
    <row r="240" spans="4:4" ht="12.75">
      <c r="D240" s="61"/>
    </row>
    <row r="241" spans="4:4" ht="12.75">
      <c r="D241" s="61"/>
    </row>
    <row r="242" spans="4:4" ht="12.75">
      <c r="D242" s="61"/>
    </row>
    <row r="243" spans="4:4" ht="12.75">
      <c r="D243" s="61"/>
    </row>
    <row r="244" spans="4:4" ht="12.75">
      <c r="D244" s="61"/>
    </row>
    <row r="245" spans="4:4" ht="12.75">
      <c r="D245" s="61"/>
    </row>
    <row r="246" spans="4:4" ht="12.75">
      <c r="D246" s="61"/>
    </row>
    <row r="247" spans="4:4" ht="12.75">
      <c r="D247" s="61"/>
    </row>
    <row r="248" spans="4:4" ht="12.75">
      <c r="D248" s="61"/>
    </row>
    <row r="249" spans="4:4" ht="12.75">
      <c r="D249" s="61"/>
    </row>
    <row r="250" spans="4:4" ht="12.75">
      <c r="D250" s="61"/>
    </row>
    <row r="251" spans="4:4" ht="12.75">
      <c r="D251" s="61"/>
    </row>
    <row r="252" spans="4:4" ht="12.75">
      <c r="D252" s="61"/>
    </row>
    <row r="253" spans="4:4" ht="12.75">
      <c r="D253" s="61"/>
    </row>
    <row r="254" spans="4:4" ht="12.75">
      <c r="D254" s="61"/>
    </row>
    <row r="255" spans="4:4" ht="12.75">
      <c r="D255" s="61"/>
    </row>
    <row r="256" spans="4:4" ht="12.75">
      <c r="D256" s="61"/>
    </row>
    <row r="257" spans="4:4" ht="12.75">
      <c r="D257" s="61"/>
    </row>
    <row r="258" spans="4:4" ht="12.75">
      <c r="D258" s="61"/>
    </row>
    <row r="259" spans="4:4" ht="12.75">
      <c r="D259" s="61"/>
    </row>
    <row r="260" spans="4:4" ht="12.75">
      <c r="D260" s="61"/>
    </row>
    <row r="261" spans="4:4" ht="12.75">
      <c r="D261" s="61"/>
    </row>
    <row r="262" spans="4:4" ht="12.75">
      <c r="D262" s="61"/>
    </row>
    <row r="263" spans="4:4" ht="12.75">
      <c r="D263" s="61"/>
    </row>
    <row r="264" spans="4:4" ht="12.75">
      <c r="D264" s="61"/>
    </row>
    <row r="265" spans="4:4" ht="12.75">
      <c r="D265" s="61"/>
    </row>
    <row r="266" spans="4:4" ht="12.75">
      <c r="D266" s="61"/>
    </row>
    <row r="267" spans="4:4" ht="12.75">
      <c r="D267" s="61"/>
    </row>
    <row r="268" spans="4:4" ht="12.75">
      <c r="D268" s="61"/>
    </row>
    <row r="269" spans="4:4" ht="12.75">
      <c r="D269" s="61"/>
    </row>
    <row r="270" spans="4:4" ht="12.75">
      <c r="D270" s="61"/>
    </row>
    <row r="271" spans="4:4" ht="12.75">
      <c r="D271" s="61"/>
    </row>
    <row r="272" spans="4:4" ht="12.75">
      <c r="D272" s="61"/>
    </row>
    <row r="273" spans="4:4" ht="12.75">
      <c r="D273" s="61"/>
    </row>
    <row r="274" spans="4:4" ht="12.75">
      <c r="D274" s="61"/>
    </row>
    <row r="275" spans="4:4" ht="12.75">
      <c r="D275" s="61"/>
    </row>
    <row r="276" spans="4:4" ht="12.75">
      <c r="D276" s="61"/>
    </row>
    <row r="277" spans="4:4" ht="12.75">
      <c r="D277" s="61"/>
    </row>
    <row r="278" spans="4:4" ht="12.75">
      <c r="D278" s="61"/>
    </row>
    <row r="279" spans="4:4" ht="12.75">
      <c r="D279" s="61"/>
    </row>
    <row r="280" spans="4:4" ht="12.75">
      <c r="D280" s="61"/>
    </row>
    <row r="281" spans="4:4" ht="12.75">
      <c r="D281" s="61"/>
    </row>
    <row r="282" spans="4:4" ht="12.75">
      <c r="D282" s="61"/>
    </row>
    <row r="283" spans="4:4" ht="12.75">
      <c r="D283" s="61"/>
    </row>
    <row r="284" spans="4:4" ht="12.75">
      <c r="D284" s="61"/>
    </row>
    <row r="285" spans="4:4" ht="12.75">
      <c r="D285" s="61"/>
    </row>
    <row r="286" spans="4:4" ht="12.75">
      <c r="D286" s="61"/>
    </row>
    <row r="287" spans="4:4" ht="12.75">
      <c r="D287" s="61"/>
    </row>
    <row r="288" spans="4:4" ht="12.75">
      <c r="D288" s="61"/>
    </row>
    <row r="289" spans="4:4" ht="12.75">
      <c r="D289" s="61"/>
    </row>
    <row r="290" spans="4:4" ht="12.75">
      <c r="D290" s="61"/>
    </row>
    <row r="291" spans="4:4" ht="12.75">
      <c r="D291" s="61"/>
    </row>
    <row r="292" spans="4:4" ht="12.75">
      <c r="D292" s="61"/>
    </row>
    <row r="293" spans="4:4" ht="12.75">
      <c r="D293" s="61"/>
    </row>
    <row r="294" spans="4:4" ht="12.75">
      <c r="D294" s="61"/>
    </row>
    <row r="295" spans="4:4" ht="12.75">
      <c r="D295" s="61"/>
    </row>
    <row r="296" spans="4:4" ht="12.75">
      <c r="D296" s="61"/>
    </row>
    <row r="297" spans="4:4" ht="12.75">
      <c r="D297" s="61"/>
    </row>
    <row r="298" spans="4:4" ht="12.75">
      <c r="D298" s="61"/>
    </row>
    <row r="299" spans="4:4" ht="12.75">
      <c r="D299" s="61"/>
    </row>
    <row r="300" spans="4:4" ht="12.75">
      <c r="D300" s="61"/>
    </row>
    <row r="301" spans="4:4" ht="12.75">
      <c r="D301" s="61"/>
    </row>
    <row r="302" spans="4:4" ht="12.75">
      <c r="D302" s="61"/>
    </row>
    <row r="303" spans="4:4" ht="12.75">
      <c r="D303" s="61"/>
    </row>
    <row r="304" spans="4:4" ht="12.75">
      <c r="D304" s="61"/>
    </row>
    <row r="305" spans="4:4" ht="12.75">
      <c r="D305" s="61"/>
    </row>
    <row r="306" spans="4:4" ht="12.75">
      <c r="D306" s="61"/>
    </row>
    <row r="307" spans="4:4" ht="12.75">
      <c r="D307" s="61"/>
    </row>
    <row r="308" spans="4:4" ht="12.75">
      <c r="D308" s="61"/>
    </row>
    <row r="309" spans="4:4" ht="12.75">
      <c r="D309" s="61"/>
    </row>
    <row r="310" spans="4:4" ht="12.75">
      <c r="D310" s="61"/>
    </row>
    <row r="311" spans="4:4" ht="12.75">
      <c r="D311" s="61"/>
    </row>
    <row r="312" spans="4:4" ht="12.75">
      <c r="D312" s="61"/>
    </row>
    <row r="313" spans="4:4" ht="12.75">
      <c r="D313" s="61"/>
    </row>
    <row r="314" spans="4:4" ht="12.75">
      <c r="D314" s="61"/>
    </row>
    <row r="315" spans="4:4" ht="12.75">
      <c r="D315" s="61"/>
    </row>
    <row r="316" spans="4:4" ht="12.75">
      <c r="D316" s="61"/>
    </row>
    <row r="317" spans="4:4" ht="12.75">
      <c r="D317" s="61"/>
    </row>
    <row r="318" spans="4:4" ht="12.75">
      <c r="D318" s="61"/>
    </row>
    <row r="319" spans="4:4" ht="12.75">
      <c r="D319" s="61"/>
    </row>
    <row r="320" spans="4:4" ht="12.75">
      <c r="D320" s="61"/>
    </row>
    <row r="321" spans="4:4" ht="12.75">
      <c r="D321" s="61"/>
    </row>
    <row r="322" spans="4:4" ht="12.75">
      <c r="D322" s="61"/>
    </row>
    <row r="323" spans="4:4" ht="12.75">
      <c r="D323" s="61"/>
    </row>
    <row r="324" spans="4:4" ht="12.75">
      <c r="D324" s="61"/>
    </row>
    <row r="325" spans="4:4" ht="12.75">
      <c r="D325" s="61"/>
    </row>
    <row r="326" spans="4:4" ht="12.75">
      <c r="D326" s="61"/>
    </row>
    <row r="327" spans="4:4" ht="12.75">
      <c r="D327" s="61"/>
    </row>
    <row r="328" spans="4:4" ht="12.75">
      <c r="D328" s="61"/>
    </row>
    <row r="329" spans="4:4" ht="12.75">
      <c r="D329" s="61"/>
    </row>
    <row r="330" spans="4:4" ht="12.75">
      <c r="D330" s="61"/>
    </row>
    <row r="331" spans="4:4" ht="12.75">
      <c r="D331" s="61"/>
    </row>
    <row r="332" spans="4:4" ht="12.75">
      <c r="D332" s="61"/>
    </row>
    <row r="333" spans="4:4" ht="12.75">
      <c r="D333" s="61"/>
    </row>
    <row r="334" spans="4:4" ht="12.75">
      <c r="D334" s="61"/>
    </row>
    <row r="335" spans="4:4" ht="12.75">
      <c r="D335" s="61"/>
    </row>
    <row r="336" spans="4:4" ht="12.75">
      <c r="D336" s="61"/>
    </row>
    <row r="337" spans="4:4" ht="12.75">
      <c r="D337" s="61"/>
    </row>
    <row r="338" spans="4:4" ht="12.75">
      <c r="D338" s="61"/>
    </row>
    <row r="339" spans="4:4" ht="12.75">
      <c r="D339" s="61"/>
    </row>
    <row r="340" spans="4:4" ht="12.75">
      <c r="D340" s="61"/>
    </row>
    <row r="341" spans="4:4" ht="12.75">
      <c r="D341" s="61"/>
    </row>
    <row r="342" spans="4:4" ht="12.75">
      <c r="D342" s="61"/>
    </row>
    <row r="343" spans="4:4" ht="12.75">
      <c r="D343" s="61"/>
    </row>
    <row r="344" spans="4:4" ht="12.75">
      <c r="D344" s="61"/>
    </row>
    <row r="345" spans="4:4" ht="12.75">
      <c r="D345" s="61"/>
    </row>
    <row r="346" spans="4:4" ht="12.75">
      <c r="D346" s="61"/>
    </row>
    <row r="347" spans="4:4" ht="12.75">
      <c r="D347" s="61"/>
    </row>
    <row r="348" spans="4:4" ht="12.75">
      <c r="D348" s="61"/>
    </row>
    <row r="349" spans="4:4" ht="12.75">
      <c r="D349" s="61"/>
    </row>
    <row r="350" spans="4:4" ht="12.75">
      <c r="D350" s="61"/>
    </row>
    <row r="351" spans="4:4" ht="12.75">
      <c r="D351" s="61"/>
    </row>
    <row r="352" spans="4:4" ht="12.75">
      <c r="D352" s="61"/>
    </row>
    <row r="353" spans="4:4" ht="12.75">
      <c r="D353" s="61"/>
    </row>
    <row r="354" spans="4:4" ht="12.75">
      <c r="D354" s="61"/>
    </row>
    <row r="355" spans="4:4" ht="12.75">
      <c r="D355" s="61"/>
    </row>
    <row r="356" spans="4:4" ht="12.75">
      <c r="D356" s="61"/>
    </row>
    <row r="357" spans="4:4" ht="12.75">
      <c r="D357" s="61"/>
    </row>
    <row r="358" spans="4:4" ht="12.75">
      <c r="D358" s="61"/>
    </row>
    <row r="359" spans="4:4" ht="12.75">
      <c r="D359" s="61"/>
    </row>
    <row r="360" spans="4:4" ht="12.75">
      <c r="D360" s="61"/>
    </row>
    <row r="361" spans="4:4" ht="12.75">
      <c r="D361" s="61"/>
    </row>
    <row r="362" spans="4:4" ht="12.75">
      <c r="D362" s="61"/>
    </row>
    <row r="363" spans="4:4" ht="12.75">
      <c r="D363" s="61"/>
    </row>
    <row r="364" spans="4:4" ht="12.75">
      <c r="D364" s="61"/>
    </row>
    <row r="365" spans="4:4" ht="12.75">
      <c r="D365" s="61"/>
    </row>
    <row r="366" spans="4:4" ht="12.75">
      <c r="D366" s="61"/>
    </row>
    <row r="367" spans="4:4" ht="12.75">
      <c r="D367" s="61"/>
    </row>
    <row r="368" spans="4:4" ht="12.75">
      <c r="D368" s="61"/>
    </row>
    <row r="369" spans="4:4" ht="12.75">
      <c r="D369" s="61"/>
    </row>
    <row r="370" spans="4:4" ht="12.75">
      <c r="D370" s="61"/>
    </row>
    <row r="371" spans="4:4" ht="12.75">
      <c r="D371" s="61"/>
    </row>
    <row r="372" spans="4:4" ht="12.75">
      <c r="D372" s="61"/>
    </row>
    <row r="373" spans="4:4" ht="12.75">
      <c r="D373" s="61"/>
    </row>
    <row r="374" spans="4:4" ht="12.75">
      <c r="D374" s="61"/>
    </row>
    <row r="375" spans="4:4" ht="12.75">
      <c r="D375" s="61"/>
    </row>
    <row r="376" spans="4:4" ht="12.75">
      <c r="D376" s="61"/>
    </row>
    <row r="377" spans="4:4" ht="12.75">
      <c r="D377" s="61"/>
    </row>
    <row r="378" spans="4:4" ht="12.75">
      <c r="D378" s="61"/>
    </row>
    <row r="379" spans="4:4" ht="12.75">
      <c r="D379" s="61"/>
    </row>
    <row r="380" spans="4:4" ht="12.75">
      <c r="D380" s="61"/>
    </row>
    <row r="381" spans="4:4" ht="12.75">
      <c r="D381" s="61"/>
    </row>
    <row r="382" spans="4:4" ht="12.75">
      <c r="D382" s="61"/>
    </row>
    <row r="383" spans="4:4" ht="12.75">
      <c r="D383" s="61"/>
    </row>
    <row r="384" spans="4:4" ht="12.75">
      <c r="D384" s="61"/>
    </row>
    <row r="385" spans="4:4" ht="12.75">
      <c r="D385" s="61"/>
    </row>
    <row r="386" spans="4:4" ht="12.75">
      <c r="D386" s="61"/>
    </row>
    <row r="387" spans="4:4" ht="12.75">
      <c r="D387" s="61"/>
    </row>
    <row r="388" spans="4:4" ht="12.75">
      <c r="D388" s="61"/>
    </row>
    <row r="389" spans="4:4" ht="12.75">
      <c r="D389" s="61"/>
    </row>
    <row r="390" spans="4:4" ht="12.75">
      <c r="D390" s="61"/>
    </row>
    <row r="391" spans="4:4" ht="12.75">
      <c r="D391" s="61"/>
    </row>
    <row r="392" spans="4:4" ht="12.75">
      <c r="D392" s="61"/>
    </row>
    <row r="393" spans="4:4" ht="12.75">
      <c r="D393" s="61"/>
    </row>
    <row r="394" spans="4:4" ht="12.75">
      <c r="D394" s="61"/>
    </row>
    <row r="395" spans="4:4" ht="12.75">
      <c r="D395" s="61"/>
    </row>
    <row r="396" spans="4:4" ht="12.75">
      <c r="D396" s="61"/>
    </row>
    <row r="397" spans="4:4" ht="12.75">
      <c r="D397" s="61"/>
    </row>
    <row r="398" spans="4:4" ht="12.75">
      <c r="D398" s="61"/>
    </row>
    <row r="399" spans="4:4" ht="12.75">
      <c r="D399" s="61"/>
    </row>
    <row r="400" spans="4:4" ht="12.75">
      <c r="D400" s="61"/>
    </row>
    <row r="401" spans="4:4" ht="12.75">
      <c r="D401" s="61"/>
    </row>
    <row r="402" spans="4:4" ht="12.75">
      <c r="D402" s="61"/>
    </row>
    <row r="403" spans="4:4" ht="12.75">
      <c r="D403" s="61"/>
    </row>
    <row r="404" spans="4:4" ht="12.75">
      <c r="D404" s="61"/>
    </row>
    <row r="405" spans="4:4" ht="12.75">
      <c r="D405" s="61"/>
    </row>
    <row r="406" spans="4:4" ht="12.75">
      <c r="D406" s="61"/>
    </row>
    <row r="407" spans="4:4" ht="12.75">
      <c r="D407" s="61"/>
    </row>
    <row r="408" spans="4:4" ht="12.75">
      <c r="D408" s="61"/>
    </row>
    <row r="409" spans="4:4" ht="12.75">
      <c r="D409" s="61"/>
    </row>
    <row r="410" spans="4:4" ht="12.75">
      <c r="D410" s="61"/>
    </row>
    <row r="411" spans="4:4" ht="12.75">
      <c r="D411" s="61"/>
    </row>
    <row r="412" spans="4:4" ht="12.75">
      <c r="D412" s="61"/>
    </row>
    <row r="413" spans="4:4" ht="12.75">
      <c r="D413" s="61"/>
    </row>
    <row r="414" spans="4:4" ht="12.75">
      <c r="D414" s="61"/>
    </row>
    <row r="415" spans="4:4" ht="12.75">
      <c r="D415" s="61"/>
    </row>
    <row r="416" spans="4:4" ht="12.75">
      <c r="D416" s="61"/>
    </row>
    <row r="417" spans="4:4" ht="12.75">
      <c r="D417" s="61"/>
    </row>
    <row r="418" spans="4:4" ht="12.75">
      <c r="D418" s="61"/>
    </row>
    <row r="419" spans="4:4" ht="12.75">
      <c r="D419" s="61"/>
    </row>
    <row r="420" spans="4:4" ht="12.75">
      <c r="D420" s="61"/>
    </row>
    <row r="421" spans="4:4" ht="12.75">
      <c r="D421" s="61"/>
    </row>
    <row r="422" spans="4:4" ht="12.75">
      <c r="D422" s="61"/>
    </row>
    <row r="423" spans="4:4" ht="12.75">
      <c r="D423" s="61"/>
    </row>
    <row r="424" spans="4:4" ht="12.75">
      <c r="D424" s="61"/>
    </row>
    <row r="425" spans="4:4" ht="12.75">
      <c r="D425" s="61"/>
    </row>
    <row r="426" spans="4:4" ht="12.75">
      <c r="D426" s="61"/>
    </row>
    <row r="427" spans="4:4" ht="12.75">
      <c r="D427" s="61"/>
    </row>
    <row r="428" spans="4:4" ht="12.75">
      <c r="D428" s="61"/>
    </row>
    <row r="429" spans="4:4" ht="12.75">
      <c r="D429" s="61"/>
    </row>
    <row r="430" spans="4:4" ht="12.75">
      <c r="D430" s="61"/>
    </row>
    <row r="431" spans="4:4" ht="12.75">
      <c r="D431" s="61"/>
    </row>
    <row r="432" spans="4:4" ht="12.75">
      <c r="D432" s="61"/>
    </row>
    <row r="433" spans="4:4" ht="12.75">
      <c r="D433" s="61"/>
    </row>
    <row r="434" spans="4:4" ht="12.75">
      <c r="D434" s="61"/>
    </row>
    <row r="435" spans="4:4" ht="12.75">
      <c r="D435" s="61"/>
    </row>
    <row r="436" spans="4:4" ht="12.75">
      <c r="D436" s="61"/>
    </row>
    <row r="437" spans="4:4" ht="12.75">
      <c r="D437" s="61"/>
    </row>
    <row r="438" spans="4:4" ht="12.75">
      <c r="D438" s="61"/>
    </row>
    <row r="439" spans="4:4" ht="12.75">
      <c r="D439" s="61"/>
    </row>
    <row r="440" spans="4:4" ht="12.75">
      <c r="D440" s="61"/>
    </row>
    <row r="441" spans="4:4" ht="12.75">
      <c r="D441" s="61"/>
    </row>
    <row r="442" spans="4:4" ht="12.75">
      <c r="D442" s="61"/>
    </row>
    <row r="443" spans="4:4" ht="12.75">
      <c r="D443" s="61"/>
    </row>
    <row r="444" spans="4:4" ht="12.75">
      <c r="D444" s="61"/>
    </row>
    <row r="445" spans="4:4" ht="12.75">
      <c r="D445" s="61"/>
    </row>
    <row r="446" spans="4:4" ht="12.75">
      <c r="D446" s="61"/>
    </row>
    <row r="447" spans="4:4" ht="12.75">
      <c r="D447" s="61"/>
    </row>
    <row r="448" spans="4:4" ht="12.75">
      <c r="D448" s="61"/>
    </row>
    <row r="449" spans="4:4" ht="12.75">
      <c r="D449" s="61"/>
    </row>
    <row r="450" spans="4:4" ht="12.75">
      <c r="D450" s="61"/>
    </row>
    <row r="451" spans="4:4" ht="12.75">
      <c r="D451" s="61"/>
    </row>
    <row r="452" spans="4:4" ht="12.75">
      <c r="D452" s="61"/>
    </row>
    <row r="453" spans="4:4" ht="12.75">
      <c r="D453" s="61"/>
    </row>
    <row r="454" spans="4:4" ht="12.75">
      <c r="D454" s="61"/>
    </row>
    <row r="455" spans="4:4" ht="12.75">
      <c r="D455" s="61"/>
    </row>
    <row r="456" spans="4:4" ht="12.75">
      <c r="D456" s="61"/>
    </row>
    <row r="457" spans="4:4" ht="12.75">
      <c r="D457" s="61"/>
    </row>
    <row r="458" spans="4:4" ht="12.75">
      <c r="D458" s="61"/>
    </row>
    <row r="459" spans="4:4" ht="12.75">
      <c r="D459" s="61"/>
    </row>
    <row r="460" spans="4:4" ht="12.75">
      <c r="D460" s="61"/>
    </row>
    <row r="461" spans="4:4" ht="12.75">
      <c r="D461" s="61"/>
    </row>
    <row r="462" spans="4:4" ht="12.75">
      <c r="D462" s="61"/>
    </row>
    <row r="463" spans="4:4" ht="12.75">
      <c r="D463" s="61"/>
    </row>
    <row r="464" spans="4:4" ht="12.75">
      <c r="D464" s="61"/>
    </row>
    <row r="465" spans="4:4" ht="12.75">
      <c r="D465" s="61"/>
    </row>
    <row r="466" spans="4:4" ht="12.75">
      <c r="D466" s="61"/>
    </row>
    <row r="467" spans="4:4" ht="12.75">
      <c r="D467" s="61"/>
    </row>
    <row r="468" spans="4:4" ht="12.75">
      <c r="D468" s="61"/>
    </row>
    <row r="469" spans="4:4" ht="12.75">
      <c r="D469" s="61"/>
    </row>
    <row r="470" spans="4:4" ht="12.75">
      <c r="D470" s="61"/>
    </row>
    <row r="471" spans="4:4" ht="12.75">
      <c r="D471" s="61"/>
    </row>
    <row r="472" spans="4:4" ht="12.75">
      <c r="D472" s="61"/>
    </row>
    <row r="473" spans="4:4" ht="12.75">
      <c r="D473" s="61"/>
    </row>
    <row r="474" spans="4:4" ht="12.75">
      <c r="D474" s="61"/>
    </row>
    <row r="475" spans="4:4" ht="12.75">
      <c r="D475" s="61"/>
    </row>
    <row r="476" spans="4:4" ht="12.75">
      <c r="D476" s="61"/>
    </row>
    <row r="477" spans="4:4" ht="12.75">
      <c r="D477" s="61"/>
    </row>
    <row r="478" spans="4:4" ht="12.75">
      <c r="D478" s="61"/>
    </row>
    <row r="479" spans="4:4" ht="12.75">
      <c r="D479" s="61"/>
    </row>
    <row r="480" spans="4:4" ht="12.75">
      <c r="D480" s="61"/>
    </row>
    <row r="481" spans="4:4" ht="12.75">
      <c r="D481" s="61"/>
    </row>
    <row r="482" spans="4:4" ht="12.75">
      <c r="D482" s="61"/>
    </row>
    <row r="483" spans="4:4" ht="12.75">
      <c r="D483" s="61"/>
    </row>
    <row r="484" spans="4:4" ht="12.75">
      <c r="D484" s="61"/>
    </row>
    <row r="485" spans="4:4" ht="12.75">
      <c r="D485" s="61"/>
    </row>
    <row r="486" spans="4:4" ht="12.75">
      <c r="D486" s="61"/>
    </row>
    <row r="487" spans="4:4" ht="12.75">
      <c r="D487" s="61"/>
    </row>
    <row r="488" spans="4:4" ht="12.75">
      <c r="D488" s="61"/>
    </row>
    <row r="489" spans="4:4" ht="12.75">
      <c r="D489" s="61"/>
    </row>
    <row r="490" spans="4:4" ht="12.75">
      <c r="D490" s="61"/>
    </row>
    <row r="491" spans="4:4" ht="12.75">
      <c r="D491" s="61"/>
    </row>
    <row r="492" spans="4:4" ht="12.75">
      <c r="D492" s="61"/>
    </row>
    <row r="493" spans="4:4" ht="12.75">
      <c r="D493" s="61"/>
    </row>
    <row r="494" spans="4:4" ht="12.75">
      <c r="D494" s="61"/>
    </row>
    <row r="495" spans="4:4" ht="12.75">
      <c r="D495" s="61"/>
    </row>
    <row r="496" spans="4:4" ht="12.75">
      <c r="D496" s="61"/>
    </row>
    <row r="497" spans="4:4" ht="12.75">
      <c r="D497" s="61"/>
    </row>
    <row r="498" spans="4:4" ht="12.75">
      <c r="D498" s="61"/>
    </row>
    <row r="499" spans="4:4" ht="12.75">
      <c r="D499" s="61"/>
    </row>
    <row r="500" spans="4:4" ht="12.75">
      <c r="D500" s="61"/>
    </row>
    <row r="501" spans="4:4" ht="12.75">
      <c r="D501" s="61"/>
    </row>
    <row r="502" spans="4:4" ht="12.75">
      <c r="D502" s="61"/>
    </row>
    <row r="503" spans="4:4" ht="12.75">
      <c r="D503" s="61"/>
    </row>
    <row r="504" spans="4:4" ht="12.75">
      <c r="D504" s="61"/>
    </row>
    <row r="505" spans="4:4" ht="12.75">
      <c r="D505" s="61"/>
    </row>
    <row r="506" spans="4:4" ht="12.75">
      <c r="D506" s="61"/>
    </row>
    <row r="507" spans="4:4" ht="12.75">
      <c r="D507" s="61"/>
    </row>
    <row r="508" spans="4:4" ht="12.75">
      <c r="D508" s="61"/>
    </row>
    <row r="509" spans="4:4" ht="12.75">
      <c r="D509" s="61"/>
    </row>
    <row r="510" spans="4:4" ht="12.75">
      <c r="D510" s="61"/>
    </row>
    <row r="511" spans="4:4" ht="12.75">
      <c r="D511" s="61"/>
    </row>
    <row r="512" spans="4:4" ht="12.75">
      <c r="D512" s="61"/>
    </row>
    <row r="513" spans="4:4" ht="12.75">
      <c r="D513" s="61"/>
    </row>
    <row r="514" spans="4:4" ht="12.75">
      <c r="D514" s="61"/>
    </row>
    <row r="515" spans="4:4" ht="12.75">
      <c r="D515" s="61"/>
    </row>
    <row r="516" spans="4:4" ht="12.75">
      <c r="D516" s="61"/>
    </row>
    <row r="517" spans="4:4" ht="12.75">
      <c r="D517" s="61"/>
    </row>
    <row r="518" spans="4:4" ht="12.75">
      <c r="D518" s="61"/>
    </row>
    <row r="519" spans="4:4" ht="12.75">
      <c r="D519" s="61"/>
    </row>
    <row r="520" spans="4:4" ht="12.75">
      <c r="D520" s="61"/>
    </row>
    <row r="521" spans="4:4" ht="12.75">
      <c r="D521" s="61"/>
    </row>
    <row r="522" spans="4:4" ht="12.75">
      <c r="D522" s="61"/>
    </row>
    <row r="523" spans="4:4" ht="12.75">
      <c r="D523" s="61"/>
    </row>
    <row r="524" spans="4:4" ht="12.75">
      <c r="D524" s="61"/>
    </row>
    <row r="525" spans="4:4" ht="12.75">
      <c r="D525" s="61"/>
    </row>
    <row r="526" spans="4:4" ht="12.75">
      <c r="D526" s="61"/>
    </row>
    <row r="527" spans="4:4" ht="12.75">
      <c r="D527" s="61"/>
    </row>
    <row r="528" spans="4:4" ht="12.75">
      <c r="D528" s="61"/>
    </row>
    <row r="529" spans="4:4" ht="12.75">
      <c r="D529" s="61"/>
    </row>
    <row r="530" spans="4:4" ht="12.75">
      <c r="D530" s="61"/>
    </row>
    <row r="531" spans="4:4" ht="12.75">
      <c r="D531" s="61"/>
    </row>
    <row r="532" spans="4:4" ht="12.75">
      <c r="D532" s="61"/>
    </row>
    <row r="533" spans="4:4" ht="12.75">
      <c r="D533" s="61"/>
    </row>
    <row r="534" spans="4:4" ht="12.75">
      <c r="D534" s="61"/>
    </row>
    <row r="535" spans="4:4" ht="12.75">
      <c r="D535" s="61"/>
    </row>
    <row r="536" spans="4:4" ht="12.75">
      <c r="D536" s="61"/>
    </row>
    <row r="537" spans="4:4" ht="12.75">
      <c r="D537" s="61"/>
    </row>
    <row r="538" spans="4:4" ht="12.75">
      <c r="D538" s="61"/>
    </row>
    <row r="539" spans="4:4" ht="12.75">
      <c r="D539" s="61"/>
    </row>
    <row r="540" spans="4:4" ht="12.75">
      <c r="D540" s="61"/>
    </row>
    <row r="541" spans="4:4" ht="12.75">
      <c r="D541" s="61"/>
    </row>
    <row r="542" spans="4:4" ht="12.75">
      <c r="D542" s="61"/>
    </row>
    <row r="543" spans="4:4" ht="12.75">
      <c r="D543" s="61"/>
    </row>
    <row r="544" spans="4:4" ht="12.75">
      <c r="D544" s="61"/>
    </row>
    <row r="545" spans="4:4" ht="12.75">
      <c r="D545" s="61"/>
    </row>
    <row r="546" spans="4:4" ht="12.75">
      <c r="D546" s="61"/>
    </row>
    <row r="547" spans="4:4" ht="12.75">
      <c r="D547" s="61"/>
    </row>
    <row r="548" spans="4:4" ht="12.75">
      <c r="D548" s="61"/>
    </row>
    <row r="549" spans="4:4" ht="12.75">
      <c r="D549" s="61"/>
    </row>
    <row r="550" spans="4:4" ht="12.75">
      <c r="D550" s="61"/>
    </row>
    <row r="551" spans="4:4" ht="12.75">
      <c r="D551" s="61"/>
    </row>
    <row r="552" spans="4:4" ht="12.75">
      <c r="D552" s="61"/>
    </row>
    <row r="553" spans="4:4" ht="12.75">
      <c r="D553" s="61"/>
    </row>
    <row r="554" spans="4:4" ht="12.75">
      <c r="D554" s="61"/>
    </row>
    <row r="555" spans="4:4" ht="12.75">
      <c r="D555" s="61"/>
    </row>
    <row r="556" spans="4:4" ht="12.75">
      <c r="D556" s="61"/>
    </row>
    <row r="557" spans="4:4" ht="12.75">
      <c r="D557" s="61"/>
    </row>
    <row r="558" spans="4:4" ht="12.75">
      <c r="D558" s="61"/>
    </row>
    <row r="559" spans="4:4" ht="12.75">
      <c r="D559" s="61"/>
    </row>
    <row r="560" spans="4:4" ht="12.75">
      <c r="D560" s="61"/>
    </row>
    <row r="561" spans="4:4" ht="12.75">
      <c r="D561" s="61"/>
    </row>
    <row r="562" spans="4:4" ht="12.75">
      <c r="D562" s="61"/>
    </row>
    <row r="563" spans="4:4" ht="12.75">
      <c r="D563" s="61"/>
    </row>
    <row r="564" spans="4:4" ht="12.75">
      <c r="D564" s="61"/>
    </row>
    <row r="565" spans="4:4" ht="12.75">
      <c r="D565" s="61"/>
    </row>
    <row r="566" spans="4:4" ht="12.75">
      <c r="D566" s="61"/>
    </row>
    <row r="567" spans="4:4" ht="12.75">
      <c r="D567" s="61"/>
    </row>
    <row r="568" spans="4:4" ht="12.75">
      <c r="D568" s="61"/>
    </row>
    <row r="569" spans="4:4" ht="12.75">
      <c r="D569" s="61"/>
    </row>
    <row r="570" spans="4:4" ht="12.75">
      <c r="D570" s="61"/>
    </row>
    <row r="571" spans="4:4" ht="12.75">
      <c r="D571" s="61"/>
    </row>
    <row r="572" spans="4:4" ht="12.75">
      <c r="D572" s="61"/>
    </row>
    <row r="573" spans="4:4" ht="12.75">
      <c r="D573" s="61"/>
    </row>
    <row r="574" spans="4:4" ht="12.75">
      <c r="D574" s="61"/>
    </row>
    <row r="575" spans="4:4" ht="12.75">
      <c r="D575" s="61"/>
    </row>
    <row r="576" spans="4:4" ht="12.75">
      <c r="D576" s="61"/>
    </row>
    <row r="577" spans="4:4" ht="12.75">
      <c r="D577" s="61"/>
    </row>
    <row r="578" spans="4:4" ht="12.75">
      <c r="D578" s="61"/>
    </row>
    <row r="579" spans="4:4" ht="12.75">
      <c r="D579" s="61"/>
    </row>
    <row r="580" spans="4:4" ht="12.75">
      <c r="D580" s="61"/>
    </row>
    <row r="581" spans="4:4" ht="12.75">
      <c r="D581" s="61"/>
    </row>
    <row r="582" spans="4:4" ht="12.75">
      <c r="D582" s="61"/>
    </row>
    <row r="583" spans="4:4" ht="12.75">
      <c r="D583" s="61"/>
    </row>
    <row r="584" spans="4:4" ht="12.75">
      <c r="D584" s="61"/>
    </row>
    <row r="585" spans="4:4" ht="12.75">
      <c r="D585" s="61"/>
    </row>
    <row r="586" spans="4:4" ht="12.75">
      <c r="D586" s="61"/>
    </row>
    <row r="587" spans="4:4" ht="12.75">
      <c r="D587" s="61"/>
    </row>
    <row r="588" spans="4:4" ht="12.75">
      <c r="D588" s="61"/>
    </row>
    <row r="589" spans="4:4" ht="12.75">
      <c r="D589" s="61"/>
    </row>
    <row r="590" spans="4:4" ht="12.75">
      <c r="D590" s="61"/>
    </row>
    <row r="591" spans="4:4" ht="12.75">
      <c r="D591" s="61"/>
    </row>
    <row r="592" spans="4:4" ht="12.75">
      <c r="D592" s="61"/>
    </row>
    <row r="593" spans="4:4" ht="12.75">
      <c r="D593" s="61"/>
    </row>
    <row r="594" spans="4:4" ht="12.75">
      <c r="D594" s="61"/>
    </row>
    <row r="595" spans="4:4" ht="12.75">
      <c r="D595" s="61"/>
    </row>
    <row r="596" spans="4:4" ht="12.75">
      <c r="D596" s="61"/>
    </row>
    <row r="597" spans="4:4" ht="12.75">
      <c r="D597" s="61"/>
    </row>
    <row r="598" spans="4:4" ht="12.75">
      <c r="D598" s="61"/>
    </row>
    <row r="599" spans="4:4" ht="12.75">
      <c r="D599" s="61"/>
    </row>
    <row r="600" spans="4:4" ht="12.75">
      <c r="D600" s="61"/>
    </row>
    <row r="601" spans="4:4" ht="12.75">
      <c r="D601" s="61"/>
    </row>
    <row r="602" spans="4:4" ht="12.75">
      <c r="D602" s="61"/>
    </row>
    <row r="603" spans="4:4" ht="12.75">
      <c r="D603" s="61"/>
    </row>
    <row r="604" spans="4:4" ht="12.75">
      <c r="D604" s="61"/>
    </row>
    <row r="605" spans="4:4" ht="12.75">
      <c r="D605" s="61"/>
    </row>
    <row r="606" spans="4:4" ht="12.75">
      <c r="D606" s="61"/>
    </row>
    <row r="607" spans="4:4" ht="12.75">
      <c r="D607" s="61"/>
    </row>
    <row r="608" spans="4:4" ht="12.75">
      <c r="D608" s="61"/>
    </row>
    <row r="609" spans="4:4" ht="12.75">
      <c r="D609" s="61"/>
    </row>
    <row r="610" spans="4:4" ht="12.75">
      <c r="D610" s="61"/>
    </row>
    <row r="611" spans="4:4" ht="12.75">
      <c r="D611" s="61"/>
    </row>
    <row r="612" spans="4:4" ht="12.75">
      <c r="D612" s="61"/>
    </row>
    <row r="613" spans="4:4" ht="12.75">
      <c r="D613" s="61"/>
    </row>
    <row r="614" spans="4:4" ht="12.75">
      <c r="D614" s="61"/>
    </row>
    <row r="615" spans="4:4" ht="12.75">
      <c r="D615" s="61"/>
    </row>
    <row r="616" spans="4:4" ht="12.75">
      <c r="D616" s="61"/>
    </row>
    <row r="617" spans="4:4" ht="12.75">
      <c r="D617" s="61"/>
    </row>
    <row r="618" spans="4:4" ht="12.75">
      <c r="D618" s="61"/>
    </row>
    <row r="619" spans="4:4" ht="12.75">
      <c r="D619" s="61"/>
    </row>
    <row r="620" spans="4:4" ht="12.75">
      <c r="D620" s="61"/>
    </row>
    <row r="621" spans="4:4" ht="12.75">
      <c r="D621" s="61"/>
    </row>
    <row r="622" spans="4:4" ht="12.75">
      <c r="D622" s="61"/>
    </row>
    <row r="623" spans="4:4" ht="12.75">
      <c r="D623" s="61"/>
    </row>
    <row r="624" spans="4:4" ht="12.75">
      <c r="D624" s="61"/>
    </row>
    <row r="625" spans="4:4" ht="12.75">
      <c r="D625" s="61"/>
    </row>
    <row r="626" spans="4:4" ht="12.75">
      <c r="D626" s="61"/>
    </row>
    <row r="627" spans="4:4" ht="12.75">
      <c r="D627" s="61"/>
    </row>
    <row r="628" spans="4:4" ht="12.75">
      <c r="D628" s="61"/>
    </row>
    <row r="629" spans="4:4" ht="12.75">
      <c r="D629" s="61"/>
    </row>
    <row r="630" spans="4:4" ht="12.75">
      <c r="D630" s="61"/>
    </row>
    <row r="631" spans="4:4" ht="12.75">
      <c r="D631" s="61"/>
    </row>
    <row r="632" spans="4:4" ht="12.75">
      <c r="D632" s="61"/>
    </row>
    <row r="633" spans="4:4" ht="12.75">
      <c r="D633" s="61"/>
    </row>
    <row r="634" spans="4:4" ht="12.75">
      <c r="D634" s="61"/>
    </row>
    <row r="635" spans="4:4" ht="12.75">
      <c r="D635" s="61"/>
    </row>
    <row r="636" spans="4:4" ht="12.75">
      <c r="D636" s="61"/>
    </row>
    <row r="637" spans="4:4" ht="12.75">
      <c r="D637" s="61"/>
    </row>
    <row r="638" spans="4:4" ht="12.75">
      <c r="D638" s="61"/>
    </row>
    <row r="639" spans="4:4" ht="12.75">
      <c r="D639" s="61"/>
    </row>
    <row r="640" spans="4:4" ht="12.75">
      <c r="D640" s="61"/>
    </row>
    <row r="641" spans="4:4" ht="12.75">
      <c r="D641" s="61"/>
    </row>
    <row r="642" spans="4:4" ht="12.75">
      <c r="D642" s="61"/>
    </row>
    <row r="643" spans="4:4" ht="12.75">
      <c r="D643" s="61"/>
    </row>
    <row r="644" spans="4:4" ht="12.75">
      <c r="D644" s="61"/>
    </row>
    <row r="645" spans="4:4" ht="12.75">
      <c r="D645" s="61"/>
    </row>
    <row r="646" spans="4:4" ht="12.75">
      <c r="D646" s="61"/>
    </row>
    <row r="647" spans="4:4" ht="12.75">
      <c r="D647" s="61"/>
    </row>
    <row r="648" spans="4:4" ht="12.75">
      <c r="D648" s="61"/>
    </row>
    <row r="649" spans="4:4" ht="12.75">
      <c r="D649" s="61"/>
    </row>
    <row r="650" spans="4:4" ht="12.75">
      <c r="D650" s="61"/>
    </row>
    <row r="651" spans="4:4" ht="12.75">
      <c r="D651" s="61"/>
    </row>
    <row r="652" spans="4:4" ht="12.75">
      <c r="D652" s="61"/>
    </row>
    <row r="653" spans="4:4" ht="12.75">
      <c r="D653" s="61"/>
    </row>
    <row r="654" spans="4:4" ht="12.75">
      <c r="D654" s="61"/>
    </row>
    <row r="655" spans="4:4" ht="12.75">
      <c r="D655" s="61"/>
    </row>
    <row r="656" spans="4:4" ht="12.75">
      <c r="D656" s="61"/>
    </row>
    <row r="657" spans="4:4" ht="12.75">
      <c r="D657" s="61"/>
    </row>
    <row r="658" spans="4:4" ht="12.75">
      <c r="D658" s="61"/>
    </row>
    <row r="659" spans="4:4" ht="12.75">
      <c r="D659" s="61"/>
    </row>
    <row r="660" spans="4:4" ht="12.75">
      <c r="D660" s="61"/>
    </row>
    <row r="661" spans="4:4" ht="12.75">
      <c r="D661" s="61"/>
    </row>
    <row r="662" spans="4:4" ht="12.75">
      <c r="D662" s="61"/>
    </row>
    <row r="663" spans="4:4" ht="12.75">
      <c r="D663" s="61"/>
    </row>
    <row r="664" spans="4:4" ht="12.75">
      <c r="D664" s="61"/>
    </row>
    <row r="665" spans="4:4" ht="12.75">
      <c r="D665" s="61"/>
    </row>
    <row r="666" spans="4:4" ht="12.75">
      <c r="D666" s="61"/>
    </row>
    <row r="667" spans="4:4" ht="12.75">
      <c r="D667" s="61"/>
    </row>
    <row r="668" spans="4:4" ht="12.75">
      <c r="D668" s="61"/>
    </row>
    <row r="669" spans="4:4" ht="12.75">
      <c r="D669" s="61"/>
    </row>
    <row r="670" spans="4:4" ht="12.75">
      <c r="D670" s="61"/>
    </row>
    <row r="671" spans="4:4" ht="12.75">
      <c r="D671" s="61"/>
    </row>
    <row r="672" spans="4:4" ht="12.75">
      <c r="D672" s="61"/>
    </row>
    <row r="673" spans="4:4" ht="12.75">
      <c r="D673" s="61"/>
    </row>
    <row r="674" spans="4:4" ht="12.75">
      <c r="D674" s="61"/>
    </row>
    <row r="675" spans="4:4" ht="12.75">
      <c r="D675" s="61"/>
    </row>
    <row r="676" spans="4:4" ht="12.75">
      <c r="D676" s="61"/>
    </row>
    <row r="677" spans="4:4" ht="12.75">
      <c r="D677" s="61"/>
    </row>
    <row r="678" spans="4:4" ht="12.75">
      <c r="D678" s="61"/>
    </row>
    <row r="679" spans="4:4" ht="12.75">
      <c r="D679" s="61"/>
    </row>
    <row r="680" spans="4:4" ht="12.75">
      <c r="D680" s="61"/>
    </row>
    <row r="681" spans="4:4" ht="12.75">
      <c r="D681" s="61"/>
    </row>
    <row r="682" spans="4:4" ht="12.75">
      <c r="D682" s="61"/>
    </row>
    <row r="683" spans="4:4" ht="12.75">
      <c r="D683" s="61"/>
    </row>
    <row r="684" spans="4:4" ht="12.75">
      <c r="D684" s="61"/>
    </row>
    <row r="685" spans="4:4" ht="12.75">
      <c r="D685" s="61"/>
    </row>
    <row r="686" spans="4:4" ht="12.75">
      <c r="D686" s="61"/>
    </row>
    <row r="687" spans="4:4" ht="12.75">
      <c r="D687" s="61"/>
    </row>
    <row r="688" spans="4:4" ht="12.75">
      <c r="D688" s="61"/>
    </row>
    <row r="689" spans="4:4" ht="12.75">
      <c r="D689" s="61"/>
    </row>
    <row r="690" spans="4:4" ht="12.75">
      <c r="D690" s="61"/>
    </row>
    <row r="691" spans="4:4" ht="12.75">
      <c r="D691" s="61"/>
    </row>
    <row r="692" spans="4:4" ht="12.75">
      <c r="D692" s="61"/>
    </row>
    <row r="693" spans="4:4" ht="12.75">
      <c r="D693" s="61"/>
    </row>
    <row r="694" spans="4:4" ht="12.75">
      <c r="D694" s="61"/>
    </row>
    <row r="695" spans="4:4" ht="12.75">
      <c r="D695" s="61"/>
    </row>
    <row r="696" spans="4:4" ht="12.75">
      <c r="D696" s="61"/>
    </row>
    <row r="697" spans="4:4" ht="12.75">
      <c r="D697" s="61"/>
    </row>
    <row r="698" spans="4:4" ht="12.75">
      <c r="D698" s="61"/>
    </row>
    <row r="699" spans="4:4" ht="12.75">
      <c r="D699" s="61"/>
    </row>
    <row r="700" spans="4:4" ht="12.75">
      <c r="D700" s="61"/>
    </row>
    <row r="701" spans="4:4" ht="12.75">
      <c r="D701" s="61"/>
    </row>
    <row r="702" spans="4:4" ht="12.75">
      <c r="D702" s="61"/>
    </row>
    <row r="703" spans="4:4" ht="12.75">
      <c r="D703" s="61"/>
    </row>
    <row r="704" spans="4:4" ht="12.75">
      <c r="D704" s="61"/>
    </row>
    <row r="705" spans="4:4" ht="12.75">
      <c r="D705" s="61"/>
    </row>
    <row r="706" spans="4:4" ht="12.75">
      <c r="D706" s="61"/>
    </row>
    <row r="707" spans="4:4" ht="12.75">
      <c r="D707" s="61"/>
    </row>
    <row r="708" spans="4:4" ht="12.75">
      <c r="D708" s="61"/>
    </row>
    <row r="709" spans="4:4" ht="12.75">
      <c r="D709" s="61"/>
    </row>
    <row r="710" spans="4:4" ht="12.75">
      <c r="D710" s="61"/>
    </row>
    <row r="711" spans="4:4" ht="12.75">
      <c r="D711" s="61"/>
    </row>
    <row r="712" spans="4:4" ht="12.75">
      <c r="D712" s="61"/>
    </row>
    <row r="713" spans="4:4" ht="12.75">
      <c r="D713" s="61"/>
    </row>
    <row r="714" spans="4:4" ht="12.75">
      <c r="D714" s="61"/>
    </row>
    <row r="715" spans="4:4" ht="12.75">
      <c r="D715" s="61"/>
    </row>
    <row r="716" spans="4:4" ht="12.75">
      <c r="D716" s="61"/>
    </row>
    <row r="717" spans="4:4" ht="12.75">
      <c r="D717" s="61"/>
    </row>
    <row r="718" spans="4:4" ht="12.75">
      <c r="D718" s="61"/>
    </row>
    <row r="719" spans="4:4" ht="12.75">
      <c r="D719" s="61"/>
    </row>
    <row r="720" spans="4:4" ht="12.75">
      <c r="D720" s="61"/>
    </row>
    <row r="721" spans="4:4" ht="12.75">
      <c r="D721" s="61"/>
    </row>
    <row r="722" spans="4:4" ht="12.75">
      <c r="D722" s="61"/>
    </row>
    <row r="723" spans="4:4" ht="12.75">
      <c r="D723" s="61"/>
    </row>
    <row r="724" spans="4:4" ht="12.75">
      <c r="D724" s="61"/>
    </row>
    <row r="725" spans="4:4" ht="12.75">
      <c r="D725" s="61"/>
    </row>
    <row r="726" spans="4:4" ht="12.75">
      <c r="D726" s="61"/>
    </row>
    <row r="727" spans="4:4" ht="12.75">
      <c r="D727" s="61"/>
    </row>
    <row r="728" spans="4:4" ht="12.75">
      <c r="D728" s="61"/>
    </row>
    <row r="729" spans="4:4" ht="12.75">
      <c r="D729" s="61"/>
    </row>
    <row r="730" spans="4:4" ht="12.75">
      <c r="D730" s="61"/>
    </row>
    <row r="731" spans="4:4" ht="12.75">
      <c r="D731" s="61"/>
    </row>
    <row r="732" spans="4:4" ht="12.75">
      <c r="D732" s="61"/>
    </row>
    <row r="733" spans="4:4" ht="12.75">
      <c r="D733" s="61"/>
    </row>
    <row r="734" spans="4:4" ht="12.75">
      <c r="D734" s="61"/>
    </row>
    <row r="735" spans="4:4" ht="12.75">
      <c r="D735" s="61"/>
    </row>
    <row r="736" spans="4:4" ht="12.75">
      <c r="D736" s="61"/>
    </row>
    <row r="737" spans="4:4" ht="12.75">
      <c r="D737" s="61"/>
    </row>
    <row r="738" spans="4:4" ht="12.75">
      <c r="D738" s="61"/>
    </row>
    <row r="739" spans="4:4" ht="12.75">
      <c r="D739" s="61"/>
    </row>
    <row r="740" spans="4:4" ht="12.75">
      <c r="D740" s="61"/>
    </row>
    <row r="741" spans="4:4" ht="12.75">
      <c r="D741" s="61"/>
    </row>
    <row r="742" spans="4:4" ht="12.75">
      <c r="D742" s="61"/>
    </row>
    <row r="743" spans="4:4" ht="12.75">
      <c r="D743" s="61"/>
    </row>
    <row r="744" spans="4:4" ht="12.75">
      <c r="D744" s="61"/>
    </row>
    <row r="745" spans="4:4" ht="12.75">
      <c r="D745" s="61"/>
    </row>
    <row r="746" spans="4:4" ht="12.75">
      <c r="D746" s="61"/>
    </row>
    <row r="747" spans="4:4" ht="12.75">
      <c r="D747" s="61"/>
    </row>
    <row r="748" spans="4:4" ht="12.75">
      <c r="D748" s="61"/>
    </row>
    <row r="749" spans="4:4" ht="12.75">
      <c r="D749" s="61"/>
    </row>
    <row r="750" spans="4:4" ht="12.75">
      <c r="D750" s="61"/>
    </row>
    <row r="751" spans="4:4" ht="12.75">
      <c r="D751" s="61"/>
    </row>
    <row r="752" spans="4:4" ht="12.75">
      <c r="D752" s="61"/>
    </row>
    <row r="753" spans="4:4" ht="12.75">
      <c r="D753" s="61"/>
    </row>
    <row r="754" spans="4:4" ht="12.75">
      <c r="D754" s="61"/>
    </row>
    <row r="755" spans="4:4" ht="12.75">
      <c r="D755" s="61"/>
    </row>
    <row r="756" spans="4:4" ht="12.75">
      <c r="D756" s="61"/>
    </row>
    <row r="757" spans="4:4" ht="12.75">
      <c r="D757" s="61"/>
    </row>
    <row r="758" spans="4:4" ht="12.75">
      <c r="D758" s="61"/>
    </row>
    <row r="759" spans="4:4" ht="12.75">
      <c r="D759" s="61"/>
    </row>
    <row r="760" spans="4:4" ht="12.75">
      <c r="D760" s="61"/>
    </row>
    <row r="761" spans="4:4" ht="12.75">
      <c r="D761" s="61"/>
    </row>
    <row r="762" spans="4:4" ht="12.75">
      <c r="D762" s="61"/>
    </row>
    <row r="763" spans="4:4" ht="12.75">
      <c r="D763" s="61"/>
    </row>
    <row r="764" spans="4:4" ht="12.75">
      <c r="D764" s="61"/>
    </row>
    <row r="765" spans="4:4" ht="12.75">
      <c r="D765" s="61"/>
    </row>
    <row r="766" spans="4:4" ht="12.75">
      <c r="D766" s="61"/>
    </row>
    <row r="767" spans="4:4" ht="12.75">
      <c r="D767" s="61"/>
    </row>
    <row r="768" spans="4:4" ht="12.75">
      <c r="D768" s="61"/>
    </row>
    <row r="769" spans="4:4" ht="12.75">
      <c r="D769" s="61"/>
    </row>
    <row r="770" spans="4:4" ht="12.75">
      <c r="D770" s="61"/>
    </row>
    <row r="771" spans="4:4" ht="12.75">
      <c r="D771" s="61"/>
    </row>
    <row r="772" spans="4:4" ht="12.75">
      <c r="D772" s="61"/>
    </row>
    <row r="773" spans="4:4" ht="12.75">
      <c r="D773" s="61"/>
    </row>
    <row r="774" spans="4:4" ht="12.75">
      <c r="D774" s="61"/>
    </row>
    <row r="775" spans="4:4" ht="12.75">
      <c r="D775" s="61"/>
    </row>
    <row r="776" spans="4:4" ht="12.75">
      <c r="D776" s="61"/>
    </row>
    <row r="777" spans="4:4" ht="12.75">
      <c r="D777" s="61"/>
    </row>
    <row r="778" spans="4:4" ht="12.75">
      <c r="D778" s="61"/>
    </row>
    <row r="779" spans="4:4" ht="12.75">
      <c r="D779" s="61"/>
    </row>
    <row r="780" spans="4:4" ht="12.75">
      <c r="D780" s="61"/>
    </row>
    <row r="781" spans="4:4" ht="12.75">
      <c r="D781" s="61"/>
    </row>
    <row r="782" spans="4:4" ht="12.75">
      <c r="D782" s="61"/>
    </row>
    <row r="783" spans="4:4" ht="12.75">
      <c r="D783" s="61"/>
    </row>
    <row r="784" spans="4:4" ht="12.75">
      <c r="D784" s="61"/>
    </row>
    <row r="785" spans="4:4" ht="12.75">
      <c r="D785" s="61"/>
    </row>
    <row r="786" spans="4:4" ht="12.75">
      <c r="D786" s="61"/>
    </row>
    <row r="787" spans="4:4" ht="12.75">
      <c r="D787" s="61"/>
    </row>
    <row r="788" spans="4:4" ht="12.75">
      <c r="D788" s="61"/>
    </row>
    <row r="789" spans="4:4" ht="12.75">
      <c r="D789" s="61"/>
    </row>
    <row r="790" spans="4:4" ht="12.75">
      <c r="D790" s="61"/>
    </row>
    <row r="791" spans="4:4" ht="12.75">
      <c r="D791" s="61"/>
    </row>
    <row r="792" spans="4:4" ht="12.75">
      <c r="D792" s="61"/>
    </row>
    <row r="793" spans="4:4" ht="12.75">
      <c r="D793" s="61"/>
    </row>
    <row r="794" spans="4:4" ht="12.75">
      <c r="D794" s="61"/>
    </row>
    <row r="795" spans="4:4" ht="12.75">
      <c r="D795" s="61"/>
    </row>
    <row r="796" spans="4:4" ht="12.75">
      <c r="D796" s="61"/>
    </row>
    <row r="797" spans="4:4" ht="12.75">
      <c r="D797" s="61"/>
    </row>
    <row r="798" spans="4:4" ht="12.75">
      <c r="D798" s="61"/>
    </row>
    <row r="799" spans="4:4" ht="12.75">
      <c r="D799" s="61"/>
    </row>
    <row r="800" spans="4:4" ht="12.75">
      <c r="D800" s="61"/>
    </row>
    <row r="801" spans="4:4" ht="12.75">
      <c r="D801" s="61"/>
    </row>
    <row r="802" spans="4:4" ht="12.75">
      <c r="D802" s="61"/>
    </row>
    <row r="803" spans="4:4" ht="12.75">
      <c r="D803" s="61"/>
    </row>
    <row r="804" spans="4:4" ht="12.75">
      <c r="D804" s="61"/>
    </row>
    <row r="805" spans="4:4" ht="12.75">
      <c r="D805" s="61"/>
    </row>
    <row r="806" spans="4:4" ht="12.75">
      <c r="D806" s="61"/>
    </row>
    <row r="807" spans="4:4" ht="12.75">
      <c r="D807" s="61"/>
    </row>
    <row r="808" spans="4:4" ht="12.75">
      <c r="D808" s="61"/>
    </row>
    <row r="809" spans="4:4" ht="12.75">
      <c r="D809" s="61"/>
    </row>
    <row r="810" spans="4:4" ht="12.75">
      <c r="D810" s="61"/>
    </row>
    <row r="811" spans="4:4" ht="12.75">
      <c r="D811" s="61"/>
    </row>
    <row r="812" spans="4:4" ht="12.75">
      <c r="D812" s="61"/>
    </row>
    <row r="813" spans="4:4" ht="12.75">
      <c r="D813" s="61"/>
    </row>
    <row r="814" spans="4:4" ht="12.75">
      <c r="D814" s="61"/>
    </row>
    <row r="815" spans="4:4" ht="12.75">
      <c r="D815" s="61"/>
    </row>
    <row r="816" spans="4:4" ht="12.75">
      <c r="D816" s="61"/>
    </row>
    <row r="817" spans="4:4" ht="12.75">
      <c r="D817" s="61"/>
    </row>
    <row r="818" spans="4:4" ht="12.75">
      <c r="D818" s="61"/>
    </row>
    <row r="819" spans="4:4" ht="12.75">
      <c r="D819" s="61"/>
    </row>
    <row r="820" spans="4:4" ht="12.75">
      <c r="D820" s="61"/>
    </row>
    <row r="821" spans="4:4" ht="12.75">
      <c r="D821" s="61"/>
    </row>
    <row r="822" spans="4:4" ht="12.75">
      <c r="D822" s="61"/>
    </row>
    <row r="823" spans="4:4" ht="12.75">
      <c r="D823" s="61"/>
    </row>
    <row r="824" spans="4:4" ht="12.75">
      <c r="D824" s="61"/>
    </row>
    <row r="825" spans="4:4" ht="12.75">
      <c r="D825" s="61"/>
    </row>
    <row r="826" spans="4:4" ht="12.75">
      <c r="D826" s="61"/>
    </row>
    <row r="827" spans="4:4" ht="12.75">
      <c r="D827" s="61"/>
    </row>
    <row r="828" spans="4:4" ht="12.75">
      <c r="D828" s="61"/>
    </row>
    <row r="829" spans="4:4" ht="12.75">
      <c r="D829" s="61"/>
    </row>
    <row r="830" spans="4:4" ht="12.75">
      <c r="D830" s="61"/>
    </row>
    <row r="831" spans="4:4" ht="12.75">
      <c r="D831" s="61"/>
    </row>
    <row r="832" spans="4:4" ht="12.75">
      <c r="D832" s="61"/>
    </row>
    <row r="833" spans="4:4" ht="12.75">
      <c r="D833" s="61"/>
    </row>
    <row r="834" spans="4:4" ht="12.75">
      <c r="D834" s="61"/>
    </row>
    <row r="835" spans="4:4" ht="12.75">
      <c r="D835" s="61"/>
    </row>
    <row r="836" spans="4:4" ht="12.75">
      <c r="D836" s="61"/>
    </row>
    <row r="837" spans="4:4" ht="12.75">
      <c r="D837" s="61"/>
    </row>
    <row r="838" spans="4:4" ht="12.75">
      <c r="D838" s="61"/>
    </row>
    <row r="839" spans="4:4" ht="12.75">
      <c r="D839" s="61"/>
    </row>
    <row r="840" spans="4:4" ht="12.75">
      <c r="D840" s="61"/>
    </row>
    <row r="841" spans="4:4" ht="12.75">
      <c r="D841" s="61"/>
    </row>
    <row r="842" spans="4:4" ht="12.75">
      <c r="D842" s="61"/>
    </row>
    <row r="843" spans="4:4" ht="12.75">
      <c r="D843" s="61"/>
    </row>
    <row r="844" spans="4:4" ht="12.75">
      <c r="D844" s="61"/>
    </row>
    <row r="845" spans="4:4" ht="12.75">
      <c r="D845" s="61"/>
    </row>
    <row r="846" spans="4:4" ht="12.75">
      <c r="D846" s="61"/>
    </row>
    <row r="847" spans="4:4" ht="12.75">
      <c r="D847" s="61"/>
    </row>
    <row r="848" spans="4:4" ht="12.75">
      <c r="D848" s="61"/>
    </row>
    <row r="849" spans="4:4" ht="12.75">
      <c r="D849" s="61"/>
    </row>
    <row r="850" spans="4:4" ht="12.75">
      <c r="D850" s="61"/>
    </row>
    <row r="851" spans="4:4" ht="12.75">
      <c r="D851" s="61"/>
    </row>
    <row r="852" spans="4:4" ht="12.75">
      <c r="D852" s="61"/>
    </row>
    <row r="853" spans="4:4" ht="12.75">
      <c r="D853" s="61"/>
    </row>
    <row r="854" spans="4:4" ht="12.75">
      <c r="D854" s="61"/>
    </row>
    <row r="855" spans="4:4" ht="12.75">
      <c r="D855" s="61"/>
    </row>
    <row r="856" spans="4:4" ht="12.75">
      <c r="D856" s="61"/>
    </row>
    <row r="857" spans="4:4" ht="12.75">
      <c r="D857" s="61"/>
    </row>
    <row r="858" spans="4:4" ht="12.75">
      <c r="D858" s="61"/>
    </row>
    <row r="859" spans="4:4" ht="12.75">
      <c r="D859" s="61"/>
    </row>
    <row r="860" spans="4:4" ht="12.75">
      <c r="D860" s="61"/>
    </row>
    <row r="861" spans="4:4" ht="12.75">
      <c r="D861" s="61"/>
    </row>
    <row r="862" spans="4:4" ht="12.75">
      <c r="D862" s="61"/>
    </row>
    <row r="863" spans="4:4" ht="12.75">
      <c r="D863" s="61"/>
    </row>
    <row r="864" spans="4:4" ht="12.75">
      <c r="D864" s="61"/>
    </row>
    <row r="865" spans="4:4" ht="12.75">
      <c r="D865" s="61"/>
    </row>
    <row r="866" spans="4:4" ht="12.75">
      <c r="D866" s="61"/>
    </row>
    <row r="867" spans="4:4" ht="12.75">
      <c r="D867" s="61"/>
    </row>
    <row r="868" spans="4:4" ht="12.75">
      <c r="D868" s="61"/>
    </row>
    <row r="869" spans="4:4" ht="12.75">
      <c r="D869" s="61"/>
    </row>
    <row r="870" spans="4:4" ht="12.75">
      <c r="D870" s="61"/>
    </row>
    <row r="871" spans="4:4" ht="12.75">
      <c r="D871" s="61"/>
    </row>
    <row r="872" spans="4:4" ht="12.75">
      <c r="D872" s="61"/>
    </row>
    <row r="873" spans="4:4" ht="12.75">
      <c r="D873" s="61"/>
    </row>
    <row r="874" spans="4:4" ht="12.75">
      <c r="D874" s="61"/>
    </row>
    <row r="875" spans="4:4" ht="12.75">
      <c r="D875" s="61"/>
    </row>
    <row r="876" spans="4:4" ht="12.75">
      <c r="D876" s="61"/>
    </row>
    <row r="877" spans="4:4" ht="12.75">
      <c r="D877" s="61"/>
    </row>
    <row r="878" spans="4:4" ht="12.75">
      <c r="D878" s="61"/>
    </row>
    <row r="879" spans="4:4" ht="12.75">
      <c r="D879" s="61"/>
    </row>
    <row r="880" spans="4:4" ht="12.75">
      <c r="D880" s="61"/>
    </row>
    <row r="881" spans="4:4" ht="12.75">
      <c r="D881" s="61"/>
    </row>
    <row r="882" spans="4:4" ht="12.75">
      <c r="D882" s="61"/>
    </row>
    <row r="883" spans="4:4" ht="12.75">
      <c r="D883" s="61"/>
    </row>
    <row r="884" spans="4:4" ht="12.75">
      <c r="D884" s="61"/>
    </row>
    <row r="885" spans="4:4" ht="12.75">
      <c r="D885" s="61"/>
    </row>
    <row r="886" spans="4:4" ht="12.75">
      <c r="D886" s="61"/>
    </row>
    <row r="887" spans="4:4" ht="12.75">
      <c r="D887" s="61"/>
    </row>
    <row r="888" spans="4:4" ht="12.75">
      <c r="D888" s="61"/>
    </row>
    <row r="889" spans="4:4" ht="12.75">
      <c r="D889" s="61"/>
    </row>
    <row r="890" spans="4:4" ht="12.75">
      <c r="D890" s="61"/>
    </row>
    <row r="891" spans="4:4" ht="12.75">
      <c r="D891" s="61"/>
    </row>
    <row r="892" spans="4:4" ht="12.75">
      <c r="D892" s="61"/>
    </row>
    <row r="893" spans="4:4" ht="12.75">
      <c r="D893" s="61"/>
    </row>
    <row r="894" spans="4:4" ht="12.75">
      <c r="D894" s="61"/>
    </row>
    <row r="895" spans="4:4" ht="12.75">
      <c r="D895" s="61"/>
    </row>
    <row r="896" spans="4:4" ht="12.75">
      <c r="D896" s="61"/>
    </row>
    <row r="897" spans="4:4" ht="12.75">
      <c r="D897" s="61"/>
    </row>
    <row r="898" spans="4:4" ht="12.75">
      <c r="D898" s="61"/>
    </row>
    <row r="899" spans="4:4" ht="12.75">
      <c r="D899" s="61"/>
    </row>
    <row r="900" spans="4:4" ht="12.75">
      <c r="D900" s="61"/>
    </row>
    <row r="901" spans="4:4" ht="12.75">
      <c r="D901" s="61"/>
    </row>
    <row r="902" spans="4:4" ht="12.75">
      <c r="D902" s="61"/>
    </row>
    <row r="903" spans="4:4" ht="12.75">
      <c r="D903" s="61"/>
    </row>
    <row r="904" spans="4:4" ht="12.75">
      <c r="D904" s="61"/>
    </row>
    <row r="905" spans="4:4" ht="12.75">
      <c r="D905" s="61"/>
    </row>
    <row r="906" spans="4:4" ht="12.75">
      <c r="D906" s="61"/>
    </row>
    <row r="907" spans="4:4" ht="12.75">
      <c r="D907" s="61"/>
    </row>
    <row r="908" spans="4:4" ht="12.75">
      <c r="D908" s="61"/>
    </row>
    <row r="909" spans="4:4" ht="12.75">
      <c r="D909" s="61"/>
    </row>
    <row r="910" spans="4:4" ht="12.75">
      <c r="D910" s="61"/>
    </row>
    <row r="911" spans="4:4" ht="12.75">
      <c r="D911" s="61"/>
    </row>
    <row r="912" spans="4:4" ht="12.75">
      <c r="D912" s="61"/>
    </row>
    <row r="913" spans="4:4" ht="12.75">
      <c r="D913" s="61"/>
    </row>
    <row r="914" spans="4:4" ht="12.75">
      <c r="D914" s="61"/>
    </row>
    <row r="915" spans="4:4" ht="12.75">
      <c r="D915" s="61"/>
    </row>
    <row r="916" spans="4:4" ht="12.75">
      <c r="D916" s="61"/>
    </row>
    <row r="917" spans="4:4" ht="12.75">
      <c r="D917" s="61"/>
    </row>
    <row r="918" spans="4:4" ht="12.75">
      <c r="D918" s="61"/>
    </row>
    <row r="919" spans="4:4" ht="12.75">
      <c r="D919" s="61"/>
    </row>
    <row r="920" spans="4:4" ht="12.75">
      <c r="D920" s="61"/>
    </row>
    <row r="921" spans="4:4" ht="12.75">
      <c r="D921" s="61"/>
    </row>
    <row r="922" spans="4:4" ht="12.75">
      <c r="D922" s="61"/>
    </row>
    <row r="923" spans="4:4" ht="12.75">
      <c r="D923" s="61"/>
    </row>
    <row r="924" spans="4:4" ht="12.75">
      <c r="D924" s="61"/>
    </row>
    <row r="925" spans="4:4" ht="12.75">
      <c r="D925" s="61"/>
    </row>
    <row r="926" spans="4:4" ht="12.75">
      <c r="D926" s="61"/>
    </row>
    <row r="927" spans="4:4" ht="12.75">
      <c r="D927" s="61"/>
    </row>
    <row r="928" spans="4:4" ht="12.75">
      <c r="D928" s="61"/>
    </row>
    <row r="929" spans="4:4" ht="12.75">
      <c r="D929" s="61"/>
    </row>
    <row r="930" spans="4:4" ht="12.75">
      <c r="D930" s="61"/>
    </row>
    <row r="931" spans="4:4" ht="12.75">
      <c r="D931" s="61"/>
    </row>
    <row r="932" spans="4:4" ht="12.75">
      <c r="D932" s="61"/>
    </row>
    <row r="933" spans="4:4" ht="12.75">
      <c r="D933" s="61"/>
    </row>
    <row r="934" spans="4:4" ht="12.75">
      <c r="D934" s="61"/>
    </row>
    <row r="935" spans="4:4" ht="12.75">
      <c r="D935" s="61"/>
    </row>
    <row r="936" spans="4:4" ht="12.75">
      <c r="D936" s="61"/>
    </row>
    <row r="937" spans="4:4" ht="12.75">
      <c r="D937" s="61"/>
    </row>
    <row r="938" spans="4:4" ht="12.75">
      <c r="D938" s="61"/>
    </row>
    <row r="939" spans="4:4" ht="12.75">
      <c r="D939" s="61"/>
    </row>
    <row r="940" spans="4:4" ht="12.75">
      <c r="D940" s="61"/>
    </row>
    <row r="941" spans="4:4" ht="12.75">
      <c r="D941" s="61"/>
    </row>
    <row r="942" spans="4:4" ht="12.75">
      <c r="D942" s="61"/>
    </row>
    <row r="943" spans="4:4" ht="12.75">
      <c r="D943" s="61"/>
    </row>
    <row r="944" spans="4:4" ht="12.75">
      <c r="D944" s="61"/>
    </row>
    <row r="945" spans="4:4" ht="12.75">
      <c r="D945" s="61"/>
    </row>
    <row r="946" spans="4:4" ht="12.75">
      <c r="D946" s="61"/>
    </row>
    <row r="947" spans="4:4" ht="12.75">
      <c r="D947" s="61"/>
    </row>
    <row r="948" spans="4:4" ht="12.75">
      <c r="D948" s="61"/>
    </row>
    <row r="949" spans="4:4" ht="12.75">
      <c r="D949" s="61"/>
    </row>
    <row r="950" spans="4:4" ht="12.75">
      <c r="D950" s="61"/>
    </row>
    <row r="951" spans="4:4" ht="12.75">
      <c r="D951" s="61"/>
    </row>
    <row r="952" spans="4:4" ht="12.75">
      <c r="D952" s="61"/>
    </row>
    <row r="953" spans="4:4" ht="12.75">
      <c r="D953" s="61"/>
    </row>
    <row r="954" spans="4:4" ht="12.75">
      <c r="D954" s="61"/>
    </row>
    <row r="955" spans="4:4" ht="12.75">
      <c r="D955" s="61"/>
    </row>
    <row r="956" spans="4:4" ht="12.75">
      <c r="D956" s="61"/>
    </row>
    <row r="957" spans="4:4" ht="12.75">
      <c r="D957" s="61"/>
    </row>
    <row r="958" spans="4:4" ht="12.75">
      <c r="D958" s="61"/>
    </row>
    <row r="959" spans="4:4" ht="12.75">
      <c r="D959" s="61"/>
    </row>
    <row r="960" spans="4:4" ht="12.75">
      <c r="D960" s="61"/>
    </row>
    <row r="961" spans="4:4" ht="12.75">
      <c r="D961" s="61"/>
    </row>
    <row r="962" spans="4:4" ht="12.75">
      <c r="D962" s="61"/>
    </row>
    <row r="963" spans="4:4" ht="12.75">
      <c r="D963" s="61"/>
    </row>
    <row r="964" spans="4:4" ht="12.75">
      <c r="D964" s="61"/>
    </row>
    <row r="965" spans="4:4" ht="12.75">
      <c r="D965" s="61"/>
    </row>
    <row r="966" spans="4:4" ht="12.75">
      <c r="D966" s="61"/>
    </row>
    <row r="967" spans="4:4" ht="12.75">
      <c r="D967" s="61"/>
    </row>
    <row r="968" spans="4:4" ht="12.75">
      <c r="D968" s="61"/>
    </row>
    <row r="969" spans="4:4" ht="12.75">
      <c r="D969" s="61"/>
    </row>
    <row r="970" spans="4:4" ht="12.75">
      <c r="D970" s="61"/>
    </row>
    <row r="971" spans="4:4" ht="12.75">
      <c r="D971" s="61"/>
    </row>
    <row r="972" spans="4:4" ht="12.75">
      <c r="D972" s="61"/>
    </row>
    <row r="973" spans="4:4" ht="12.75">
      <c r="D973" s="61"/>
    </row>
    <row r="974" spans="4:4" ht="12.75">
      <c r="D974" s="61"/>
    </row>
    <row r="975" spans="4:4" ht="12.75">
      <c r="D975" s="61"/>
    </row>
    <row r="976" spans="4:4" ht="12.75">
      <c r="D976" s="61"/>
    </row>
    <row r="977" spans="4:4" ht="12.75">
      <c r="D977" s="61"/>
    </row>
    <row r="978" spans="4:4" ht="12.75">
      <c r="D978" s="61"/>
    </row>
    <row r="979" spans="4:4" ht="12.75">
      <c r="D979" s="61"/>
    </row>
    <row r="980" spans="4:4" ht="12.75">
      <c r="D980" s="61"/>
    </row>
    <row r="981" spans="4:4" ht="12.75">
      <c r="D981" s="61"/>
    </row>
    <row r="982" spans="4:4" ht="12.75">
      <c r="D982" s="61"/>
    </row>
    <row r="983" spans="4:4" ht="12.75">
      <c r="D983" s="61"/>
    </row>
    <row r="984" spans="4:4" ht="12.75">
      <c r="D984" s="61"/>
    </row>
    <row r="985" spans="4:4" ht="12.75">
      <c r="D985" s="61"/>
    </row>
    <row r="986" spans="4:4" ht="12.75">
      <c r="D986" s="61"/>
    </row>
    <row r="987" spans="4:4" ht="12.75">
      <c r="D987" s="61"/>
    </row>
    <row r="988" spans="4:4" ht="12.75">
      <c r="D988" s="61"/>
    </row>
    <row r="989" spans="4:4" ht="12.75">
      <c r="D989" s="61"/>
    </row>
    <row r="990" spans="4:4" ht="12.75">
      <c r="D990" s="61"/>
    </row>
    <row r="991" spans="4:4" ht="12.75">
      <c r="D991" s="61"/>
    </row>
    <row r="992" spans="4:4" ht="12.75">
      <c r="D992" s="61"/>
    </row>
    <row r="993" spans="4:4" ht="12.75">
      <c r="D993" s="61"/>
    </row>
    <row r="994" spans="4:4" ht="12.75">
      <c r="D994" s="61"/>
    </row>
    <row r="995" spans="4:4" ht="12.75">
      <c r="D995" s="61"/>
    </row>
    <row r="996" spans="4:4" ht="12.75">
      <c r="D996" s="61"/>
    </row>
    <row r="997" spans="4:4" ht="12.75">
      <c r="D997" s="61"/>
    </row>
    <row r="998" spans="4:4" ht="12.75">
      <c r="D998" s="61"/>
    </row>
    <row r="999" spans="4:4" ht="12.75">
      <c r="D999" s="61"/>
    </row>
  </sheetData>
  <customSheetViews>
    <customSheetView guid="{E79D1D05-9F65-4414-A4D1-ED3DAE422003}" filter="1" showAutoFilter="1">
      <pageMargins left="0.7" right="0.7" top="0.75" bottom="0.75" header="0.3" footer="0.3"/>
      <autoFilter ref="A1:M159" xr:uid="{00000000-0000-0000-0000-000000000000}"/>
    </customSheetView>
  </customSheetView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D1:F1618"/>
  <sheetViews>
    <sheetView workbookViewId="0"/>
  </sheetViews>
  <sheetFormatPr baseColWidth="10" defaultColWidth="14.42578125" defaultRowHeight="15.75" customHeight="1"/>
  <cols>
    <col min="4" max="4" width="36" customWidth="1"/>
    <col min="5" max="5" width="14.140625" customWidth="1"/>
    <col min="6" max="6" width="36.28515625" customWidth="1"/>
  </cols>
  <sheetData>
    <row r="1" spans="4:6" ht="15.75" customHeight="1">
      <c r="D1" s="47" t="s">
        <v>768</v>
      </c>
      <c r="E1" s="48" t="s">
        <v>769</v>
      </c>
      <c r="F1" s="49" t="s">
        <v>770</v>
      </c>
    </row>
    <row r="2" spans="4:6" ht="15.75" customHeight="1">
      <c r="D2" s="50" t="s">
        <v>771</v>
      </c>
      <c r="E2" s="51" t="s">
        <v>772</v>
      </c>
      <c r="F2" s="52" t="s">
        <v>773</v>
      </c>
    </row>
    <row r="3" spans="4:6" ht="15.75" customHeight="1">
      <c r="D3" s="53" t="s">
        <v>774</v>
      </c>
      <c r="E3" s="54" t="s">
        <v>775</v>
      </c>
      <c r="F3" s="55" t="s">
        <v>776</v>
      </c>
    </row>
    <row r="4" spans="4:6" ht="15.75" customHeight="1">
      <c r="D4" s="53" t="s">
        <v>777</v>
      </c>
      <c r="E4" s="54" t="s">
        <v>31</v>
      </c>
      <c r="F4" s="55" t="s">
        <v>778</v>
      </c>
    </row>
    <row r="5" spans="4:6" ht="15.75" customHeight="1">
      <c r="D5" s="53" t="s">
        <v>779</v>
      </c>
      <c r="E5" s="54" t="s">
        <v>39</v>
      </c>
      <c r="F5" s="55" t="s">
        <v>780</v>
      </c>
    </row>
    <row r="6" spans="4:6" ht="15.75" customHeight="1">
      <c r="D6" s="53" t="s">
        <v>781</v>
      </c>
      <c r="E6" s="54" t="s">
        <v>782</v>
      </c>
      <c r="F6" s="55" t="s">
        <v>783</v>
      </c>
    </row>
    <row r="7" spans="4:6" ht="15.75" customHeight="1">
      <c r="D7" s="53" t="s">
        <v>784</v>
      </c>
      <c r="E7" s="54" t="s">
        <v>785</v>
      </c>
      <c r="F7" s="55" t="s">
        <v>786</v>
      </c>
    </row>
    <row r="8" spans="4:6" ht="15.75" customHeight="1">
      <c r="D8" s="53" t="s">
        <v>787</v>
      </c>
      <c r="E8" s="54" t="s">
        <v>788</v>
      </c>
      <c r="F8" s="55" t="s">
        <v>789</v>
      </c>
    </row>
    <row r="9" spans="4:6" ht="15.75" customHeight="1">
      <c r="D9" s="53" t="s">
        <v>790</v>
      </c>
      <c r="E9" s="54" t="s">
        <v>95</v>
      </c>
      <c r="F9" s="55" t="s">
        <v>791</v>
      </c>
    </row>
    <row r="10" spans="4:6" ht="15.75" customHeight="1">
      <c r="D10" s="53" t="s">
        <v>792</v>
      </c>
      <c r="E10" s="54" t="s">
        <v>793</v>
      </c>
      <c r="F10" s="55" t="s">
        <v>794</v>
      </c>
    </row>
    <row r="11" spans="4:6" ht="15.75" customHeight="1">
      <c r="D11" s="53" t="s">
        <v>795</v>
      </c>
      <c r="E11" s="54" t="s">
        <v>796</v>
      </c>
      <c r="F11" s="55" t="s">
        <v>797</v>
      </c>
    </row>
    <row r="12" spans="4:6" ht="15.75" customHeight="1">
      <c r="D12" s="53" t="s">
        <v>798</v>
      </c>
      <c r="E12" s="54" t="s">
        <v>799</v>
      </c>
      <c r="F12" s="55" t="s">
        <v>800</v>
      </c>
    </row>
    <row r="13" spans="4:6" ht="15.75" customHeight="1">
      <c r="D13" s="53" t="s">
        <v>801</v>
      </c>
      <c r="E13" s="54" t="s">
        <v>40</v>
      </c>
      <c r="F13" s="54" t="s">
        <v>802</v>
      </c>
    </row>
    <row r="14" spans="4:6" ht="15.75" customHeight="1">
      <c r="D14" s="53" t="s">
        <v>803</v>
      </c>
      <c r="E14" s="54" t="s">
        <v>804</v>
      </c>
      <c r="F14" s="54" t="s">
        <v>805</v>
      </c>
    </row>
    <row r="15" spans="4:6" ht="15.75" customHeight="1">
      <c r="D15" s="53" t="s">
        <v>806</v>
      </c>
      <c r="E15" s="54" t="s">
        <v>807</v>
      </c>
      <c r="F15" s="54" t="s">
        <v>808</v>
      </c>
    </row>
    <row r="16" spans="4:6" ht="15.75" customHeight="1">
      <c r="D16" s="53" t="s">
        <v>809</v>
      </c>
      <c r="E16" s="54" t="s">
        <v>810</v>
      </c>
      <c r="F16" s="54" t="s">
        <v>811</v>
      </c>
    </row>
    <row r="17" spans="4:6" ht="15.75" customHeight="1">
      <c r="D17" s="53" t="s">
        <v>812</v>
      </c>
      <c r="E17" s="54" t="s">
        <v>813</v>
      </c>
      <c r="F17" s="54" t="s">
        <v>814</v>
      </c>
    </row>
    <row r="18" spans="4:6" ht="15">
      <c r="D18" s="53" t="s">
        <v>815</v>
      </c>
      <c r="E18" s="54"/>
      <c r="F18" s="56"/>
    </row>
    <row r="19" spans="4:6" ht="15.75" customHeight="1">
      <c r="D19" s="53" t="s">
        <v>816</v>
      </c>
      <c r="E19" s="54" t="s">
        <v>817</v>
      </c>
      <c r="F19" s="54" t="s">
        <v>818</v>
      </c>
    </row>
    <row r="20" spans="4:6" ht="15.75" customHeight="1">
      <c r="D20" s="53" t="s">
        <v>819</v>
      </c>
      <c r="E20" s="54" t="s">
        <v>820</v>
      </c>
      <c r="F20" s="54" t="s">
        <v>821</v>
      </c>
    </row>
    <row r="21" spans="4:6" ht="15.75" customHeight="1">
      <c r="D21" s="53" t="s">
        <v>822</v>
      </c>
      <c r="E21" s="54" t="s">
        <v>823</v>
      </c>
      <c r="F21" s="54" t="s">
        <v>824</v>
      </c>
    </row>
    <row r="22" spans="4:6" ht="15.75" customHeight="1">
      <c r="D22" s="53" t="s">
        <v>825</v>
      </c>
      <c r="E22" s="54" t="s">
        <v>826</v>
      </c>
      <c r="F22" s="54" t="s">
        <v>827</v>
      </c>
    </row>
    <row r="23" spans="4:6" ht="15.75" customHeight="1">
      <c r="D23" s="53" t="s">
        <v>828</v>
      </c>
      <c r="E23" s="54" t="s">
        <v>83</v>
      </c>
      <c r="F23" s="55" t="s">
        <v>829</v>
      </c>
    </row>
    <row r="24" spans="4:6" ht="12.75">
      <c r="D24" s="53" t="s">
        <v>830</v>
      </c>
      <c r="E24" s="54" t="s">
        <v>831</v>
      </c>
      <c r="F24" s="54" t="s">
        <v>832</v>
      </c>
    </row>
    <row r="25" spans="4:6" ht="12.75">
      <c r="D25" s="53" t="s">
        <v>833</v>
      </c>
      <c r="E25" s="54" t="s">
        <v>834</v>
      </c>
      <c r="F25" s="55" t="s">
        <v>835</v>
      </c>
    </row>
    <row r="26" spans="4:6" ht="12.75">
      <c r="D26" s="53" t="s">
        <v>836</v>
      </c>
      <c r="E26" s="54" t="s">
        <v>837</v>
      </c>
      <c r="F26" s="54" t="s">
        <v>838</v>
      </c>
    </row>
    <row r="27" spans="4:6" ht="12.75">
      <c r="D27" s="53" t="s">
        <v>839</v>
      </c>
      <c r="E27" s="54" t="s">
        <v>840</v>
      </c>
      <c r="F27" s="55" t="s">
        <v>841</v>
      </c>
    </row>
    <row r="28" spans="4:6" ht="12.75">
      <c r="D28" s="53" t="s">
        <v>815</v>
      </c>
      <c r="E28" s="54"/>
      <c r="F28" s="54"/>
    </row>
    <row r="29" spans="4:6" ht="12.75">
      <c r="D29" s="53" t="s">
        <v>842</v>
      </c>
      <c r="E29" s="54" t="s">
        <v>843</v>
      </c>
      <c r="F29" s="54" t="s">
        <v>844</v>
      </c>
    </row>
    <row r="30" spans="4:6" ht="12.75">
      <c r="D30" s="53" t="s">
        <v>845</v>
      </c>
      <c r="E30" s="54" t="s">
        <v>846</v>
      </c>
      <c r="F30" s="54" t="s">
        <v>847</v>
      </c>
    </row>
    <row r="31" spans="4:6" ht="12.75">
      <c r="D31" s="53" t="s">
        <v>848</v>
      </c>
      <c r="E31" s="54" t="s">
        <v>849</v>
      </c>
      <c r="F31" s="54"/>
    </row>
    <row r="32" spans="4:6" ht="12.75">
      <c r="D32" s="53" t="s">
        <v>850</v>
      </c>
      <c r="E32" s="54" t="s">
        <v>851</v>
      </c>
      <c r="F32" s="55"/>
    </row>
    <row r="33" spans="4:6" ht="12.75">
      <c r="D33" s="53" t="s">
        <v>852</v>
      </c>
      <c r="E33" s="54" t="s">
        <v>853</v>
      </c>
      <c r="F33" s="54" t="s">
        <v>854</v>
      </c>
    </row>
    <row r="34" spans="4:6" ht="12.75">
      <c r="D34" s="53" t="s">
        <v>855</v>
      </c>
      <c r="E34" s="54" t="s">
        <v>856</v>
      </c>
      <c r="F34" s="54" t="s">
        <v>857</v>
      </c>
    </row>
    <row r="35" spans="4:6" ht="12.75">
      <c r="D35" s="53" t="s">
        <v>858</v>
      </c>
      <c r="E35" s="54" t="s">
        <v>859</v>
      </c>
      <c r="F35" s="54" t="s">
        <v>860</v>
      </c>
    </row>
    <row r="36" spans="4:6" ht="12.75">
      <c r="D36" s="53" t="s">
        <v>861</v>
      </c>
      <c r="E36" s="54" t="s">
        <v>862</v>
      </c>
      <c r="F36" s="54" t="s">
        <v>863</v>
      </c>
    </row>
    <row r="37" spans="4:6" ht="12.75">
      <c r="D37" s="53" t="s">
        <v>815</v>
      </c>
      <c r="E37" s="54"/>
      <c r="F37" s="54"/>
    </row>
    <row r="38" spans="4:6" ht="12.75">
      <c r="D38" s="53" t="s">
        <v>864</v>
      </c>
      <c r="E38" s="54" t="s">
        <v>865</v>
      </c>
      <c r="F38" s="54" t="s">
        <v>866</v>
      </c>
    </row>
    <row r="39" spans="4:6" ht="12.75">
      <c r="D39" s="53" t="s">
        <v>867</v>
      </c>
      <c r="E39" s="54" t="s">
        <v>868</v>
      </c>
      <c r="F39" s="54" t="s">
        <v>869</v>
      </c>
    </row>
    <row r="40" spans="4:6" ht="12.75">
      <c r="D40" s="53" t="s">
        <v>870</v>
      </c>
      <c r="E40" s="54" t="s">
        <v>871</v>
      </c>
      <c r="F40" s="54" t="s">
        <v>872</v>
      </c>
    </row>
    <row r="41" spans="4:6" ht="12.75">
      <c r="D41" s="53" t="s">
        <v>873</v>
      </c>
      <c r="E41" s="54" t="s">
        <v>874</v>
      </c>
      <c r="F41" s="54" t="s">
        <v>875</v>
      </c>
    </row>
    <row r="42" spans="4:6" ht="12.75">
      <c r="D42" s="53" t="s">
        <v>876</v>
      </c>
      <c r="E42" s="54" t="s">
        <v>877</v>
      </c>
      <c r="F42" s="54" t="s">
        <v>878</v>
      </c>
    </row>
    <row r="43" spans="4:6" ht="12.75">
      <c r="D43" s="53" t="s">
        <v>879</v>
      </c>
      <c r="E43" s="54" t="s">
        <v>880</v>
      </c>
      <c r="F43" s="54" t="s">
        <v>881</v>
      </c>
    </row>
    <row r="44" spans="4:6" ht="12.75">
      <c r="D44" s="53" t="s">
        <v>882</v>
      </c>
      <c r="E44" s="54" t="s">
        <v>883</v>
      </c>
      <c r="F44" s="54" t="s">
        <v>884</v>
      </c>
    </row>
    <row r="45" spans="4:6" ht="12.75">
      <c r="D45" s="53" t="s">
        <v>885</v>
      </c>
      <c r="E45" s="54" t="s">
        <v>886</v>
      </c>
      <c r="F45" s="55" t="s">
        <v>887</v>
      </c>
    </row>
    <row r="46" spans="4:6" ht="12.75">
      <c r="D46" s="53" t="s">
        <v>888</v>
      </c>
      <c r="E46" s="54" t="s">
        <v>889</v>
      </c>
      <c r="F46" s="55" t="s">
        <v>890</v>
      </c>
    </row>
    <row r="47" spans="4:6" ht="12.75">
      <c r="D47" s="53" t="s">
        <v>891</v>
      </c>
      <c r="E47" s="54" t="s">
        <v>892</v>
      </c>
      <c r="F47" s="54" t="s">
        <v>893</v>
      </c>
    </row>
    <row r="48" spans="4:6" ht="12.75">
      <c r="D48" s="53" t="s">
        <v>894</v>
      </c>
      <c r="E48" s="54" t="s">
        <v>895</v>
      </c>
      <c r="F48" s="55" t="s">
        <v>896</v>
      </c>
    </row>
    <row r="49" spans="4:6" ht="12.75">
      <c r="D49" s="53" t="s">
        <v>897</v>
      </c>
      <c r="E49" s="54" t="s">
        <v>898</v>
      </c>
      <c r="F49" s="54" t="s">
        <v>899</v>
      </c>
    </row>
    <row r="50" spans="4:6" ht="12.75">
      <c r="D50" s="53" t="s">
        <v>900</v>
      </c>
      <c r="E50" s="54" t="s">
        <v>901</v>
      </c>
      <c r="F50" s="54" t="s">
        <v>902</v>
      </c>
    </row>
    <row r="51" spans="4:6" ht="12.75">
      <c r="D51" s="53" t="s">
        <v>903</v>
      </c>
      <c r="E51" s="54" t="s">
        <v>904</v>
      </c>
      <c r="F51" s="54" t="s">
        <v>905</v>
      </c>
    </row>
    <row r="52" spans="4:6" ht="12.75">
      <c r="D52" s="53" t="s">
        <v>906</v>
      </c>
      <c r="E52" s="54" t="s">
        <v>907</v>
      </c>
      <c r="F52" s="54"/>
    </row>
    <row r="53" spans="4:6" ht="12.75">
      <c r="D53" s="53" t="s">
        <v>908</v>
      </c>
      <c r="E53" s="54" t="s">
        <v>909</v>
      </c>
      <c r="F53" s="54" t="s">
        <v>910</v>
      </c>
    </row>
    <row r="54" spans="4:6" ht="12.75">
      <c r="D54" s="53" t="s">
        <v>911</v>
      </c>
      <c r="E54" s="54" t="s">
        <v>912</v>
      </c>
      <c r="F54" s="54" t="s">
        <v>913</v>
      </c>
    </row>
    <row r="55" spans="4:6" ht="12.75">
      <c r="D55" s="53" t="s">
        <v>914</v>
      </c>
      <c r="E55" s="54" t="s">
        <v>56</v>
      </c>
      <c r="F55" s="54" t="s">
        <v>915</v>
      </c>
    </row>
    <row r="56" spans="4:6" ht="12.75">
      <c r="D56" s="53" t="s">
        <v>916</v>
      </c>
      <c r="E56" s="54" t="s">
        <v>917</v>
      </c>
      <c r="F56" s="54" t="s">
        <v>918</v>
      </c>
    </row>
    <row r="57" spans="4:6" ht="12.75">
      <c r="D57" s="53" t="s">
        <v>919</v>
      </c>
      <c r="E57" s="54" t="s">
        <v>920</v>
      </c>
      <c r="F57" s="54" t="s">
        <v>921</v>
      </c>
    </row>
    <row r="58" spans="4:6" ht="12.75">
      <c r="D58" s="53" t="s">
        <v>922</v>
      </c>
      <c r="E58" s="54" t="s">
        <v>923</v>
      </c>
      <c r="F58" s="54" t="s">
        <v>924</v>
      </c>
    </row>
    <row r="59" spans="4:6" ht="12.75">
      <c r="D59" s="53" t="s">
        <v>925</v>
      </c>
      <c r="E59" s="54" t="s">
        <v>926</v>
      </c>
      <c r="F59" s="54" t="s">
        <v>927</v>
      </c>
    </row>
    <row r="60" spans="4:6" ht="12.75">
      <c r="D60" s="53" t="s">
        <v>928</v>
      </c>
      <c r="E60" s="54" t="s">
        <v>929</v>
      </c>
      <c r="F60" s="54" t="s">
        <v>930</v>
      </c>
    </row>
    <row r="61" spans="4:6" ht="12.75">
      <c r="D61" s="53" t="s">
        <v>931</v>
      </c>
      <c r="E61" s="54" t="s">
        <v>932</v>
      </c>
      <c r="F61" s="54" t="s">
        <v>933</v>
      </c>
    </row>
    <row r="62" spans="4:6" ht="12.75">
      <c r="D62" s="53" t="s">
        <v>934</v>
      </c>
      <c r="E62" s="54" t="s">
        <v>935</v>
      </c>
      <c r="F62" s="54" t="s">
        <v>936</v>
      </c>
    </row>
    <row r="63" spans="4:6" ht="12.75">
      <c r="D63" s="53" t="s">
        <v>937</v>
      </c>
      <c r="E63" s="54" t="s">
        <v>938</v>
      </c>
      <c r="F63" s="54" t="s">
        <v>939</v>
      </c>
    </row>
    <row r="64" spans="4:6" ht="12.75">
      <c r="D64" s="53" t="s">
        <v>940</v>
      </c>
      <c r="E64" s="54" t="s">
        <v>941</v>
      </c>
      <c r="F64" s="54" t="s">
        <v>942</v>
      </c>
    </row>
    <row r="65" spans="4:6" ht="12.75">
      <c r="D65" s="53" t="s">
        <v>943</v>
      </c>
      <c r="E65" s="54" t="s">
        <v>944</v>
      </c>
      <c r="F65" s="54" t="s">
        <v>945</v>
      </c>
    </row>
    <row r="66" spans="4:6" ht="12.75">
      <c r="D66" s="53" t="s">
        <v>815</v>
      </c>
      <c r="E66" s="54"/>
      <c r="F66" s="54"/>
    </row>
    <row r="67" spans="4:6" ht="12.75">
      <c r="D67" s="53" t="s">
        <v>946</v>
      </c>
      <c r="E67" s="54" t="s">
        <v>947</v>
      </c>
      <c r="F67" s="54" t="s">
        <v>948</v>
      </c>
    </row>
    <row r="68" spans="4:6" ht="12.75">
      <c r="D68" s="53" t="s">
        <v>949</v>
      </c>
      <c r="E68" s="54" t="s">
        <v>950</v>
      </c>
      <c r="F68" s="54" t="s">
        <v>951</v>
      </c>
    </row>
    <row r="69" spans="4:6" ht="12.75">
      <c r="D69" s="53" t="s">
        <v>952</v>
      </c>
      <c r="E69" s="54" t="s">
        <v>953</v>
      </c>
      <c r="F69" s="54" t="s">
        <v>954</v>
      </c>
    </row>
    <row r="70" spans="4:6" ht="12.75">
      <c r="D70" s="53" t="s">
        <v>955</v>
      </c>
      <c r="E70" s="54" t="s">
        <v>956</v>
      </c>
      <c r="F70" s="54" t="s">
        <v>957</v>
      </c>
    </row>
    <row r="71" spans="4:6" ht="12.75">
      <c r="D71" s="53" t="s">
        <v>958</v>
      </c>
      <c r="E71" s="54" t="s">
        <v>959</v>
      </c>
      <c r="F71" s="54" t="s">
        <v>960</v>
      </c>
    </row>
    <row r="72" spans="4:6" ht="12.75">
      <c r="D72" s="53" t="s">
        <v>961</v>
      </c>
      <c r="E72" s="54" t="s">
        <v>962</v>
      </c>
      <c r="F72" s="54" t="s">
        <v>963</v>
      </c>
    </row>
    <row r="73" spans="4:6" ht="12.75">
      <c r="D73" s="53" t="s">
        <v>964</v>
      </c>
      <c r="E73" s="54" t="s">
        <v>965</v>
      </c>
      <c r="F73" s="54" t="s">
        <v>966</v>
      </c>
    </row>
    <row r="74" spans="4:6" ht="12.75">
      <c r="D74" s="53" t="s">
        <v>967</v>
      </c>
      <c r="E74" s="54" t="s">
        <v>968</v>
      </c>
      <c r="F74" s="54" t="s">
        <v>969</v>
      </c>
    </row>
    <row r="75" spans="4:6" ht="12.75">
      <c r="D75" s="53" t="s">
        <v>970</v>
      </c>
      <c r="E75" s="54" t="s">
        <v>971</v>
      </c>
      <c r="F75" s="54" t="s">
        <v>972</v>
      </c>
    </row>
    <row r="76" spans="4:6" ht="12.75">
      <c r="D76" s="53" t="s">
        <v>973</v>
      </c>
      <c r="E76" s="54" t="s">
        <v>974</v>
      </c>
      <c r="F76" s="54" t="s">
        <v>975</v>
      </c>
    </row>
    <row r="77" spans="4:6" ht="12.75">
      <c r="D77" s="53" t="s">
        <v>976</v>
      </c>
      <c r="E77" s="54" t="s">
        <v>977</v>
      </c>
      <c r="F77" s="55" t="s">
        <v>978</v>
      </c>
    </row>
    <row r="78" spans="4:6" ht="12.75">
      <c r="D78" s="53" t="s">
        <v>979</v>
      </c>
      <c r="E78" s="54" t="s">
        <v>980</v>
      </c>
      <c r="F78" s="54" t="s">
        <v>981</v>
      </c>
    </row>
    <row r="79" spans="4:6" ht="12.75">
      <c r="D79" s="53" t="s">
        <v>982</v>
      </c>
      <c r="E79" s="54" t="s">
        <v>983</v>
      </c>
      <c r="F79" s="54" t="s">
        <v>984</v>
      </c>
    </row>
    <row r="80" spans="4:6" ht="12.75">
      <c r="D80" s="53" t="s">
        <v>985</v>
      </c>
      <c r="E80" s="54" t="s">
        <v>986</v>
      </c>
      <c r="F80" s="54" t="s">
        <v>987</v>
      </c>
    </row>
    <row r="81" spans="4:6" ht="12.75">
      <c r="D81" s="53" t="s">
        <v>988</v>
      </c>
      <c r="E81" s="54" t="s">
        <v>989</v>
      </c>
      <c r="F81" s="54" t="s">
        <v>990</v>
      </c>
    </row>
    <row r="82" spans="4:6" ht="12.75">
      <c r="D82" s="53" t="s">
        <v>991</v>
      </c>
      <c r="E82" s="54" t="s">
        <v>992</v>
      </c>
      <c r="F82" s="54" t="s">
        <v>993</v>
      </c>
    </row>
    <row r="83" spans="4:6" ht="12.75">
      <c r="D83" s="53" t="s">
        <v>994</v>
      </c>
      <c r="E83" s="54" t="s">
        <v>995</v>
      </c>
      <c r="F83" s="54" t="s">
        <v>996</v>
      </c>
    </row>
    <row r="84" spans="4:6" ht="12.75">
      <c r="D84" s="53" t="s">
        <v>997</v>
      </c>
      <c r="E84" s="54" t="s">
        <v>998</v>
      </c>
      <c r="F84" s="54" t="s">
        <v>999</v>
      </c>
    </row>
    <row r="85" spans="4:6" ht="12.75">
      <c r="D85" s="53" t="s">
        <v>1000</v>
      </c>
      <c r="E85" s="54" t="s">
        <v>1001</v>
      </c>
      <c r="F85" s="54" t="s">
        <v>1002</v>
      </c>
    </row>
    <row r="86" spans="4:6" ht="12.75">
      <c r="D86" s="53" t="s">
        <v>1003</v>
      </c>
      <c r="E86" s="54" t="s">
        <v>1004</v>
      </c>
      <c r="F86" s="54" t="s">
        <v>1005</v>
      </c>
    </row>
    <row r="87" spans="4:6" ht="12.75">
      <c r="D87" s="53" t="s">
        <v>1006</v>
      </c>
      <c r="E87" s="54" t="s">
        <v>1007</v>
      </c>
      <c r="F87" s="54" t="s">
        <v>1008</v>
      </c>
    </row>
    <row r="88" spans="4:6" ht="12.75">
      <c r="D88" s="53" t="s">
        <v>1009</v>
      </c>
      <c r="E88" s="54" t="s">
        <v>1010</v>
      </c>
      <c r="F88" s="54" t="s">
        <v>1011</v>
      </c>
    </row>
    <row r="89" spans="4:6" ht="12.75">
      <c r="D89" s="53" t="s">
        <v>1012</v>
      </c>
      <c r="E89" s="54" t="s">
        <v>1013</v>
      </c>
      <c r="F89" s="54" t="s">
        <v>1014</v>
      </c>
    </row>
    <row r="90" spans="4:6" ht="12.75">
      <c r="D90" s="53" t="s">
        <v>1015</v>
      </c>
      <c r="E90" s="54" t="s">
        <v>1016</v>
      </c>
      <c r="F90" s="54" t="s">
        <v>1017</v>
      </c>
    </row>
    <row r="91" spans="4:6" ht="12.75">
      <c r="D91" s="53" t="s">
        <v>1018</v>
      </c>
      <c r="E91" s="54" t="s">
        <v>1019</v>
      </c>
      <c r="F91" s="54" t="s">
        <v>1020</v>
      </c>
    </row>
    <row r="92" spans="4:6" ht="12.75">
      <c r="D92" s="53" t="s">
        <v>1021</v>
      </c>
      <c r="E92" s="54" t="s">
        <v>1022</v>
      </c>
      <c r="F92" s="54" t="s">
        <v>1023</v>
      </c>
    </row>
    <row r="93" spans="4:6" ht="12.75">
      <c r="D93" s="53" t="s">
        <v>1024</v>
      </c>
      <c r="E93" s="54" t="s">
        <v>1025</v>
      </c>
      <c r="F93" s="54" t="s">
        <v>1026</v>
      </c>
    </row>
    <row r="94" spans="4:6" ht="12.75">
      <c r="D94" s="53" t="s">
        <v>1027</v>
      </c>
      <c r="E94" s="54" t="s">
        <v>1028</v>
      </c>
      <c r="F94" s="54" t="s">
        <v>1029</v>
      </c>
    </row>
    <row r="95" spans="4:6" ht="12.75">
      <c r="D95" s="53" t="s">
        <v>1030</v>
      </c>
      <c r="E95" s="54" t="s">
        <v>1031</v>
      </c>
      <c r="F95" s="54" t="s">
        <v>1032</v>
      </c>
    </row>
    <row r="96" spans="4:6" ht="12.75">
      <c r="D96" s="53" t="s">
        <v>1033</v>
      </c>
      <c r="E96" s="54" t="s">
        <v>1034</v>
      </c>
      <c r="F96" s="54" t="s">
        <v>1035</v>
      </c>
    </row>
    <row r="97" spans="4:6" ht="12.75">
      <c r="D97" s="53" t="s">
        <v>1036</v>
      </c>
      <c r="E97" s="54" t="s">
        <v>1037</v>
      </c>
      <c r="F97" s="54" t="s">
        <v>1038</v>
      </c>
    </row>
    <row r="98" spans="4:6" ht="12.75">
      <c r="D98" s="53" t="s">
        <v>1039</v>
      </c>
      <c r="E98" s="54" t="s">
        <v>1040</v>
      </c>
      <c r="F98" s="54" t="s">
        <v>1041</v>
      </c>
    </row>
    <row r="99" spans="4:6" ht="12.75">
      <c r="D99" s="53" t="s">
        <v>1042</v>
      </c>
      <c r="E99" s="54" t="s">
        <v>1043</v>
      </c>
      <c r="F99" s="54" t="s">
        <v>1044</v>
      </c>
    </row>
    <row r="100" spans="4:6" ht="12.75">
      <c r="D100" s="53" t="s">
        <v>1045</v>
      </c>
      <c r="E100" s="54" t="s">
        <v>1046</v>
      </c>
      <c r="F100" s="55" t="s">
        <v>1047</v>
      </c>
    </row>
    <row r="101" spans="4:6" ht="12.75">
      <c r="D101" s="53" t="s">
        <v>1048</v>
      </c>
      <c r="E101" s="54" t="s">
        <v>1049</v>
      </c>
      <c r="F101" s="55" t="s">
        <v>1050</v>
      </c>
    </row>
    <row r="102" spans="4:6" ht="12.75">
      <c r="D102" s="53" t="s">
        <v>1051</v>
      </c>
      <c r="E102" s="54" t="s">
        <v>1052</v>
      </c>
      <c r="F102" s="54" t="s">
        <v>1053</v>
      </c>
    </row>
    <row r="103" spans="4:6" ht="12.75">
      <c r="D103" s="53" t="s">
        <v>1054</v>
      </c>
      <c r="E103" s="54" t="s">
        <v>1055</v>
      </c>
      <c r="F103" s="54" t="s">
        <v>1056</v>
      </c>
    </row>
    <row r="104" spans="4:6" ht="12.75">
      <c r="D104" s="53" t="s">
        <v>1057</v>
      </c>
      <c r="E104" s="54" t="s">
        <v>1058</v>
      </c>
      <c r="F104" s="54" t="s">
        <v>1059</v>
      </c>
    </row>
    <row r="105" spans="4:6" ht="12.75">
      <c r="D105" s="53" t="s">
        <v>1060</v>
      </c>
      <c r="E105" s="54" t="s">
        <v>1061</v>
      </c>
      <c r="F105" s="54" t="s">
        <v>1062</v>
      </c>
    </row>
    <row r="106" spans="4:6" ht="12.75">
      <c r="D106" s="53" t="s">
        <v>1063</v>
      </c>
      <c r="E106" s="54" t="s">
        <v>1064</v>
      </c>
      <c r="F106" s="54" t="s">
        <v>1065</v>
      </c>
    </row>
    <row r="107" spans="4:6" ht="12.75">
      <c r="D107" s="53" t="s">
        <v>1066</v>
      </c>
      <c r="E107" s="54" t="s">
        <v>1067</v>
      </c>
      <c r="F107" s="55" t="s">
        <v>1068</v>
      </c>
    </row>
    <row r="108" spans="4:6" ht="12.75">
      <c r="D108" s="53" t="s">
        <v>1069</v>
      </c>
      <c r="E108" s="54" t="s">
        <v>1070</v>
      </c>
      <c r="F108" s="54" t="s">
        <v>1071</v>
      </c>
    </row>
    <row r="109" spans="4:6" ht="12.75">
      <c r="D109" s="53" t="s">
        <v>1072</v>
      </c>
      <c r="E109" s="54" t="s">
        <v>1073</v>
      </c>
      <c r="F109" s="54" t="s">
        <v>1074</v>
      </c>
    </row>
    <row r="110" spans="4:6" ht="12.75">
      <c r="D110" s="53" t="s">
        <v>1075</v>
      </c>
      <c r="E110" s="54" t="s">
        <v>1076</v>
      </c>
      <c r="F110" s="54" t="s">
        <v>1077</v>
      </c>
    </row>
    <row r="111" spans="4:6" ht="12.75">
      <c r="D111" s="53" t="s">
        <v>1078</v>
      </c>
      <c r="E111" s="54" t="s">
        <v>1079</v>
      </c>
      <c r="F111" s="54" t="s">
        <v>1080</v>
      </c>
    </row>
    <row r="112" spans="4:6" ht="12.75">
      <c r="D112" s="53" t="s">
        <v>1081</v>
      </c>
      <c r="E112" s="54" t="s">
        <v>1082</v>
      </c>
      <c r="F112" s="54" t="s">
        <v>1083</v>
      </c>
    </row>
    <row r="113" spans="4:6" ht="12.75">
      <c r="D113" s="53" t="s">
        <v>1084</v>
      </c>
      <c r="E113" s="54" t="s">
        <v>1085</v>
      </c>
      <c r="F113" s="54" t="s">
        <v>1086</v>
      </c>
    </row>
    <row r="114" spans="4:6" ht="12.75">
      <c r="D114" s="53" t="s">
        <v>1087</v>
      </c>
      <c r="E114" s="54" t="s">
        <v>1088</v>
      </c>
      <c r="F114" s="54" t="s">
        <v>1089</v>
      </c>
    </row>
    <row r="115" spans="4:6" ht="12.75">
      <c r="D115" s="53" t="s">
        <v>1090</v>
      </c>
      <c r="E115" s="54" t="s">
        <v>1091</v>
      </c>
      <c r="F115" s="54" t="s">
        <v>1092</v>
      </c>
    </row>
    <row r="116" spans="4:6" ht="12.75">
      <c r="D116" s="53" t="s">
        <v>1093</v>
      </c>
      <c r="E116" s="54" t="s">
        <v>1094</v>
      </c>
      <c r="F116" s="54" t="s">
        <v>1095</v>
      </c>
    </row>
    <row r="117" spans="4:6" ht="12.75">
      <c r="D117" s="53" t="s">
        <v>1096</v>
      </c>
      <c r="E117" s="54" t="s">
        <v>1097</v>
      </c>
      <c r="F117" s="54" t="s">
        <v>1098</v>
      </c>
    </row>
    <row r="118" spans="4:6" ht="12.75">
      <c r="D118" s="53" t="s">
        <v>1099</v>
      </c>
      <c r="E118" s="54" t="s">
        <v>1100</v>
      </c>
      <c r="F118" s="54" t="s">
        <v>1101</v>
      </c>
    </row>
    <row r="119" spans="4:6" ht="12.75">
      <c r="D119" s="53" t="s">
        <v>1102</v>
      </c>
      <c r="E119" s="54" t="s">
        <v>1103</v>
      </c>
      <c r="F119" s="54" t="s">
        <v>1104</v>
      </c>
    </row>
    <row r="120" spans="4:6" ht="12.75">
      <c r="D120" s="53" t="s">
        <v>1105</v>
      </c>
      <c r="E120" s="54" t="s">
        <v>1106</v>
      </c>
      <c r="F120" s="54" t="s">
        <v>1107</v>
      </c>
    </row>
    <row r="121" spans="4:6" ht="12.75">
      <c r="D121" s="53" t="s">
        <v>1108</v>
      </c>
      <c r="E121" s="54" t="s">
        <v>1109</v>
      </c>
      <c r="F121" s="54" t="s">
        <v>1110</v>
      </c>
    </row>
    <row r="122" spans="4:6" ht="12.75">
      <c r="D122" s="53" t="s">
        <v>1111</v>
      </c>
      <c r="E122" s="54" t="s">
        <v>1112</v>
      </c>
      <c r="F122" s="54" t="s">
        <v>1113</v>
      </c>
    </row>
    <row r="123" spans="4:6" ht="12.75">
      <c r="D123" s="53" t="s">
        <v>1114</v>
      </c>
      <c r="E123" s="54" t="s">
        <v>1115</v>
      </c>
      <c r="F123" s="54" t="s">
        <v>1116</v>
      </c>
    </row>
    <row r="124" spans="4:6" ht="12.75">
      <c r="D124" s="53" t="s">
        <v>1117</v>
      </c>
      <c r="E124" s="54" t="s">
        <v>1118</v>
      </c>
      <c r="F124" s="54" t="s">
        <v>1119</v>
      </c>
    </row>
    <row r="125" spans="4:6" ht="12.75">
      <c r="D125" s="53" t="s">
        <v>1120</v>
      </c>
      <c r="E125" s="54" t="s">
        <v>1121</v>
      </c>
      <c r="F125" s="55" t="s">
        <v>1122</v>
      </c>
    </row>
    <row r="126" spans="4:6" ht="12.75">
      <c r="D126" s="53" t="s">
        <v>1123</v>
      </c>
      <c r="E126" s="54" t="s">
        <v>1124</v>
      </c>
      <c r="F126" s="54" t="s">
        <v>1125</v>
      </c>
    </row>
    <row r="127" spans="4:6" ht="12.75">
      <c r="D127" s="53" t="s">
        <v>1126</v>
      </c>
      <c r="E127" s="54" t="s">
        <v>1127</v>
      </c>
      <c r="F127" s="54" t="s">
        <v>1128</v>
      </c>
    </row>
    <row r="128" spans="4:6" ht="12.75">
      <c r="D128" s="53" t="s">
        <v>1129</v>
      </c>
      <c r="E128" s="54" t="s">
        <v>1130</v>
      </c>
      <c r="F128" s="54" t="s">
        <v>1131</v>
      </c>
    </row>
    <row r="129" spans="4:6" ht="12.75">
      <c r="D129" s="53" t="s">
        <v>1132</v>
      </c>
      <c r="E129" s="54" t="s">
        <v>1133</v>
      </c>
      <c r="F129" s="55" t="s">
        <v>1134</v>
      </c>
    </row>
    <row r="130" spans="4:6" ht="12.75">
      <c r="D130" s="53" t="s">
        <v>1135</v>
      </c>
      <c r="E130" s="54" t="s">
        <v>1136</v>
      </c>
      <c r="F130" s="55" t="s">
        <v>1137</v>
      </c>
    </row>
    <row r="131" spans="4:6" ht="12.75">
      <c r="D131" s="53" t="s">
        <v>1138</v>
      </c>
      <c r="E131" s="54" t="s">
        <v>1139</v>
      </c>
      <c r="F131" s="54" t="s">
        <v>1140</v>
      </c>
    </row>
    <row r="132" spans="4:6" ht="12.75">
      <c r="D132" s="53" t="s">
        <v>1141</v>
      </c>
      <c r="E132" s="54" t="s">
        <v>1142</v>
      </c>
      <c r="F132" s="54" t="s">
        <v>1143</v>
      </c>
    </row>
    <row r="133" spans="4:6" ht="12.75">
      <c r="D133" s="53" t="s">
        <v>1144</v>
      </c>
      <c r="E133" s="54" t="s">
        <v>1145</v>
      </c>
      <c r="F133" s="54" t="s">
        <v>1146</v>
      </c>
    </row>
    <row r="134" spans="4:6" ht="12.75">
      <c r="D134" s="53" t="s">
        <v>1147</v>
      </c>
      <c r="E134" s="54" t="s">
        <v>1148</v>
      </c>
      <c r="F134" s="54" t="s">
        <v>1149</v>
      </c>
    </row>
    <row r="135" spans="4:6" ht="12.75">
      <c r="D135" s="53" t="s">
        <v>1150</v>
      </c>
      <c r="E135" s="54" t="s">
        <v>1151</v>
      </c>
      <c r="F135" s="54" t="s">
        <v>1152</v>
      </c>
    </row>
    <row r="136" spans="4:6" ht="12.75">
      <c r="D136" s="53" t="s">
        <v>1153</v>
      </c>
      <c r="E136" s="54" t="s">
        <v>1154</v>
      </c>
      <c r="F136" s="54" t="s">
        <v>1155</v>
      </c>
    </row>
    <row r="137" spans="4:6" ht="12.75">
      <c r="D137" s="53" t="s">
        <v>1156</v>
      </c>
      <c r="E137" s="54" t="s">
        <v>1157</v>
      </c>
      <c r="F137" s="54" t="s">
        <v>1158</v>
      </c>
    </row>
    <row r="138" spans="4:6" ht="12.75">
      <c r="D138" s="53" t="s">
        <v>1159</v>
      </c>
      <c r="E138" s="54" t="s">
        <v>1160</v>
      </c>
      <c r="F138" s="54" t="s">
        <v>1161</v>
      </c>
    </row>
    <row r="139" spans="4:6" ht="12.75">
      <c r="D139" s="53" t="s">
        <v>1162</v>
      </c>
      <c r="E139" s="54" t="s">
        <v>1163</v>
      </c>
      <c r="F139" s="54" t="s">
        <v>1164</v>
      </c>
    </row>
    <row r="140" spans="4:6" ht="12.75">
      <c r="D140" s="53" t="s">
        <v>1165</v>
      </c>
      <c r="E140" s="54" t="s">
        <v>1166</v>
      </c>
      <c r="F140" s="54" t="s">
        <v>1167</v>
      </c>
    </row>
    <row r="141" spans="4:6" ht="12.75">
      <c r="D141" s="53" t="s">
        <v>1168</v>
      </c>
      <c r="E141" s="54" t="s">
        <v>1169</v>
      </c>
      <c r="F141" s="54" t="s">
        <v>1170</v>
      </c>
    </row>
    <row r="142" spans="4:6" ht="12.75">
      <c r="D142" s="53" t="s">
        <v>1171</v>
      </c>
      <c r="E142" s="54" t="s">
        <v>1172</v>
      </c>
      <c r="F142" s="54" t="s">
        <v>1173</v>
      </c>
    </row>
    <row r="143" spans="4:6" ht="12.75">
      <c r="D143" s="53" t="s">
        <v>1174</v>
      </c>
      <c r="E143" s="54" t="s">
        <v>1175</v>
      </c>
      <c r="F143" s="54" t="s">
        <v>1176</v>
      </c>
    </row>
    <row r="144" spans="4:6" ht="12.75">
      <c r="D144" s="53" t="s">
        <v>1177</v>
      </c>
      <c r="E144" s="54" t="s">
        <v>1178</v>
      </c>
      <c r="F144" s="54" t="s">
        <v>1179</v>
      </c>
    </row>
    <row r="145" spans="4:6" ht="12.75">
      <c r="D145" s="53" t="s">
        <v>1180</v>
      </c>
      <c r="E145" s="54" t="s">
        <v>1181</v>
      </c>
      <c r="F145" s="54" t="s">
        <v>1182</v>
      </c>
    </row>
    <row r="146" spans="4:6" ht="12.75">
      <c r="D146" s="53" t="s">
        <v>1183</v>
      </c>
      <c r="E146" s="54" t="s">
        <v>1184</v>
      </c>
      <c r="F146" s="54"/>
    </row>
    <row r="147" spans="4:6" ht="12.75">
      <c r="D147" s="53" t="s">
        <v>815</v>
      </c>
      <c r="E147" s="54"/>
      <c r="F147" s="54"/>
    </row>
    <row r="148" spans="4:6" ht="12.75">
      <c r="D148" s="53" t="s">
        <v>1185</v>
      </c>
      <c r="E148" s="54" t="s">
        <v>1186</v>
      </c>
      <c r="F148" s="54" t="s">
        <v>1187</v>
      </c>
    </row>
    <row r="149" spans="4:6" ht="12.75">
      <c r="D149" s="53" t="s">
        <v>1188</v>
      </c>
      <c r="E149" s="54" t="s">
        <v>1189</v>
      </c>
      <c r="F149" s="54" t="s">
        <v>1190</v>
      </c>
    </row>
    <row r="150" spans="4:6" ht="12.75">
      <c r="D150" s="53" t="s">
        <v>1191</v>
      </c>
      <c r="E150" s="54" t="s">
        <v>1192</v>
      </c>
      <c r="F150" s="54" t="s">
        <v>1193</v>
      </c>
    </row>
    <row r="151" spans="4:6" ht="12.75">
      <c r="D151" s="53" t="s">
        <v>1194</v>
      </c>
      <c r="E151" s="54" t="s">
        <v>1195</v>
      </c>
      <c r="F151" s="54" t="s">
        <v>1196</v>
      </c>
    </row>
    <row r="152" spans="4:6" ht="12.75">
      <c r="D152" s="53" t="s">
        <v>1197</v>
      </c>
      <c r="E152" s="54" t="s">
        <v>1198</v>
      </c>
      <c r="F152" s="54" t="s">
        <v>1199</v>
      </c>
    </row>
    <row r="153" spans="4:6" ht="12.75">
      <c r="D153" s="53" t="s">
        <v>1200</v>
      </c>
      <c r="E153" s="54" t="s">
        <v>1201</v>
      </c>
      <c r="F153" s="54" t="s">
        <v>1202</v>
      </c>
    </row>
    <row r="154" spans="4:6" ht="12.75">
      <c r="D154" s="53" t="s">
        <v>1203</v>
      </c>
      <c r="E154" s="54" t="s">
        <v>1204</v>
      </c>
      <c r="F154" s="54" t="s">
        <v>1205</v>
      </c>
    </row>
    <row r="155" spans="4:6" ht="12.75">
      <c r="D155" s="53" t="s">
        <v>1206</v>
      </c>
      <c r="E155" s="54" t="s">
        <v>1207</v>
      </c>
      <c r="F155" s="54" t="s">
        <v>1208</v>
      </c>
    </row>
    <row r="156" spans="4:6" ht="12.75">
      <c r="D156" s="53" t="s">
        <v>1209</v>
      </c>
      <c r="E156" s="54" t="s">
        <v>1210</v>
      </c>
      <c r="F156" s="54" t="s">
        <v>1211</v>
      </c>
    </row>
    <row r="157" spans="4:6" ht="12.75">
      <c r="D157" s="53" t="s">
        <v>815</v>
      </c>
      <c r="E157" s="54"/>
      <c r="F157" s="54"/>
    </row>
    <row r="158" spans="4:6" ht="12.75">
      <c r="D158" s="53" t="s">
        <v>1212</v>
      </c>
      <c r="E158" s="54" t="s">
        <v>1213</v>
      </c>
      <c r="F158" s="54" t="s">
        <v>1214</v>
      </c>
    </row>
    <row r="159" spans="4:6" ht="12.75">
      <c r="D159" s="53" t="s">
        <v>1215</v>
      </c>
      <c r="E159" s="54" t="s">
        <v>1216</v>
      </c>
      <c r="F159" s="54" t="s">
        <v>1217</v>
      </c>
    </row>
    <row r="160" spans="4:6" ht="12.75">
      <c r="D160" s="53" t="s">
        <v>1218</v>
      </c>
      <c r="E160" s="54" t="s">
        <v>1219</v>
      </c>
      <c r="F160" s="54" t="s">
        <v>1220</v>
      </c>
    </row>
    <row r="161" spans="4:6" ht="12.75">
      <c r="D161" s="53" t="s">
        <v>1221</v>
      </c>
      <c r="E161" s="54" t="s">
        <v>1222</v>
      </c>
      <c r="F161" s="54" t="s">
        <v>1223</v>
      </c>
    </row>
    <row r="162" spans="4:6" ht="12.75">
      <c r="D162" s="53" t="s">
        <v>1224</v>
      </c>
      <c r="E162" s="54" t="s">
        <v>73</v>
      </c>
      <c r="F162" s="55" t="s">
        <v>1225</v>
      </c>
    </row>
    <row r="163" spans="4:6" ht="12.75">
      <c r="D163" s="53" t="s">
        <v>1226</v>
      </c>
      <c r="E163" s="54" t="s">
        <v>1227</v>
      </c>
      <c r="F163" s="55" t="s">
        <v>1228</v>
      </c>
    </row>
    <row r="164" spans="4:6" ht="12.75">
      <c r="D164" s="53" t="s">
        <v>1229</v>
      </c>
      <c r="E164" s="54" t="s">
        <v>1230</v>
      </c>
      <c r="F164" s="55" t="s">
        <v>1231</v>
      </c>
    </row>
    <row r="165" spans="4:6" ht="12.75">
      <c r="D165" s="53" t="s">
        <v>1232</v>
      </c>
      <c r="E165" s="54" t="s">
        <v>1233</v>
      </c>
      <c r="F165" s="55" t="s">
        <v>1234</v>
      </c>
    </row>
    <row r="166" spans="4:6" ht="12.75">
      <c r="D166" s="53" t="s">
        <v>1235</v>
      </c>
      <c r="E166" s="54" t="s">
        <v>1236</v>
      </c>
      <c r="F166" s="55" t="s">
        <v>1237</v>
      </c>
    </row>
    <row r="167" spans="4:6" ht="12.75">
      <c r="D167" s="53" t="s">
        <v>1238</v>
      </c>
      <c r="E167" s="54" t="s">
        <v>1239</v>
      </c>
      <c r="F167" s="55" t="s">
        <v>1240</v>
      </c>
    </row>
    <row r="168" spans="4:6" ht="12.75">
      <c r="D168" s="53" t="s">
        <v>1241</v>
      </c>
      <c r="E168" s="54" t="s">
        <v>1242</v>
      </c>
      <c r="F168" s="55" t="s">
        <v>1243</v>
      </c>
    </row>
    <row r="169" spans="4:6" ht="12.75">
      <c r="D169" s="53" t="s">
        <v>1244</v>
      </c>
      <c r="E169" s="54" t="s">
        <v>1245</v>
      </c>
      <c r="F169" s="55" t="s">
        <v>1246</v>
      </c>
    </row>
    <row r="170" spans="4:6" ht="12.75">
      <c r="D170" s="53" t="s">
        <v>1247</v>
      </c>
      <c r="E170" s="54" t="s">
        <v>1248</v>
      </c>
      <c r="F170" s="55" t="s">
        <v>1249</v>
      </c>
    </row>
    <row r="171" spans="4:6" ht="12.75">
      <c r="D171" s="53" t="s">
        <v>1250</v>
      </c>
      <c r="E171" s="54" t="s">
        <v>1251</v>
      </c>
      <c r="F171" s="55" t="s">
        <v>1252</v>
      </c>
    </row>
    <row r="172" spans="4:6" ht="12.75">
      <c r="D172" s="53" t="s">
        <v>1253</v>
      </c>
      <c r="E172" s="54" t="s">
        <v>1254</v>
      </c>
      <c r="F172" s="55" t="s">
        <v>1255</v>
      </c>
    </row>
    <row r="173" spans="4:6" ht="12.75">
      <c r="D173" s="53" t="s">
        <v>815</v>
      </c>
      <c r="E173" s="54"/>
      <c r="F173" s="55"/>
    </row>
    <row r="174" spans="4:6" ht="12.75">
      <c r="D174" s="53" t="s">
        <v>1256</v>
      </c>
      <c r="E174" s="54" t="s">
        <v>1257</v>
      </c>
      <c r="F174" s="55" t="s">
        <v>1258</v>
      </c>
    </row>
    <row r="175" spans="4:6" ht="12.75">
      <c r="D175" s="53" t="s">
        <v>1259</v>
      </c>
      <c r="E175" s="54" t="s">
        <v>1260</v>
      </c>
      <c r="F175" s="55" t="s">
        <v>1261</v>
      </c>
    </row>
    <row r="176" spans="4:6" ht="12.75">
      <c r="D176" s="53" t="s">
        <v>1262</v>
      </c>
      <c r="E176" s="54" t="s">
        <v>1263</v>
      </c>
      <c r="F176" s="55" t="s">
        <v>1264</v>
      </c>
    </row>
    <row r="177" spans="4:6" ht="12.75">
      <c r="D177" s="53" t="s">
        <v>1265</v>
      </c>
      <c r="E177" s="54" t="s">
        <v>1266</v>
      </c>
      <c r="F177" s="55" t="s">
        <v>1267</v>
      </c>
    </row>
    <row r="178" spans="4:6" ht="12.75">
      <c r="D178" s="53" t="s">
        <v>1268</v>
      </c>
      <c r="E178" s="54" t="s">
        <v>1269</v>
      </c>
      <c r="F178" s="55" t="s">
        <v>1270</v>
      </c>
    </row>
    <row r="179" spans="4:6" ht="12.75">
      <c r="D179" s="53" t="s">
        <v>1271</v>
      </c>
      <c r="E179" s="54" t="s">
        <v>1272</v>
      </c>
      <c r="F179" s="55" t="s">
        <v>1273</v>
      </c>
    </row>
    <row r="180" spans="4:6" ht="12.75">
      <c r="D180" s="53" t="s">
        <v>1274</v>
      </c>
      <c r="E180" s="54" t="s">
        <v>1275</v>
      </c>
      <c r="F180" s="55" t="s">
        <v>1276</v>
      </c>
    </row>
    <row r="181" spans="4:6" ht="12.75">
      <c r="D181" s="53" t="s">
        <v>1277</v>
      </c>
      <c r="E181" s="54" t="s">
        <v>1278</v>
      </c>
      <c r="F181" s="55" t="s">
        <v>1279</v>
      </c>
    </row>
    <row r="182" spans="4:6" ht="12.75">
      <c r="D182" s="53" t="s">
        <v>1280</v>
      </c>
      <c r="E182" s="54" t="s">
        <v>1281</v>
      </c>
      <c r="F182" s="55" t="s">
        <v>1282</v>
      </c>
    </row>
    <row r="183" spans="4:6" ht="12.75">
      <c r="D183" s="53" t="s">
        <v>1283</v>
      </c>
      <c r="E183" s="54" t="s">
        <v>1284</v>
      </c>
      <c r="F183" s="55" t="s">
        <v>1285</v>
      </c>
    </row>
    <row r="184" spans="4:6" ht="12.75">
      <c r="D184" s="53" t="s">
        <v>1286</v>
      </c>
      <c r="E184" s="54" t="s">
        <v>1287</v>
      </c>
      <c r="F184" s="55" t="s">
        <v>1288</v>
      </c>
    </row>
    <row r="185" spans="4:6" ht="12.75">
      <c r="D185" s="53" t="s">
        <v>1289</v>
      </c>
      <c r="E185" s="54" t="s">
        <v>1290</v>
      </c>
      <c r="F185" s="55" t="s">
        <v>1291</v>
      </c>
    </row>
    <row r="186" spans="4:6" ht="12.75">
      <c r="D186" s="53" t="s">
        <v>815</v>
      </c>
      <c r="E186" s="54"/>
      <c r="F186" s="55"/>
    </row>
    <row r="187" spans="4:6" ht="12.75">
      <c r="D187" s="53" t="s">
        <v>1292</v>
      </c>
      <c r="E187" s="54" t="s">
        <v>1293</v>
      </c>
      <c r="F187" s="55" t="s">
        <v>1294</v>
      </c>
    </row>
    <row r="188" spans="4:6" ht="12.75">
      <c r="D188" s="53" t="s">
        <v>1295</v>
      </c>
      <c r="E188" s="54" t="s">
        <v>1296</v>
      </c>
      <c r="F188" s="55" t="s">
        <v>1297</v>
      </c>
    </row>
    <row r="189" spans="4:6" ht="12.75">
      <c r="D189" s="53" t="s">
        <v>1298</v>
      </c>
      <c r="E189" s="54" t="s">
        <v>1299</v>
      </c>
      <c r="F189" s="55" t="s">
        <v>1300</v>
      </c>
    </row>
    <row r="190" spans="4:6" ht="12.75">
      <c r="D190" s="53" t="s">
        <v>1301</v>
      </c>
      <c r="E190" s="54" t="s">
        <v>1302</v>
      </c>
      <c r="F190" s="55" t="s">
        <v>1303</v>
      </c>
    </row>
    <row r="191" spans="4:6" ht="12.75">
      <c r="D191" s="53" t="s">
        <v>1304</v>
      </c>
      <c r="E191" s="54" t="s">
        <v>1305</v>
      </c>
      <c r="F191" s="55" t="s">
        <v>1306</v>
      </c>
    </row>
    <row r="192" spans="4:6" ht="12.75">
      <c r="D192" s="53" t="s">
        <v>1307</v>
      </c>
      <c r="E192" s="54" t="s">
        <v>1308</v>
      </c>
      <c r="F192" s="55" t="s">
        <v>1309</v>
      </c>
    </row>
    <row r="193" spans="4:6" ht="12.75">
      <c r="D193" s="53" t="s">
        <v>1310</v>
      </c>
      <c r="E193" s="54" t="s">
        <v>1311</v>
      </c>
      <c r="F193" s="55" t="s">
        <v>1312</v>
      </c>
    </row>
    <row r="194" spans="4:6" ht="12.75">
      <c r="D194" s="53" t="s">
        <v>1313</v>
      </c>
      <c r="E194" s="54" t="s">
        <v>1314</v>
      </c>
      <c r="F194" s="55" t="s">
        <v>1315</v>
      </c>
    </row>
    <row r="195" spans="4:6" ht="12.75">
      <c r="D195" s="53" t="s">
        <v>1316</v>
      </c>
      <c r="E195" s="54" t="s">
        <v>1317</v>
      </c>
      <c r="F195" s="55" t="s">
        <v>1318</v>
      </c>
    </row>
    <row r="196" spans="4:6" ht="12.75">
      <c r="D196" s="53" t="s">
        <v>1319</v>
      </c>
      <c r="E196" s="54" t="s">
        <v>1320</v>
      </c>
      <c r="F196" s="54" t="s">
        <v>1321</v>
      </c>
    </row>
    <row r="197" spans="4:6" ht="12.75">
      <c r="D197" s="53" t="s">
        <v>1322</v>
      </c>
      <c r="E197" s="54" t="s">
        <v>1323</v>
      </c>
      <c r="F197" s="55" t="s">
        <v>1324</v>
      </c>
    </row>
    <row r="198" spans="4:6" ht="12.75">
      <c r="D198" s="53" t="s">
        <v>1325</v>
      </c>
      <c r="E198" s="54" t="s">
        <v>1326</v>
      </c>
      <c r="F198" s="55" t="s">
        <v>1327</v>
      </c>
    </row>
    <row r="199" spans="4:6" ht="12.75">
      <c r="D199" s="53" t="s">
        <v>1328</v>
      </c>
      <c r="E199" s="54" t="s">
        <v>1329</v>
      </c>
      <c r="F199" s="55" t="s">
        <v>1330</v>
      </c>
    </row>
    <row r="200" spans="4:6" ht="12.75">
      <c r="D200" s="53" t="s">
        <v>1331</v>
      </c>
      <c r="E200" s="54" t="s">
        <v>1332</v>
      </c>
      <c r="F200" s="55" t="s">
        <v>1333</v>
      </c>
    </row>
    <row r="201" spans="4:6" ht="12.75">
      <c r="D201" s="53" t="s">
        <v>1334</v>
      </c>
      <c r="E201" s="54" t="s">
        <v>1335</v>
      </c>
      <c r="F201" s="55" t="s">
        <v>1336</v>
      </c>
    </row>
    <row r="202" spans="4:6" ht="12.75">
      <c r="D202" s="53" t="s">
        <v>1337</v>
      </c>
      <c r="E202" s="54" t="s">
        <v>1338</v>
      </c>
      <c r="F202" s="55" t="s">
        <v>1339</v>
      </c>
    </row>
    <row r="203" spans="4:6" ht="12.75">
      <c r="D203" s="53" t="s">
        <v>1340</v>
      </c>
      <c r="E203" s="54" t="s">
        <v>1341</v>
      </c>
      <c r="F203" s="55" t="s">
        <v>1342</v>
      </c>
    </row>
    <row r="204" spans="4:6" ht="12.75">
      <c r="D204" s="53" t="s">
        <v>1343</v>
      </c>
      <c r="E204" s="54" t="s">
        <v>1344</v>
      </c>
      <c r="F204" s="55" t="s">
        <v>1345</v>
      </c>
    </row>
    <row r="205" spans="4:6" ht="12.75">
      <c r="D205" s="53" t="s">
        <v>1346</v>
      </c>
      <c r="E205" s="54" t="s">
        <v>1347</v>
      </c>
      <c r="F205" s="55" t="s">
        <v>1348</v>
      </c>
    </row>
    <row r="206" spans="4:6" ht="12.75">
      <c r="D206" s="53" t="s">
        <v>1349</v>
      </c>
      <c r="E206" s="54" t="s">
        <v>1350</v>
      </c>
      <c r="F206" s="55" t="s">
        <v>1351</v>
      </c>
    </row>
    <row r="207" spans="4:6" ht="12.75">
      <c r="D207" s="53" t="s">
        <v>1352</v>
      </c>
      <c r="E207" s="54" t="s">
        <v>1353</v>
      </c>
      <c r="F207" s="55" t="s">
        <v>1354</v>
      </c>
    </row>
    <row r="208" spans="4:6" ht="12.75">
      <c r="D208" s="53" t="s">
        <v>1355</v>
      </c>
      <c r="E208" s="54" t="s">
        <v>1356</v>
      </c>
      <c r="F208" s="55" t="s">
        <v>1357</v>
      </c>
    </row>
    <row r="209" spans="4:6" ht="12.75">
      <c r="D209" s="53" t="s">
        <v>1358</v>
      </c>
      <c r="E209" s="54" t="s">
        <v>1359</v>
      </c>
      <c r="F209" s="55" t="s">
        <v>1360</v>
      </c>
    </row>
    <row r="210" spans="4:6" ht="12.75">
      <c r="D210" s="53" t="s">
        <v>1361</v>
      </c>
      <c r="E210" s="54" t="s">
        <v>1362</v>
      </c>
      <c r="F210" s="55" t="s">
        <v>1363</v>
      </c>
    </row>
    <row r="211" spans="4:6" ht="12.75">
      <c r="D211" s="53" t="s">
        <v>1364</v>
      </c>
      <c r="E211" s="54" t="s">
        <v>1365</v>
      </c>
      <c r="F211" s="55" t="s">
        <v>1366</v>
      </c>
    </row>
    <row r="212" spans="4:6" ht="12.75">
      <c r="D212" s="53" t="s">
        <v>1367</v>
      </c>
      <c r="E212" s="54" t="s">
        <v>1368</v>
      </c>
      <c r="F212" s="55" t="s">
        <v>1369</v>
      </c>
    </row>
    <row r="213" spans="4:6" ht="12.75">
      <c r="D213" s="53" t="s">
        <v>1370</v>
      </c>
      <c r="E213" s="54" t="s">
        <v>1371</v>
      </c>
      <c r="F213" s="55" t="s">
        <v>1372</v>
      </c>
    </row>
    <row r="214" spans="4:6" ht="12.75">
      <c r="D214" s="53" t="s">
        <v>1373</v>
      </c>
      <c r="E214" s="54" t="s">
        <v>1374</v>
      </c>
      <c r="F214" s="55" t="s">
        <v>1375</v>
      </c>
    </row>
    <row r="215" spans="4:6" ht="12.75">
      <c r="D215" s="53" t="s">
        <v>1376</v>
      </c>
      <c r="E215" s="54" t="s">
        <v>1377</v>
      </c>
      <c r="F215" s="55" t="s">
        <v>1378</v>
      </c>
    </row>
    <row r="216" spans="4:6" ht="12.75">
      <c r="D216" s="53" t="s">
        <v>1379</v>
      </c>
      <c r="E216" s="54" t="s">
        <v>1380</v>
      </c>
      <c r="F216" s="55" t="s">
        <v>1381</v>
      </c>
    </row>
    <row r="217" spans="4:6" ht="12.75">
      <c r="D217" s="53" t="s">
        <v>1382</v>
      </c>
      <c r="E217" s="54" t="s">
        <v>1383</v>
      </c>
      <c r="F217" s="55" t="s">
        <v>1384</v>
      </c>
    </row>
    <row r="218" spans="4:6" ht="12.75">
      <c r="D218" s="53" t="s">
        <v>1385</v>
      </c>
      <c r="E218" s="54" t="s">
        <v>1386</v>
      </c>
      <c r="F218" s="55" t="s">
        <v>1387</v>
      </c>
    </row>
    <row r="219" spans="4:6" ht="12.75">
      <c r="D219" s="53" t="s">
        <v>1388</v>
      </c>
      <c r="E219" s="54" t="s">
        <v>1389</v>
      </c>
      <c r="F219" s="55" t="s">
        <v>1390</v>
      </c>
    </row>
    <row r="220" spans="4:6" ht="12.75">
      <c r="D220" s="53" t="s">
        <v>1391</v>
      </c>
      <c r="E220" s="54" t="s">
        <v>1392</v>
      </c>
      <c r="F220" s="55" t="s">
        <v>1393</v>
      </c>
    </row>
    <row r="221" spans="4:6" ht="12.75">
      <c r="D221" s="53" t="s">
        <v>1394</v>
      </c>
      <c r="E221" s="54" t="s">
        <v>1395</v>
      </c>
      <c r="F221" s="55" t="s">
        <v>1396</v>
      </c>
    </row>
    <row r="222" spans="4:6" ht="12.75">
      <c r="D222" s="53" t="s">
        <v>1397</v>
      </c>
      <c r="E222" s="54" t="s">
        <v>1398</v>
      </c>
      <c r="F222" s="58" t="s">
        <v>1399</v>
      </c>
    </row>
    <row r="223" spans="4:6" ht="12.75">
      <c r="D223" s="53" t="s">
        <v>1400</v>
      </c>
      <c r="E223" s="54" t="s">
        <v>1401</v>
      </c>
      <c r="F223" s="55" t="s">
        <v>1402</v>
      </c>
    </row>
    <row r="224" spans="4:6" ht="12.75">
      <c r="D224" s="53" t="s">
        <v>1403</v>
      </c>
      <c r="E224" s="54" t="s">
        <v>1404</v>
      </c>
      <c r="F224" s="55" t="s">
        <v>1405</v>
      </c>
    </row>
    <row r="225" spans="4:6" ht="12.75">
      <c r="D225" s="53" t="s">
        <v>1406</v>
      </c>
      <c r="E225" s="54" t="s">
        <v>1407</v>
      </c>
      <c r="F225" s="55" t="s">
        <v>1408</v>
      </c>
    </row>
    <row r="226" spans="4:6" ht="12.75">
      <c r="D226" s="53" t="s">
        <v>1409</v>
      </c>
      <c r="E226" s="54" t="s">
        <v>1410</v>
      </c>
      <c r="F226" s="55" t="s">
        <v>1411</v>
      </c>
    </row>
    <row r="227" spans="4:6" ht="12.75">
      <c r="D227" s="53" t="s">
        <v>1412</v>
      </c>
      <c r="E227" s="54" t="s">
        <v>1413</v>
      </c>
      <c r="F227" s="55" t="s">
        <v>1414</v>
      </c>
    </row>
    <row r="228" spans="4:6" ht="12.75">
      <c r="D228" s="53" t="s">
        <v>1415</v>
      </c>
      <c r="E228" s="54" t="s">
        <v>1416</v>
      </c>
      <c r="F228" s="55" t="s">
        <v>1417</v>
      </c>
    </row>
    <row r="229" spans="4:6" ht="12.75">
      <c r="D229" s="53" t="s">
        <v>1418</v>
      </c>
      <c r="E229" s="54" t="s">
        <v>1419</v>
      </c>
      <c r="F229" s="55" t="s">
        <v>1420</v>
      </c>
    </row>
    <row r="230" spans="4:6" ht="12.75">
      <c r="D230" s="53" t="s">
        <v>1421</v>
      </c>
      <c r="E230" s="54" t="s">
        <v>1422</v>
      </c>
      <c r="F230" s="55" t="s">
        <v>1423</v>
      </c>
    </row>
    <row r="231" spans="4:6" ht="12.75">
      <c r="D231" s="53" t="s">
        <v>1424</v>
      </c>
      <c r="E231" s="54" t="s">
        <v>1425</v>
      </c>
      <c r="F231" s="55" t="s">
        <v>1426</v>
      </c>
    </row>
    <row r="232" spans="4:6" ht="12.75">
      <c r="D232" s="53" t="s">
        <v>1427</v>
      </c>
      <c r="E232" s="54" t="s">
        <v>1428</v>
      </c>
      <c r="F232" s="55" t="s">
        <v>1429</v>
      </c>
    </row>
    <row r="233" spans="4:6" ht="12.75">
      <c r="D233" s="53" t="s">
        <v>1430</v>
      </c>
      <c r="E233" s="54" t="s">
        <v>1431</v>
      </c>
      <c r="F233" s="58" t="s">
        <v>1432</v>
      </c>
    </row>
    <row r="234" spans="4:6" ht="12.75">
      <c r="D234" s="53" t="s">
        <v>1433</v>
      </c>
      <c r="E234" s="54" t="s">
        <v>1434</v>
      </c>
      <c r="F234" s="55" t="s">
        <v>1435</v>
      </c>
    </row>
    <row r="235" spans="4:6" ht="12.75">
      <c r="D235" s="53" t="s">
        <v>1436</v>
      </c>
      <c r="E235" s="54" t="s">
        <v>1437</v>
      </c>
      <c r="F235" s="58" t="s">
        <v>1438</v>
      </c>
    </row>
    <row r="236" spans="4:6" ht="12.75">
      <c r="D236" s="53" t="s">
        <v>1439</v>
      </c>
      <c r="E236" s="54" t="s">
        <v>1440</v>
      </c>
      <c r="F236" s="55" t="s">
        <v>1441</v>
      </c>
    </row>
    <row r="237" spans="4:6" ht="12.75">
      <c r="D237" s="53" t="s">
        <v>1442</v>
      </c>
      <c r="E237" s="54" t="s">
        <v>1443</v>
      </c>
      <c r="F237" s="55" t="s">
        <v>1444</v>
      </c>
    </row>
    <row r="238" spans="4:6" ht="12.75">
      <c r="D238" s="53" t="s">
        <v>1445</v>
      </c>
      <c r="E238" s="54" t="s">
        <v>1446</v>
      </c>
      <c r="F238" s="55" t="s">
        <v>1447</v>
      </c>
    </row>
    <row r="239" spans="4:6" ht="12.75">
      <c r="D239" s="53" t="s">
        <v>1448</v>
      </c>
      <c r="E239" s="54" t="s">
        <v>1449</v>
      </c>
      <c r="F239" s="55" t="s">
        <v>1450</v>
      </c>
    </row>
    <row r="240" spans="4:6" ht="12.75">
      <c r="D240" s="53" t="s">
        <v>1451</v>
      </c>
      <c r="E240" s="54" t="s">
        <v>1452</v>
      </c>
      <c r="F240" s="55" t="s">
        <v>1453</v>
      </c>
    </row>
    <row r="241" spans="4:6" ht="12.75">
      <c r="D241" s="53" t="s">
        <v>1454</v>
      </c>
      <c r="E241" s="54" t="s">
        <v>1455</v>
      </c>
      <c r="F241" s="54" t="s">
        <v>1456</v>
      </c>
    </row>
    <row r="242" spans="4:6" ht="12.75">
      <c r="D242" s="53" t="s">
        <v>1457</v>
      </c>
      <c r="E242" s="54" t="s">
        <v>1458</v>
      </c>
      <c r="F242" s="55" t="s">
        <v>1459</v>
      </c>
    </row>
    <row r="243" spans="4:6" ht="12.75">
      <c r="D243" s="53" t="s">
        <v>1460</v>
      </c>
      <c r="E243" s="54" t="s">
        <v>1461</v>
      </c>
      <c r="F243" s="54" t="s">
        <v>1462</v>
      </c>
    </row>
    <row r="244" spans="4:6" ht="12.75">
      <c r="D244" s="53" t="s">
        <v>1463</v>
      </c>
      <c r="E244" s="54" t="s">
        <v>1464</v>
      </c>
      <c r="F244" s="54" t="s">
        <v>1465</v>
      </c>
    </row>
    <row r="245" spans="4:6" ht="12.75">
      <c r="D245" s="53" t="s">
        <v>1466</v>
      </c>
      <c r="E245" s="54" t="s">
        <v>1467</v>
      </c>
      <c r="F245" s="55" t="s">
        <v>1468</v>
      </c>
    </row>
    <row r="246" spans="4:6" ht="12.75">
      <c r="D246" s="53" t="s">
        <v>1469</v>
      </c>
      <c r="E246" s="54" t="s">
        <v>1470</v>
      </c>
      <c r="F246" s="55" t="s">
        <v>1471</v>
      </c>
    </row>
    <row r="247" spans="4:6" ht="12.75">
      <c r="D247" s="53" t="s">
        <v>1472</v>
      </c>
      <c r="E247" s="54" t="s">
        <v>1473</v>
      </c>
      <c r="F247" s="55" t="s">
        <v>1474</v>
      </c>
    </row>
    <row r="248" spans="4:6" ht="12.75">
      <c r="D248" s="53" t="s">
        <v>1475</v>
      </c>
      <c r="E248" s="54" t="s">
        <v>1476</v>
      </c>
      <c r="F248" s="55" t="s">
        <v>1477</v>
      </c>
    </row>
    <row r="249" spans="4:6" ht="12.75">
      <c r="D249" s="53" t="s">
        <v>1478</v>
      </c>
      <c r="E249" s="54" t="s">
        <v>1479</v>
      </c>
      <c r="F249" s="55" t="s">
        <v>1480</v>
      </c>
    </row>
    <row r="250" spans="4:6" ht="12.75">
      <c r="D250" s="53" t="s">
        <v>1481</v>
      </c>
      <c r="E250" s="54" t="s">
        <v>1482</v>
      </c>
      <c r="F250" s="55" t="s">
        <v>1483</v>
      </c>
    </row>
    <row r="251" spans="4:6" ht="12.75">
      <c r="D251" s="53" t="s">
        <v>1484</v>
      </c>
      <c r="E251" s="54" t="s">
        <v>1485</v>
      </c>
      <c r="F251" s="55" t="s">
        <v>1486</v>
      </c>
    </row>
    <row r="252" spans="4:6" ht="12.75">
      <c r="D252" s="53" t="s">
        <v>815</v>
      </c>
      <c r="E252" s="54"/>
      <c r="F252" s="55"/>
    </row>
    <row r="253" spans="4:6" ht="12.75">
      <c r="D253" s="53" t="s">
        <v>1487</v>
      </c>
      <c r="E253" s="54" t="s">
        <v>1488</v>
      </c>
      <c r="F253" s="55" t="s">
        <v>1489</v>
      </c>
    </row>
    <row r="254" spans="4:6" ht="12.75">
      <c r="D254" s="53" t="s">
        <v>1490</v>
      </c>
      <c r="E254" s="54" t="s">
        <v>1491</v>
      </c>
      <c r="F254" s="55" t="s">
        <v>1492</v>
      </c>
    </row>
    <row r="255" spans="4:6" ht="12.75">
      <c r="D255" s="53" t="s">
        <v>1493</v>
      </c>
      <c r="E255" s="54" t="s">
        <v>1494</v>
      </c>
      <c r="F255" s="55" t="s">
        <v>1495</v>
      </c>
    </row>
    <row r="256" spans="4:6" ht="12.75">
      <c r="D256" s="53" t="s">
        <v>1496</v>
      </c>
      <c r="E256" s="54" t="s">
        <v>1497</v>
      </c>
      <c r="F256" s="55" t="s">
        <v>1498</v>
      </c>
    </row>
    <row r="257" spans="4:6" ht="12.75">
      <c r="D257" s="53" t="s">
        <v>1499</v>
      </c>
      <c r="E257" s="54" t="s">
        <v>1500</v>
      </c>
      <c r="F257" s="55" t="s">
        <v>1501</v>
      </c>
    </row>
    <row r="258" spans="4:6" ht="12.75">
      <c r="D258" s="53" t="s">
        <v>1502</v>
      </c>
      <c r="E258" s="54" t="s">
        <v>1503</v>
      </c>
      <c r="F258" s="55" t="s">
        <v>1504</v>
      </c>
    </row>
    <row r="259" spans="4:6" ht="12.75">
      <c r="D259" s="53" t="s">
        <v>1505</v>
      </c>
      <c r="E259" s="54" t="s">
        <v>1506</v>
      </c>
      <c r="F259" s="55" t="s">
        <v>1507</v>
      </c>
    </row>
    <row r="260" spans="4:6" ht="12.75">
      <c r="D260" s="53" t="s">
        <v>1508</v>
      </c>
      <c r="E260" s="54" t="s">
        <v>1509</v>
      </c>
      <c r="F260" s="55" t="s">
        <v>1510</v>
      </c>
    </row>
    <row r="261" spans="4:6" ht="12.75">
      <c r="D261" s="53" t="s">
        <v>815</v>
      </c>
      <c r="E261" s="54"/>
      <c r="F261" s="55"/>
    </row>
    <row r="262" spans="4:6" ht="12.75">
      <c r="D262" s="53" t="s">
        <v>1511</v>
      </c>
      <c r="E262" s="54" t="s">
        <v>1512</v>
      </c>
      <c r="F262" s="55" t="s">
        <v>1513</v>
      </c>
    </row>
    <row r="263" spans="4:6" ht="12.75">
      <c r="D263" s="53" t="s">
        <v>1514</v>
      </c>
      <c r="E263" s="54" t="s">
        <v>1515</v>
      </c>
      <c r="F263" s="55" t="s">
        <v>1516</v>
      </c>
    </row>
    <row r="264" spans="4:6" ht="12.75">
      <c r="D264" s="53" t="s">
        <v>1517</v>
      </c>
      <c r="E264" s="54" t="s">
        <v>1518</v>
      </c>
      <c r="F264" s="55" t="s">
        <v>1519</v>
      </c>
    </row>
    <row r="265" spans="4:6" ht="12.75">
      <c r="D265" s="53" t="s">
        <v>1520</v>
      </c>
      <c r="E265" s="54" t="s">
        <v>1521</v>
      </c>
      <c r="F265" s="55" t="s">
        <v>1522</v>
      </c>
    </row>
    <row r="266" spans="4:6" ht="12.75">
      <c r="D266" s="53" t="s">
        <v>1523</v>
      </c>
      <c r="E266" s="54" t="s">
        <v>1524</v>
      </c>
      <c r="F266" s="55" t="s">
        <v>1525</v>
      </c>
    </row>
    <row r="267" spans="4:6" ht="12.75">
      <c r="D267" s="53" t="s">
        <v>1526</v>
      </c>
      <c r="E267" s="54" t="s">
        <v>1527</v>
      </c>
      <c r="F267" s="55" t="s">
        <v>1528</v>
      </c>
    </row>
    <row r="268" spans="4:6" ht="12.75">
      <c r="D268" s="53" t="s">
        <v>1529</v>
      </c>
      <c r="E268" s="54" t="s">
        <v>1530</v>
      </c>
      <c r="F268" s="55" t="s">
        <v>1531</v>
      </c>
    </row>
    <row r="269" spans="4:6" ht="12.75">
      <c r="D269" s="53" t="s">
        <v>1532</v>
      </c>
      <c r="E269" s="54" t="s">
        <v>1533</v>
      </c>
      <c r="F269" s="55" t="s">
        <v>1534</v>
      </c>
    </row>
    <row r="270" spans="4:6" ht="12.75">
      <c r="D270" s="53" t="s">
        <v>1535</v>
      </c>
      <c r="E270" s="54" t="s">
        <v>1536</v>
      </c>
      <c r="F270" s="55" t="s">
        <v>1537</v>
      </c>
    </row>
    <row r="271" spans="4:6" ht="12.75">
      <c r="D271" s="53" t="s">
        <v>1538</v>
      </c>
      <c r="E271" s="54" t="s">
        <v>1539</v>
      </c>
      <c r="F271" s="55" t="s">
        <v>1540</v>
      </c>
    </row>
    <row r="272" spans="4:6" ht="12.75">
      <c r="D272" s="53" t="s">
        <v>1541</v>
      </c>
      <c r="E272" s="54" t="s">
        <v>1542</v>
      </c>
      <c r="F272" s="55" t="s">
        <v>1543</v>
      </c>
    </row>
    <row r="273" spans="4:6" ht="12.75">
      <c r="D273" s="53" t="s">
        <v>1544</v>
      </c>
      <c r="E273" s="54" t="s">
        <v>1545</v>
      </c>
      <c r="F273" s="55" t="s">
        <v>1546</v>
      </c>
    </row>
    <row r="274" spans="4:6" ht="12.75">
      <c r="D274" s="53" t="s">
        <v>1547</v>
      </c>
      <c r="E274" s="54" t="s">
        <v>1548</v>
      </c>
      <c r="F274" s="55" t="s">
        <v>1549</v>
      </c>
    </row>
    <row r="275" spans="4:6" ht="12.75">
      <c r="D275" s="53" t="s">
        <v>1550</v>
      </c>
      <c r="E275" s="54" t="s">
        <v>1551</v>
      </c>
      <c r="F275" s="55" t="s">
        <v>1552</v>
      </c>
    </row>
    <row r="276" spans="4:6" ht="12.75">
      <c r="D276" s="53" t="s">
        <v>1553</v>
      </c>
      <c r="E276" s="54" t="s">
        <v>1554</v>
      </c>
      <c r="F276" s="55"/>
    </row>
    <row r="277" spans="4:6" ht="12.75">
      <c r="D277" s="53" t="s">
        <v>1555</v>
      </c>
      <c r="E277" s="54" t="s">
        <v>1556</v>
      </c>
      <c r="F277" s="55" t="s">
        <v>1557</v>
      </c>
    </row>
    <row r="278" spans="4:6" ht="12.75">
      <c r="D278" s="53" t="s">
        <v>1558</v>
      </c>
      <c r="E278" s="54" t="s">
        <v>1559</v>
      </c>
      <c r="F278" s="55" t="s">
        <v>1560</v>
      </c>
    </row>
    <row r="279" spans="4:6" ht="12.75">
      <c r="D279" s="53" t="s">
        <v>1561</v>
      </c>
      <c r="E279" s="54" t="s">
        <v>1562</v>
      </c>
      <c r="F279" s="55" t="s">
        <v>1563</v>
      </c>
    </row>
    <row r="280" spans="4:6" ht="12.75">
      <c r="D280" s="53" t="s">
        <v>1564</v>
      </c>
      <c r="E280" s="54" t="s">
        <v>1565</v>
      </c>
      <c r="F280" s="55" t="s">
        <v>1566</v>
      </c>
    </row>
    <row r="281" spans="4:6" ht="12.75">
      <c r="D281" s="53" t="s">
        <v>1567</v>
      </c>
      <c r="E281" s="54" t="s">
        <v>1568</v>
      </c>
      <c r="F281" s="55" t="s">
        <v>1569</v>
      </c>
    </row>
    <row r="282" spans="4:6" ht="12.75">
      <c r="D282" s="53" t="s">
        <v>1570</v>
      </c>
      <c r="E282" s="54" t="s">
        <v>1571</v>
      </c>
      <c r="F282" s="55" t="s">
        <v>1572</v>
      </c>
    </row>
    <row r="283" spans="4:6" ht="12.75">
      <c r="D283" s="53" t="s">
        <v>815</v>
      </c>
      <c r="E283" s="54"/>
      <c r="F283" s="55"/>
    </row>
    <row r="284" spans="4:6" ht="12.75">
      <c r="D284" s="53" t="s">
        <v>1573</v>
      </c>
      <c r="E284" s="54" t="s">
        <v>1574</v>
      </c>
      <c r="F284" s="55" t="s">
        <v>1575</v>
      </c>
    </row>
    <row r="285" spans="4:6" ht="12.75">
      <c r="D285" s="53" t="s">
        <v>1576</v>
      </c>
      <c r="E285" s="54" t="s">
        <v>1577</v>
      </c>
      <c r="F285" s="55" t="s">
        <v>1578</v>
      </c>
    </row>
    <row r="286" spans="4:6" ht="12.75">
      <c r="D286" s="53" t="s">
        <v>815</v>
      </c>
      <c r="E286" s="54"/>
      <c r="F286" s="55"/>
    </row>
    <row r="287" spans="4:6" ht="12.75">
      <c r="D287" s="53" t="s">
        <v>1579</v>
      </c>
      <c r="E287" s="54" t="s">
        <v>1580</v>
      </c>
      <c r="F287" s="55" t="s">
        <v>1581</v>
      </c>
    </row>
    <row r="288" spans="4:6" ht="12.75">
      <c r="D288" s="53" t="s">
        <v>1582</v>
      </c>
      <c r="E288" s="54" t="s">
        <v>1583</v>
      </c>
      <c r="F288" s="55" t="s">
        <v>1584</v>
      </c>
    </row>
    <row r="289" spans="4:6" ht="12.75">
      <c r="D289" s="53" t="s">
        <v>815</v>
      </c>
      <c r="E289" s="54"/>
      <c r="F289" s="55"/>
    </row>
    <row r="290" spans="4:6" ht="12.75">
      <c r="D290" s="53" t="s">
        <v>1585</v>
      </c>
      <c r="E290" s="54" t="s">
        <v>1586</v>
      </c>
      <c r="F290" s="55" t="s">
        <v>1587</v>
      </c>
    </row>
    <row r="291" spans="4:6" ht="12.75">
      <c r="D291" s="53" t="s">
        <v>1588</v>
      </c>
      <c r="E291" s="54" t="s">
        <v>1589</v>
      </c>
      <c r="F291" s="55" t="s">
        <v>1590</v>
      </c>
    </row>
    <row r="292" spans="4:6" ht="12.75">
      <c r="D292" s="53" t="s">
        <v>1591</v>
      </c>
      <c r="E292" s="54" t="s">
        <v>1592</v>
      </c>
      <c r="F292" s="55" t="s">
        <v>1593</v>
      </c>
    </row>
    <row r="293" spans="4:6" ht="12.75">
      <c r="D293" s="53" t="s">
        <v>1594</v>
      </c>
      <c r="E293" s="54" t="s">
        <v>1595</v>
      </c>
      <c r="F293" s="55" t="s">
        <v>1596</v>
      </c>
    </row>
    <row r="294" spans="4:6" ht="12.75">
      <c r="D294" s="53" t="s">
        <v>1597</v>
      </c>
      <c r="E294" s="54" t="s">
        <v>1598</v>
      </c>
      <c r="F294" s="55" t="s">
        <v>1599</v>
      </c>
    </row>
    <row r="295" spans="4:6" ht="12.75">
      <c r="D295" s="53" t="s">
        <v>1600</v>
      </c>
      <c r="E295" s="54" t="s">
        <v>1601</v>
      </c>
      <c r="F295" s="55" t="s">
        <v>1602</v>
      </c>
    </row>
    <row r="296" spans="4:6" ht="12.75">
      <c r="D296" s="53" t="s">
        <v>1603</v>
      </c>
      <c r="E296" s="54" t="s">
        <v>1604</v>
      </c>
      <c r="F296" s="55" t="s">
        <v>1605</v>
      </c>
    </row>
    <row r="297" spans="4:6" ht="12.75">
      <c r="D297" s="53" t="s">
        <v>1606</v>
      </c>
      <c r="E297" s="54" t="s">
        <v>1607</v>
      </c>
      <c r="F297" s="55" t="s">
        <v>1608</v>
      </c>
    </row>
    <row r="298" spans="4:6" ht="12.75">
      <c r="D298" s="53" t="s">
        <v>1609</v>
      </c>
      <c r="E298" s="54" t="s">
        <v>1610</v>
      </c>
      <c r="F298" s="55" t="s">
        <v>1611</v>
      </c>
    </row>
    <row r="299" spans="4:6" ht="12.75">
      <c r="D299" s="53" t="s">
        <v>1612</v>
      </c>
      <c r="E299" s="54" t="s">
        <v>1613</v>
      </c>
      <c r="F299" s="58" t="s">
        <v>1614</v>
      </c>
    </row>
    <row r="300" spans="4:6" ht="12.75">
      <c r="D300" s="53" t="s">
        <v>1615</v>
      </c>
      <c r="E300" s="54" t="s">
        <v>1616</v>
      </c>
      <c r="F300" s="55" t="s">
        <v>1617</v>
      </c>
    </row>
    <row r="301" spans="4:6" ht="12.75">
      <c r="D301" s="53" t="s">
        <v>1618</v>
      </c>
      <c r="E301" s="54" t="s">
        <v>1619</v>
      </c>
      <c r="F301" s="55" t="s">
        <v>1620</v>
      </c>
    </row>
    <row r="302" spans="4:6" ht="12.75">
      <c r="D302" s="53" t="s">
        <v>1621</v>
      </c>
      <c r="E302" s="54" t="s">
        <v>1622</v>
      </c>
      <c r="F302" s="55"/>
    </row>
    <row r="303" spans="4:6" ht="12.75">
      <c r="D303" s="53" t="s">
        <v>1623</v>
      </c>
      <c r="E303" s="54" t="s">
        <v>1624</v>
      </c>
      <c r="F303" s="55" t="s">
        <v>1625</v>
      </c>
    </row>
    <row r="304" spans="4:6" ht="12.75">
      <c r="D304" s="53" t="s">
        <v>1626</v>
      </c>
      <c r="E304" s="54" t="s">
        <v>1627</v>
      </c>
      <c r="F304" s="55" t="s">
        <v>1628</v>
      </c>
    </row>
    <row r="305" spans="4:6" ht="12.75">
      <c r="D305" s="53" t="s">
        <v>1629</v>
      </c>
      <c r="E305" s="54" t="s">
        <v>1630</v>
      </c>
      <c r="F305" s="55" t="s">
        <v>1631</v>
      </c>
    </row>
    <row r="306" spans="4:6" ht="12.75">
      <c r="D306" s="53" t="s">
        <v>815</v>
      </c>
      <c r="E306" s="54"/>
      <c r="F306" s="55"/>
    </row>
    <row r="307" spans="4:6" ht="12.75">
      <c r="D307" s="53" t="s">
        <v>1632</v>
      </c>
      <c r="E307" s="54" t="s">
        <v>1633</v>
      </c>
      <c r="F307" s="55" t="s">
        <v>1634</v>
      </c>
    </row>
    <row r="308" spans="4:6" ht="12.75">
      <c r="D308" s="53" t="s">
        <v>1635</v>
      </c>
      <c r="E308" s="54" t="s">
        <v>1636</v>
      </c>
      <c r="F308" s="54" t="s">
        <v>1637</v>
      </c>
    </row>
    <row r="309" spans="4:6" ht="12.75">
      <c r="D309" s="53" t="s">
        <v>815</v>
      </c>
      <c r="E309" s="54"/>
      <c r="F309" s="55"/>
    </row>
    <row r="310" spans="4:6" ht="12.75">
      <c r="D310" s="53" t="s">
        <v>1638</v>
      </c>
      <c r="E310" s="54" t="s">
        <v>1639</v>
      </c>
      <c r="F310" s="55" t="s">
        <v>1640</v>
      </c>
    </row>
    <row r="311" spans="4:6" ht="12.75">
      <c r="D311" s="53" t="s">
        <v>815</v>
      </c>
      <c r="E311" s="54"/>
      <c r="F311" s="55"/>
    </row>
    <row r="312" spans="4:6" ht="12.75">
      <c r="D312" s="53" t="s">
        <v>1641</v>
      </c>
      <c r="E312" s="54" t="s">
        <v>1642</v>
      </c>
      <c r="F312" s="55" t="s">
        <v>1643</v>
      </c>
    </row>
    <row r="313" spans="4:6" ht="12.75">
      <c r="D313" s="53" t="s">
        <v>1644</v>
      </c>
      <c r="E313" s="54" t="s">
        <v>1645</v>
      </c>
      <c r="F313" s="55" t="s">
        <v>1646</v>
      </c>
    </row>
    <row r="314" spans="4:6" ht="12.75">
      <c r="D314" s="53" t="s">
        <v>1647</v>
      </c>
      <c r="E314" s="54" t="s">
        <v>1648</v>
      </c>
      <c r="F314" s="55" t="s">
        <v>1649</v>
      </c>
    </row>
    <row r="315" spans="4:6" ht="12.75">
      <c r="D315" s="53" t="s">
        <v>1650</v>
      </c>
      <c r="E315" s="54" t="s">
        <v>1651</v>
      </c>
      <c r="F315" s="55" t="s">
        <v>1652</v>
      </c>
    </row>
    <row r="316" spans="4:6" ht="12.75">
      <c r="D316" s="53" t="s">
        <v>1653</v>
      </c>
      <c r="E316" s="54" t="s">
        <v>1654</v>
      </c>
      <c r="F316" s="55" t="s">
        <v>1655</v>
      </c>
    </row>
    <row r="317" spans="4:6" ht="12.75">
      <c r="D317" s="53" t="s">
        <v>1656</v>
      </c>
      <c r="E317" s="54" t="s">
        <v>1657</v>
      </c>
      <c r="F317" s="55" t="s">
        <v>1658</v>
      </c>
    </row>
    <row r="318" spans="4:6" ht="12.75">
      <c r="D318" s="53" t="s">
        <v>1659</v>
      </c>
      <c r="E318" s="54" t="s">
        <v>1660</v>
      </c>
      <c r="F318" s="55" t="s">
        <v>1661</v>
      </c>
    </row>
    <row r="319" spans="4:6" ht="12.75">
      <c r="D319" s="53" t="s">
        <v>1662</v>
      </c>
      <c r="E319" s="54" t="s">
        <v>1663</v>
      </c>
      <c r="F319" s="55" t="s">
        <v>1664</v>
      </c>
    </row>
    <row r="320" spans="4:6" ht="12.75">
      <c r="D320" s="53" t="s">
        <v>1665</v>
      </c>
      <c r="E320" s="54" t="s">
        <v>1666</v>
      </c>
      <c r="F320" s="55" t="s">
        <v>1667</v>
      </c>
    </row>
    <row r="321" spans="4:6" ht="12.75">
      <c r="D321" s="53" t="s">
        <v>815</v>
      </c>
      <c r="E321" s="54"/>
      <c r="F321" s="55"/>
    </row>
    <row r="322" spans="4:6" ht="12.75">
      <c r="D322" s="53" t="s">
        <v>1668</v>
      </c>
      <c r="E322" s="54" t="s">
        <v>1669</v>
      </c>
      <c r="F322" s="55" t="s">
        <v>1670</v>
      </c>
    </row>
    <row r="323" spans="4:6" ht="12.75">
      <c r="D323" s="53" t="s">
        <v>1671</v>
      </c>
      <c r="E323" s="54" t="s">
        <v>1672</v>
      </c>
      <c r="F323" s="55" t="s">
        <v>1673</v>
      </c>
    </row>
    <row r="324" spans="4:6" ht="12.75">
      <c r="D324" s="53" t="s">
        <v>1674</v>
      </c>
      <c r="E324" s="54" t="s">
        <v>1675</v>
      </c>
      <c r="F324" s="55" t="s">
        <v>1676</v>
      </c>
    </row>
    <row r="325" spans="4:6" ht="12.75">
      <c r="D325" s="53" t="s">
        <v>1677</v>
      </c>
      <c r="E325" s="54" t="s">
        <v>1678</v>
      </c>
      <c r="F325" s="55" t="s">
        <v>1679</v>
      </c>
    </row>
    <row r="326" spans="4:6" ht="12.75">
      <c r="D326" s="53" t="s">
        <v>1680</v>
      </c>
      <c r="E326" s="54" t="s">
        <v>1681</v>
      </c>
      <c r="F326" s="55" t="s">
        <v>1682</v>
      </c>
    </row>
    <row r="327" spans="4:6" ht="12.75">
      <c r="D327" s="53" t="s">
        <v>1683</v>
      </c>
      <c r="E327" s="54" t="s">
        <v>1684</v>
      </c>
      <c r="F327" s="55" t="s">
        <v>1685</v>
      </c>
    </row>
    <row r="328" spans="4:6" ht="12.75">
      <c r="D328" s="53" t="s">
        <v>1686</v>
      </c>
      <c r="E328" s="54" t="s">
        <v>1687</v>
      </c>
      <c r="F328" s="55" t="s">
        <v>1688</v>
      </c>
    </row>
    <row r="329" spans="4:6" ht="12.75">
      <c r="D329" s="53" t="s">
        <v>1689</v>
      </c>
      <c r="E329" s="54" t="s">
        <v>1690</v>
      </c>
      <c r="F329" s="55" t="s">
        <v>1691</v>
      </c>
    </row>
    <row r="330" spans="4:6" ht="12.75">
      <c r="D330" s="53" t="s">
        <v>1692</v>
      </c>
      <c r="E330" s="54" t="s">
        <v>1693</v>
      </c>
      <c r="F330" s="55" t="s">
        <v>1694</v>
      </c>
    </row>
    <row r="331" spans="4:6" ht="12.75">
      <c r="D331" s="53" t="s">
        <v>1695</v>
      </c>
      <c r="E331" s="54" t="s">
        <v>1696</v>
      </c>
      <c r="F331" s="55" t="s">
        <v>1697</v>
      </c>
    </row>
    <row r="332" spans="4:6" ht="12.75">
      <c r="D332" s="53" t="s">
        <v>1698</v>
      </c>
      <c r="E332" s="54" t="s">
        <v>1699</v>
      </c>
      <c r="F332" s="55" t="s">
        <v>1700</v>
      </c>
    </row>
    <row r="333" spans="4:6" ht="12.75">
      <c r="D333" s="53" t="s">
        <v>1701</v>
      </c>
      <c r="E333" s="54" t="s">
        <v>1702</v>
      </c>
      <c r="F333" s="55" t="s">
        <v>1703</v>
      </c>
    </row>
    <row r="334" spans="4:6" ht="12.75">
      <c r="D334" s="53" t="s">
        <v>1704</v>
      </c>
      <c r="E334" s="54" t="s">
        <v>1705</v>
      </c>
      <c r="F334" s="55" t="s">
        <v>1706</v>
      </c>
    </row>
    <row r="335" spans="4:6" ht="12.75">
      <c r="D335" s="53" t="s">
        <v>1707</v>
      </c>
      <c r="E335" s="54" t="s">
        <v>1708</v>
      </c>
      <c r="F335" s="55" t="s">
        <v>1709</v>
      </c>
    </row>
    <row r="336" spans="4:6" ht="12.75">
      <c r="D336" s="53" t="s">
        <v>1710</v>
      </c>
      <c r="E336" s="54" t="s">
        <v>1711</v>
      </c>
      <c r="F336" s="55" t="s">
        <v>1712</v>
      </c>
    </row>
    <row r="337" spans="4:6" ht="12.75">
      <c r="D337" s="53" t="s">
        <v>1713</v>
      </c>
      <c r="E337" s="54" t="s">
        <v>1714</v>
      </c>
      <c r="F337" s="55" t="s">
        <v>1715</v>
      </c>
    </row>
    <row r="338" spans="4:6" ht="12.75">
      <c r="D338" s="53" t="s">
        <v>1716</v>
      </c>
      <c r="E338" s="54" t="s">
        <v>1717</v>
      </c>
      <c r="F338" s="55" t="s">
        <v>1718</v>
      </c>
    </row>
    <row r="339" spans="4:6" ht="12.75">
      <c r="D339" s="53" t="s">
        <v>1719</v>
      </c>
      <c r="E339" s="54" t="s">
        <v>1720</v>
      </c>
      <c r="F339" s="55" t="s">
        <v>1721</v>
      </c>
    </row>
    <row r="340" spans="4:6" ht="12.75">
      <c r="D340" s="53" t="s">
        <v>1722</v>
      </c>
      <c r="E340" s="54" t="s">
        <v>1723</v>
      </c>
      <c r="F340" s="55" t="s">
        <v>1724</v>
      </c>
    </row>
    <row r="341" spans="4:6" ht="12.75">
      <c r="D341" s="53" t="s">
        <v>1725</v>
      </c>
      <c r="E341" s="54" t="s">
        <v>1726</v>
      </c>
      <c r="F341" s="55" t="s">
        <v>1727</v>
      </c>
    </row>
    <row r="342" spans="4:6" ht="12.75">
      <c r="D342" s="53" t="s">
        <v>1728</v>
      </c>
      <c r="E342" s="54" t="s">
        <v>1729</v>
      </c>
      <c r="F342" s="55" t="s">
        <v>1730</v>
      </c>
    </row>
    <row r="343" spans="4:6" ht="12.75">
      <c r="D343" s="53" t="s">
        <v>1731</v>
      </c>
      <c r="E343" s="54" t="s">
        <v>1732</v>
      </c>
      <c r="F343" s="55" t="s">
        <v>1733</v>
      </c>
    </row>
    <row r="344" spans="4:6" ht="12.75">
      <c r="D344" s="53" t="s">
        <v>1734</v>
      </c>
      <c r="E344" s="54" t="s">
        <v>1735</v>
      </c>
      <c r="F344" s="55" t="s">
        <v>1736</v>
      </c>
    </row>
    <row r="345" spans="4:6" ht="12.75">
      <c r="D345" s="53" t="s">
        <v>1737</v>
      </c>
      <c r="E345" s="54" t="s">
        <v>1738</v>
      </c>
      <c r="F345" s="55" t="s">
        <v>1739</v>
      </c>
    </row>
    <row r="346" spans="4:6" ht="12.75">
      <c r="D346" s="53" t="s">
        <v>1740</v>
      </c>
      <c r="E346" s="54" t="s">
        <v>1741</v>
      </c>
      <c r="F346" s="55" t="s">
        <v>1742</v>
      </c>
    </row>
    <row r="347" spans="4:6" ht="12.75">
      <c r="D347" s="53" t="s">
        <v>1743</v>
      </c>
      <c r="E347" s="54" t="s">
        <v>1744</v>
      </c>
      <c r="F347" s="55" t="s">
        <v>1745</v>
      </c>
    </row>
    <row r="348" spans="4:6" ht="12.75">
      <c r="D348" s="53" t="s">
        <v>1746</v>
      </c>
      <c r="E348" s="54" t="s">
        <v>1747</v>
      </c>
      <c r="F348" s="55" t="s">
        <v>1748</v>
      </c>
    </row>
    <row r="349" spans="4:6" ht="12.75">
      <c r="D349" s="53" t="s">
        <v>1749</v>
      </c>
      <c r="E349" s="54" t="s">
        <v>1750</v>
      </c>
      <c r="F349" s="55" t="s">
        <v>1751</v>
      </c>
    </row>
    <row r="350" spans="4:6" ht="12.75">
      <c r="D350" s="53" t="s">
        <v>1752</v>
      </c>
      <c r="E350" s="54" t="s">
        <v>1753</v>
      </c>
      <c r="F350" s="55" t="s">
        <v>1754</v>
      </c>
    </row>
    <row r="351" spans="4:6" ht="12.75">
      <c r="D351" s="53" t="s">
        <v>815</v>
      </c>
      <c r="E351" s="54"/>
      <c r="F351" s="55"/>
    </row>
    <row r="352" spans="4:6" ht="12.75">
      <c r="D352" s="53" t="s">
        <v>1755</v>
      </c>
      <c r="E352" s="54" t="s">
        <v>1756</v>
      </c>
      <c r="F352" s="55" t="s">
        <v>1757</v>
      </c>
    </row>
    <row r="353" spans="4:6" ht="12.75">
      <c r="D353" s="53" t="s">
        <v>1758</v>
      </c>
      <c r="E353" s="54" t="s">
        <v>1759</v>
      </c>
      <c r="F353" s="55" t="s">
        <v>1760</v>
      </c>
    </row>
    <row r="354" spans="4:6" ht="12.75">
      <c r="D354" s="53" t="s">
        <v>1761</v>
      </c>
      <c r="E354" s="54" t="s">
        <v>1762</v>
      </c>
      <c r="F354" s="55" t="s">
        <v>1763</v>
      </c>
    </row>
    <row r="355" spans="4:6" ht="12.75">
      <c r="D355" s="53" t="s">
        <v>1764</v>
      </c>
      <c r="E355" s="54" t="s">
        <v>1765</v>
      </c>
      <c r="F355" s="55" t="s">
        <v>1766</v>
      </c>
    </row>
    <row r="356" spans="4:6" ht="12.75">
      <c r="D356" s="53" t="s">
        <v>1767</v>
      </c>
      <c r="E356" s="54" t="s">
        <v>1768</v>
      </c>
      <c r="F356" s="55" t="s">
        <v>1769</v>
      </c>
    </row>
    <row r="357" spans="4:6" ht="12.75">
      <c r="D357" s="53" t="s">
        <v>1770</v>
      </c>
      <c r="E357" s="54" t="s">
        <v>1771</v>
      </c>
      <c r="F357" s="55" t="s">
        <v>1772</v>
      </c>
    </row>
    <row r="358" spans="4:6" ht="12.75">
      <c r="D358" s="53" t="s">
        <v>815</v>
      </c>
      <c r="E358" s="54"/>
      <c r="F358" s="55"/>
    </row>
    <row r="359" spans="4:6" ht="12.75">
      <c r="D359" s="53" t="s">
        <v>1773</v>
      </c>
      <c r="E359" s="54" t="s">
        <v>1774</v>
      </c>
      <c r="F359" s="55" t="s">
        <v>1775</v>
      </c>
    </row>
    <row r="360" spans="4:6" ht="12.75">
      <c r="D360" s="53" t="s">
        <v>1776</v>
      </c>
      <c r="E360" s="54" t="s">
        <v>1777</v>
      </c>
      <c r="F360" s="55" t="s">
        <v>1778</v>
      </c>
    </row>
    <row r="361" spans="4:6" ht="12.75">
      <c r="D361" s="53" t="s">
        <v>1779</v>
      </c>
      <c r="E361" s="54" t="s">
        <v>1780</v>
      </c>
      <c r="F361" s="55" t="s">
        <v>1781</v>
      </c>
    </row>
    <row r="362" spans="4:6" ht="12.75">
      <c r="D362" s="53" t="s">
        <v>1782</v>
      </c>
      <c r="E362" s="54" t="s">
        <v>1783</v>
      </c>
      <c r="F362" s="55" t="s">
        <v>1784</v>
      </c>
    </row>
    <row r="363" spans="4:6" ht="12.75">
      <c r="D363" s="53" t="s">
        <v>1785</v>
      </c>
      <c r="E363" s="54" t="s">
        <v>1786</v>
      </c>
      <c r="F363" s="55" t="s">
        <v>1787</v>
      </c>
    </row>
    <row r="364" spans="4:6" ht="12.75">
      <c r="D364" s="53" t="s">
        <v>1788</v>
      </c>
      <c r="E364" s="54" t="s">
        <v>1789</v>
      </c>
      <c r="F364" s="55" t="s">
        <v>1790</v>
      </c>
    </row>
    <row r="365" spans="4:6" ht="12.75">
      <c r="D365" s="53" t="s">
        <v>815</v>
      </c>
      <c r="E365" s="54"/>
      <c r="F365" s="54"/>
    </row>
    <row r="366" spans="4:6" ht="12.75">
      <c r="D366" s="53" t="s">
        <v>815</v>
      </c>
      <c r="E366" s="54"/>
      <c r="F366" s="55"/>
    </row>
    <row r="367" spans="4:6" ht="12.75">
      <c r="D367" s="53" t="s">
        <v>1791</v>
      </c>
      <c r="E367" s="54" t="s">
        <v>1792</v>
      </c>
      <c r="F367" s="58" t="s">
        <v>1793</v>
      </c>
    </row>
    <row r="368" spans="4:6" ht="12.75">
      <c r="D368" s="53" t="s">
        <v>1794</v>
      </c>
      <c r="E368" s="54" t="s">
        <v>1795</v>
      </c>
      <c r="F368" s="55" t="s">
        <v>1796</v>
      </c>
    </row>
    <row r="369" spans="4:6" ht="12.75">
      <c r="D369" s="53" t="s">
        <v>1797</v>
      </c>
      <c r="E369" s="54" t="s">
        <v>1798</v>
      </c>
      <c r="F369" s="55" t="s">
        <v>1799</v>
      </c>
    </row>
    <row r="370" spans="4:6" ht="15">
      <c r="D370" s="53" t="s">
        <v>815</v>
      </c>
      <c r="E370" s="54"/>
      <c r="F370" s="59"/>
    </row>
    <row r="371" spans="4:6" ht="12.75">
      <c r="D371" s="53" t="s">
        <v>1800</v>
      </c>
      <c r="E371" s="54" t="s">
        <v>1801</v>
      </c>
      <c r="F371" s="55" t="s">
        <v>1802</v>
      </c>
    </row>
    <row r="372" spans="4:6" ht="12.75">
      <c r="D372" s="53" t="s">
        <v>1803</v>
      </c>
      <c r="E372" s="54" t="s">
        <v>1804</v>
      </c>
      <c r="F372" s="55" t="s">
        <v>1805</v>
      </c>
    </row>
    <row r="373" spans="4:6" ht="12.75">
      <c r="D373" s="53" t="s">
        <v>1806</v>
      </c>
      <c r="E373" s="54" t="s">
        <v>1807</v>
      </c>
      <c r="F373" s="55" t="s">
        <v>1808</v>
      </c>
    </row>
    <row r="374" spans="4:6" ht="12.75">
      <c r="D374" s="53" t="s">
        <v>1809</v>
      </c>
      <c r="E374" s="54" t="s">
        <v>1810</v>
      </c>
      <c r="F374" s="55" t="s">
        <v>1811</v>
      </c>
    </row>
    <row r="375" spans="4:6" ht="12.75">
      <c r="D375" s="53" t="s">
        <v>815</v>
      </c>
      <c r="E375" s="54"/>
      <c r="F375" s="55"/>
    </row>
    <row r="376" spans="4:6" ht="12.75">
      <c r="D376" s="53" t="s">
        <v>1812</v>
      </c>
      <c r="E376" s="54" t="s">
        <v>1813</v>
      </c>
      <c r="F376" s="55" t="s">
        <v>1814</v>
      </c>
    </row>
    <row r="377" spans="4:6" ht="12.75">
      <c r="D377" s="53" t="s">
        <v>1815</v>
      </c>
      <c r="E377" s="54" t="s">
        <v>1816</v>
      </c>
      <c r="F377" s="55" t="s">
        <v>1817</v>
      </c>
    </row>
    <row r="378" spans="4:6" ht="12.75">
      <c r="D378" s="53" t="s">
        <v>1818</v>
      </c>
      <c r="E378" s="54" t="s">
        <v>1819</v>
      </c>
      <c r="F378" s="55" t="s">
        <v>1820</v>
      </c>
    </row>
    <row r="379" spans="4:6" ht="12.75">
      <c r="D379" s="53" t="s">
        <v>815</v>
      </c>
      <c r="E379" s="54"/>
      <c r="F379" s="55"/>
    </row>
    <row r="380" spans="4:6" ht="12.75">
      <c r="D380" s="53" t="s">
        <v>1821</v>
      </c>
      <c r="E380" s="54" t="s">
        <v>1822</v>
      </c>
      <c r="F380" s="55" t="s">
        <v>1823</v>
      </c>
    </row>
    <row r="381" spans="4:6" ht="12.75">
      <c r="D381" s="53" t="s">
        <v>815</v>
      </c>
      <c r="E381" s="54"/>
      <c r="F381" s="55"/>
    </row>
    <row r="382" spans="4:6" ht="12.75">
      <c r="D382" s="53" t="s">
        <v>815</v>
      </c>
      <c r="E382" s="54"/>
      <c r="F382" s="55"/>
    </row>
    <row r="383" spans="4:6" ht="12.75">
      <c r="D383" s="53" t="s">
        <v>1824</v>
      </c>
      <c r="E383" s="54" t="s">
        <v>1825</v>
      </c>
      <c r="F383" s="55" t="s">
        <v>1826</v>
      </c>
    </row>
    <row r="384" spans="4:6" ht="12.75">
      <c r="D384" s="53" t="s">
        <v>1827</v>
      </c>
      <c r="E384" s="54" t="s">
        <v>1828</v>
      </c>
      <c r="F384" s="55" t="s">
        <v>1829</v>
      </c>
    </row>
    <row r="385" spans="4:6" ht="12.75">
      <c r="D385" s="53" t="s">
        <v>1830</v>
      </c>
      <c r="E385" s="54" t="s">
        <v>1831</v>
      </c>
      <c r="F385" s="55" t="s">
        <v>1832</v>
      </c>
    </row>
    <row r="386" spans="4:6" ht="12.75">
      <c r="D386" s="53" t="s">
        <v>1833</v>
      </c>
      <c r="E386" s="54" t="s">
        <v>1834</v>
      </c>
      <c r="F386" s="55" t="s">
        <v>1835</v>
      </c>
    </row>
    <row r="387" spans="4:6" ht="12.75">
      <c r="D387" s="53" t="s">
        <v>1836</v>
      </c>
      <c r="E387" s="54" t="s">
        <v>1837</v>
      </c>
      <c r="F387" s="55" t="s">
        <v>1838</v>
      </c>
    </row>
    <row r="388" spans="4:6" ht="12.75">
      <c r="D388" s="53" t="s">
        <v>1839</v>
      </c>
      <c r="E388" s="54" t="s">
        <v>1840</v>
      </c>
      <c r="F388" s="55" t="s">
        <v>1841</v>
      </c>
    </row>
    <row r="389" spans="4:6" ht="12.75">
      <c r="D389" s="53" t="s">
        <v>1842</v>
      </c>
      <c r="E389" s="54" t="s">
        <v>1843</v>
      </c>
      <c r="F389" s="55" t="s">
        <v>1844</v>
      </c>
    </row>
    <row r="390" spans="4:6" ht="12.75">
      <c r="D390" s="53" t="s">
        <v>1845</v>
      </c>
      <c r="E390" s="54" t="s">
        <v>1846</v>
      </c>
      <c r="F390" s="55" t="s">
        <v>1847</v>
      </c>
    </row>
    <row r="391" spans="4:6" ht="12.75">
      <c r="D391" s="53" t="s">
        <v>1848</v>
      </c>
      <c r="E391" s="54" t="s">
        <v>1849</v>
      </c>
      <c r="F391" s="55" t="s">
        <v>1850</v>
      </c>
    </row>
    <row r="392" spans="4:6" ht="12.75">
      <c r="D392" s="53" t="s">
        <v>815</v>
      </c>
      <c r="E392" s="54"/>
      <c r="F392" s="55"/>
    </row>
    <row r="393" spans="4:6" ht="12.75">
      <c r="D393" s="53" t="s">
        <v>1851</v>
      </c>
      <c r="E393" s="54" t="s">
        <v>1852</v>
      </c>
      <c r="F393" s="55" t="s">
        <v>1853</v>
      </c>
    </row>
    <row r="394" spans="4:6" ht="12.75">
      <c r="D394" s="53" t="s">
        <v>1854</v>
      </c>
      <c r="E394" s="54" t="s">
        <v>1855</v>
      </c>
      <c r="F394" s="58" t="s">
        <v>1856</v>
      </c>
    </row>
    <row r="395" spans="4:6" ht="12.75">
      <c r="D395" s="53" t="s">
        <v>1857</v>
      </c>
      <c r="E395" s="54" t="s">
        <v>1858</v>
      </c>
      <c r="F395" s="55" t="s">
        <v>1859</v>
      </c>
    </row>
    <row r="396" spans="4:6" ht="12.75">
      <c r="D396" s="53" t="s">
        <v>1860</v>
      </c>
      <c r="E396" s="54" t="s">
        <v>1861</v>
      </c>
      <c r="F396" s="55" t="s">
        <v>1862</v>
      </c>
    </row>
    <row r="397" spans="4:6" ht="12.75">
      <c r="D397" s="53" t="s">
        <v>1863</v>
      </c>
      <c r="E397" s="54" t="s">
        <v>1864</v>
      </c>
      <c r="F397" s="55" t="s">
        <v>1865</v>
      </c>
    </row>
    <row r="398" spans="4:6" ht="12.75">
      <c r="D398" s="53" t="s">
        <v>1866</v>
      </c>
      <c r="E398" s="54" t="s">
        <v>1867</v>
      </c>
      <c r="F398" s="55" t="s">
        <v>1868</v>
      </c>
    </row>
    <row r="399" spans="4:6" ht="12.75">
      <c r="D399" s="53" t="s">
        <v>1869</v>
      </c>
      <c r="E399" s="54" t="s">
        <v>1870</v>
      </c>
      <c r="F399" s="55" t="s">
        <v>1871</v>
      </c>
    </row>
    <row r="400" spans="4:6" ht="12.75">
      <c r="D400" s="53" t="s">
        <v>1872</v>
      </c>
      <c r="E400" s="54" t="s">
        <v>1873</v>
      </c>
      <c r="F400" s="55" t="s">
        <v>1874</v>
      </c>
    </row>
    <row r="401" spans="4:6" ht="12.75">
      <c r="D401" s="53" t="s">
        <v>1875</v>
      </c>
      <c r="E401" s="54" t="s">
        <v>1876</v>
      </c>
      <c r="F401" s="55" t="s">
        <v>1877</v>
      </c>
    </row>
    <row r="402" spans="4:6" ht="12.75">
      <c r="D402" s="53" t="s">
        <v>815</v>
      </c>
      <c r="E402" s="54"/>
      <c r="F402" s="55"/>
    </row>
    <row r="403" spans="4:6" ht="12.75">
      <c r="D403" s="53" t="s">
        <v>1878</v>
      </c>
      <c r="E403" s="54" t="s">
        <v>1879</v>
      </c>
      <c r="F403" s="55" t="s">
        <v>1880</v>
      </c>
    </row>
    <row r="404" spans="4:6" ht="12.75">
      <c r="D404" s="53" t="s">
        <v>1881</v>
      </c>
      <c r="E404" s="54" t="s">
        <v>1882</v>
      </c>
      <c r="F404" s="55" t="s">
        <v>1883</v>
      </c>
    </row>
    <row r="405" spans="4:6" ht="12.75">
      <c r="D405" s="53" t="s">
        <v>815</v>
      </c>
      <c r="E405" s="54"/>
      <c r="F405" s="55"/>
    </row>
    <row r="406" spans="4:6" ht="12.75">
      <c r="D406" s="53" t="s">
        <v>1884</v>
      </c>
      <c r="E406" s="54" t="s">
        <v>1885</v>
      </c>
      <c r="F406" s="55" t="s">
        <v>1886</v>
      </c>
    </row>
    <row r="407" spans="4:6" ht="12.75">
      <c r="D407" s="53" t="s">
        <v>1887</v>
      </c>
      <c r="E407" s="54" t="s">
        <v>1888</v>
      </c>
      <c r="F407" s="55" t="s">
        <v>1889</v>
      </c>
    </row>
    <row r="408" spans="4:6" ht="12.75">
      <c r="D408" s="53" t="s">
        <v>1890</v>
      </c>
      <c r="E408" s="54" t="s">
        <v>1891</v>
      </c>
      <c r="F408" s="55" t="s">
        <v>1892</v>
      </c>
    </row>
    <row r="409" spans="4:6" ht="12.75">
      <c r="D409" s="53" t="s">
        <v>1893</v>
      </c>
      <c r="E409" s="54" t="s">
        <v>1894</v>
      </c>
      <c r="F409" s="55" t="s">
        <v>1895</v>
      </c>
    </row>
    <row r="410" spans="4:6" ht="12.75">
      <c r="D410" s="53" t="s">
        <v>1896</v>
      </c>
      <c r="E410" s="54" t="s">
        <v>1897</v>
      </c>
      <c r="F410" s="55" t="s">
        <v>1898</v>
      </c>
    </row>
    <row r="411" spans="4:6" ht="12.75">
      <c r="D411" s="53" t="s">
        <v>1899</v>
      </c>
      <c r="E411" s="54" t="s">
        <v>1900</v>
      </c>
      <c r="F411" s="55" t="s">
        <v>1901</v>
      </c>
    </row>
    <row r="412" spans="4:6" ht="12.75">
      <c r="D412" s="53" t="s">
        <v>1902</v>
      </c>
      <c r="E412" s="54" t="s">
        <v>1903</v>
      </c>
      <c r="F412" s="55" t="s">
        <v>1904</v>
      </c>
    </row>
    <row r="413" spans="4:6" ht="12.75">
      <c r="D413" s="53" t="s">
        <v>815</v>
      </c>
      <c r="E413" s="54"/>
      <c r="F413" s="55"/>
    </row>
    <row r="414" spans="4:6" ht="12.75">
      <c r="D414" s="53" t="s">
        <v>815</v>
      </c>
      <c r="E414" s="54"/>
      <c r="F414" s="55"/>
    </row>
    <row r="415" spans="4:6" ht="12.75">
      <c r="D415" s="53" t="s">
        <v>1905</v>
      </c>
      <c r="E415" s="54" t="s">
        <v>1906</v>
      </c>
      <c r="F415" s="55" t="s">
        <v>1907</v>
      </c>
    </row>
    <row r="416" spans="4:6" ht="12.75">
      <c r="D416" s="53" t="s">
        <v>1908</v>
      </c>
      <c r="E416" s="54" t="s">
        <v>1909</v>
      </c>
      <c r="F416" s="55" t="s">
        <v>1910</v>
      </c>
    </row>
    <row r="417" spans="4:6" ht="12.75">
      <c r="D417" s="53" t="s">
        <v>1911</v>
      </c>
      <c r="E417" s="54" t="s">
        <v>1912</v>
      </c>
      <c r="F417" s="55" t="s">
        <v>1913</v>
      </c>
    </row>
    <row r="418" spans="4:6" ht="12.75">
      <c r="D418" s="53" t="s">
        <v>1914</v>
      </c>
      <c r="E418" s="54" t="s">
        <v>1915</v>
      </c>
      <c r="F418" s="55" t="s">
        <v>1916</v>
      </c>
    </row>
    <row r="419" spans="4:6" ht="12.75">
      <c r="D419" s="53" t="s">
        <v>1917</v>
      </c>
      <c r="E419" s="54" t="s">
        <v>1918</v>
      </c>
      <c r="F419" s="55" t="s">
        <v>1919</v>
      </c>
    </row>
    <row r="420" spans="4:6" ht="12.75">
      <c r="D420" s="53" t="s">
        <v>1920</v>
      </c>
      <c r="E420" s="54" t="s">
        <v>1921</v>
      </c>
      <c r="F420" s="55" t="s">
        <v>1922</v>
      </c>
    </row>
    <row r="421" spans="4:6" ht="12.75">
      <c r="D421" s="53" t="s">
        <v>1923</v>
      </c>
      <c r="E421" s="54" t="s">
        <v>1924</v>
      </c>
      <c r="F421" s="55" t="s">
        <v>1925</v>
      </c>
    </row>
    <row r="422" spans="4:6" ht="12.75">
      <c r="D422" s="53" t="s">
        <v>1926</v>
      </c>
      <c r="E422" s="54" t="s">
        <v>1927</v>
      </c>
      <c r="F422" s="55" t="s">
        <v>1928</v>
      </c>
    </row>
    <row r="423" spans="4:6" ht="12.75">
      <c r="D423" s="53" t="s">
        <v>1929</v>
      </c>
      <c r="E423" s="54" t="s">
        <v>1930</v>
      </c>
      <c r="F423" s="55" t="s">
        <v>1931</v>
      </c>
    </row>
    <row r="424" spans="4:6" ht="12.75">
      <c r="D424" s="53" t="s">
        <v>1932</v>
      </c>
      <c r="E424" s="54" t="s">
        <v>1933</v>
      </c>
      <c r="F424" s="55" t="s">
        <v>1934</v>
      </c>
    </row>
    <row r="425" spans="4:6" ht="12.75">
      <c r="D425" s="53" t="s">
        <v>1935</v>
      </c>
      <c r="E425" s="54" t="s">
        <v>1936</v>
      </c>
      <c r="F425" s="55" t="s">
        <v>1937</v>
      </c>
    </row>
    <row r="426" spans="4:6" ht="12.75">
      <c r="D426" s="53" t="s">
        <v>1938</v>
      </c>
      <c r="E426" s="54" t="s">
        <v>1939</v>
      </c>
      <c r="F426" s="55" t="s">
        <v>1940</v>
      </c>
    </row>
    <row r="427" spans="4:6" ht="12.75">
      <c r="D427" s="53" t="s">
        <v>1941</v>
      </c>
      <c r="E427" s="54" t="s">
        <v>1942</v>
      </c>
      <c r="F427" s="55" t="s">
        <v>1943</v>
      </c>
    </row>
    <row r="428" spans="4:6" ht="12.75">
      <c r="D428" s="53" t="s">
        <v>1944</v>
      </c>
      <c r="E428" s="54" t="s">
        <v>1945</v>
      </c>
      <c r="F428" s="55" t="s">
        <v>1946</v>
      </c>
    </row>
    <row r="429" spans="4:6" ht="12.75">
      <c r="D429" s="53" t="s">
        <v>815</v>
      </c>
      <c r="E429" s="54"/>
      <c r="F429" s="55"/>
    </row>
    <row r="430" spans="4:6" ht="12.75">
      <c r="D430" s="53" t="s">
        <v>815</v>
      </c>
      <c r="E430" s="54"/>
      <c r="F430" s="54"/>
    </row>
    <row r="431" spans="4:6" ht="12.75">
      <c r="D431" s="53" t="s">
        <v>1947</v>
      </c>
      <c r="E431" s="54" t="s">
        <v>1948</v>
      </c>
      <c r="F431" s="55" t="s">
        <v>1949</v>
      </c>
    </row>
    <row r="432" spans="4:6" ht="12.75">
      <c r="D432" s="53" t="s">
        <v>1950</v>
      </c>
      <c r="E432" s="54" t="s">
        <v>1951</v>
      </c>
      <c r="F432" s="55" t="s">
        <v>1952</v>
      </c>
    </row>
    <row r="433" spans="4:6" ht="12.75">
      <c r="D433" s="53" t="s">
        <v>1953</v>
      </c>
      <c r="E433" s="54" t="s">
        <v>1954</v>
      </c>
      <c r="F433" s="55" t="s">
        <v>1955</v>
      </c>
    </row>
    <row r="434" spans="4:6" ht="12.75">
      <c r="D434" s="53" t="s">
        <v>1956</v>
      </c>
      <c r="E434" s="54" t="s">
        <v>1957</v>
      </c>
      <c r="F434" s="55" t="s">
        <v>1958</v>
      </c>
    </row>
    <row r="435" spans="4:6" ht="12.75">
      <c r="D435" s="53" t="s">
        <v>1959</v>
      </c>
      <c r="E435" s="54" t="s">
        <v>1960</v>
      </c>
      <c r="F435" s="55" t="s">
        <v>1961</v>
      </c>
    </row>
    <row r="436" spans="4:6" ht="12.75">
      <c r="D436" s="53" t="s">
        <v>1962</v>
      </c>
      <c r="E436" s="54" t="s">
        <v>1963</v>
      </c>
      <c r="F436" s="55" t="s">
        <v>1964</v>
      </c>
    </row>
    <row r="437" spans="4:6" ht="12.75">
      <c r="D437" s="53" t="s">
        <v>1965</v>
      </c>
      <c r="E437" s="54" t="s">
        <v>1966</v>
      </c>
      <c r="F437" s="55" t="s">
        <v>1967</v>
      </c>
    </row>
    <row r="438" spans="4:6" ht="12.75">
      <c r="D438" s="53" t="s">
        <v>815</v>
      </c>
      <c r="E438" s="54"/>
      <c r="F438" s="54"/>
    </row>
    <row r="439" spans="4:6" ht="12.75">
      <c r="D439" s="53" t="s">
        <v>1968</v>
      </c>
      <c r="E439" s="54" t="s">
        <v>1969</v>
      </c>
      <c r="F439" s="55" t="s">
        <v>1970</v>
      </c>
    </row>
    <row r="440" spans="4:6" ht="12.75">
      <c r="D440" s="53" t="s">
        <v>1971</v>
      </c>
      <c r="E440" s="54" t="s">
        <v>1972</v>
      </c>
      <c r="F440" s="55" t="s">
        <v>1973</v>
      </c>
    </row>
    <row r="441" spans="4:6" ht="12.75">
      <c r="D441" s="53" t="s">
        <v>1974</v>
      </c>
      <c r="E441" s="54" t="s">
        <v>1975</v>
      </c>
      <c r="F441" s="55" t="s">
        <v>1976</v>
      </c>
    </row>
    <row r="442" spans="4:6" ht="12.75">
      <c r="D442" s="53" t="s">
        <v>1977</v>
      </c>
      <c r="E442" s="54" t="s">
        <v>1978</v>
      </c>
      <c r="F442" s="55" t="s">
        <v>1979</v>
      </c>
    </row>
    <row r="443" spans="4:6" ht="12.75">
      <c r="D443" s="53" t="s">
        <v>1980</v>
      </c>
      <c r="E443" s="54" t="s">
        <v>1981</v>
      </c>
      <c r="F443" s="55" t="s">
        <v>1982</v>
      </c>
    </row>
    <row r="444" spans="4:6" ht="12.75">
      <c r="D444" s="53" t="s">
        <v>1983</v>
      </c>
      <c r="E444" s="54" t="s">
        <v>1984</v>
      </c>
      <c r="F444" s="55" t="s">
        <v>1985</v>
      </c>
    </row>
    <row r="445" spans="4:6" ht="12.75">
      <c r="D445" s="53" t="s">
        <v>1986</v>
      </c>
      <c r="E445" s="54" t="s">
        <v>1987</v>
      </c>
      <c r="F445" s="55" t="s">
        <v>1988</v>
      </c>
    </row>
    <row r="446" spans="4:6" ht="12.75">
      <c r="D446" s="53" t="s">
        <v>1989</v>
      </c>
      <c r="E446" s="54" t="s">
        <v>1990</v>
      </c>
      <c r="F446" s="55" t="s">
        <v>1991</v>
      </c>
    </row>
    <row r="447" spans="4:6" ht="12.75">
      <c r="D447" s="53" t="s">
        <v>1992</v>
      </c>
      <c r="E447" s="54" t="s">
        <v>1993</v>
      </c>
      <c r="F447" s="55" t="s">
        <v>1994</v>
      </c>
    </row>
    <row r="448" spans="4:6" ht="12.75">
      <c r="D448" s="53" t="s">
        <v>1995</v>
      </c>
      <c r="E448" s="54" t="s">
        <v>1996</v>
      </c>
      <c r="F448" s="55" t="s">
        <v>1997</v>
      </c>
    </row>
    <row r="449" spans="4:6" ht="12.75">
      <c r="D449" s="53" t="s">
        <v>1998</v>
      </c>
      <c r="E449" s="54" t="s">
        <v>1999</v>
      </c>
      <c r="F449" s="55" t="s">
        <v>2000</v>
      </c>
    </row>
    <row r="450" spans="4:6" ht="12.75">
      <c r="D450" s="53" t="s">
        <v>2001</v>
      </c>
      <c r="E450" s="54" t="s">
        <v>2002</v>
      </c>
      <c r="F450" s="55" t="s">
        <v>2003</v>
      </c>
    </row>
    <row r="451" spans="4:6" ht="12.75">
      <c r="D451" s="53" t="s">
        <v>2004</v>
      </c>
      <c r="E451" s="54" t="s">
        <v>2005</v>
      </c>
      <c r="F451" s="55" t="s">
        <v>2006</v>
      </c>
    </row>
    <row r="452" spans="4:6" ht="12.75">
      <c r="D452" s="53" t="s">
        <v>2007</v>
      </c>
      <c r="E452" s="54" t="s">
        <v>2008</v>
      </c>
      <c r="F452" s="55" t="s">
        <v>2009</v>
      </c>
    </row>
    <row r="453" spans="4:6" ht="12.75">
      <c r="D453" s="53" t="s">
        <v>2010</v>
      </c>
      <c r="E453" s="54" t="s">
        <v>2011</v>
      </c>
      <c r="F453" s="55" t="s">
        <v>2012</v>
      </c>
    </row>
    <row r="454" spans="4:6" ht="12.75">
      <c r="D454" s="53" t="s">
        <v>2013</v>
      </c>
      <c r="E454" s="54" t="s">
        <v>2014</v>
      </c>
      <c r="F454" s="55" t="s">
        <v>2015</v>
      </c>
    </row>
    <row r="455" spans="4:6" ht="12.75">
      <c r="D455" s="53" t="s">
        <v>2016</v>
      </c>
      <c r="E455" s="54" t="s">
        <v>2017</v>
      </c>
      <c r="F455" s="55" t="s">
        <v>2018</v>
      </c>
    </row>
    <row r="456" spans="4:6" ht="12.75">
      <c r="D456" s="53" t="s">
        <v>2019</v>
      </c>
      <c r="E456" s="54" t="s">
        <v>2020</v>
      </c>
      <c r="F456" s="55" t="s">
        <v>2021</v>
      </c>
    </row>
    <row r="457" spans="4:6" ht="12.75">
      <c r="D457" s="53" t="s">
        <v>2022</v>
      </c>
      <c r="E457" s="54" t="s">
        <v>2023</v>
      </c>
      <c r="F457" s="55" t="s">
        <v>2024</v>
      </c>
    </row>
    <row r="458" spans="4:6" ht="12.75">
      <c r="D458" s="53" t="s">
        <v>2025</v>
      </c>
      <c r="E458" s="54" t="s">
        <v>2026</v>
      </c>
      <c r="F458" s="55" t="s">
        <v>2027</v>
      </c>
    </row>
    <row r="459" spans="4:6" ht="12.75">
      <c r="D459" s="53" t="s">
        <v>2028</v>
      </c>
      <c r="E459" s="54" t="s">
        <v>2029</v>
      </c>
      <c r="F459" s="55" t="s">
        <v>2030</v>
      </c>
    </row>
    <row r="460" spans="4:6" ht="12.75">
      <c r="D460" s="53" t="s">
        <v>2031</v>
      </c>
      <c r="E460" s="54" t="s">
        <v>2032</v>
      </c>
      <c r="F460" s="55" t="s">
        <v>2033</v>
      </c>
    </row>
    <row r="461" spans="4:6" ht="12.75">
      <c r="D461" s="53" t="s">
        <v>2034</v>
      </c>
      <c r="E461" s="54" t="s">
        <v>2035</v>
      </c>
      <c r="F461" s="55" t="s">
        <v>2036</v>
      </c>
    </row>
    <row r="462" spans="4:6" ht="12.75">
      <c r="D462" s="53" t="s">
        <v>815</v>
      </c>
      <c r="E462" s="54"/>
      <c r="F462" s="55"/>
    </row>
    <row r="463" spans="4:6" ht="12.75">
      <c r="D463" s="53" t="s">
        <v>2037</v>
      </c>
      <c r="E463" s="54" t="s">
        <v>2038</v>
      </c>
      <c r="F463" s="55" t="s">
        <v>2039</v>
      </c>
    </row>
    <row r="464" spans="4:6" ht="12.75">
      <c r="D464" s="53" t="s">
        <v>815</v>
      </c>
      <c r="E464" s="54"/>
      <c r="F464" s="55"/>
    </row>
    <row r="465" spans="4:6" ht="12.75">
      <c r="D465" s="53" t="s">
        <v>2040</v>
      </c>
      <c r="E465" s="54" t="s">
        <v>2041</v>
      </c>
      <c r="F465" s="55" t="s">
        <v>2042</v>
      </c>
    </row>
    <row r="466" spans="4:6" ht="12.75">
      <c r="D466" s="53" t="s">
        <v>2043</v>
      </c>
      <c r="E466" s="54" t="s">
        <v>2044</v>
      </c>
      <c r="F466" s="55" t="s">
        <v>2045</v>
      </c>
    </row>
    <row r="467" spans="4:6" ht="12.75">
      <c r="D467" s="53" t="s">
        <v>2046</v>
      </c>
      <c r="E467" s="54" t="s">
        <v>2047</v>
      </c>
      <c r="F467" s="55" t="s">
        <v>2048</v>
      </c>
    </row>
    <row r="468" spans="4:6" ht="12.75">
      <c r="D468" s="53" t="s">
        <v>2049</v>
      </c>
      <c r="E468" s="54" t="s">
        <v>2050</v>
      </c>
      <c r="F468" s="55" t="s">
        <v>2051</v>
      </c>
    </row>
    <row r="469" spans="4:6" ht="12.75">
      <c r="D469" s="53" t="s">
        <v>2052</v>
      </c>
      <c r="E469" s="54" t="s">
        <v>2053</v>
      </c>
      <c r="F469" s="55" t="s">
        <v>2054</v>
      </c>
    </row>
    <row r="470" spans="4:6" ht="12.75">
      <c r="D470" s="53" t="s">
        <v>815</v>
      </c>
      <c r="E470" s="54"/>
      <c r="F470" s="55"/>
    </row>
    <row r="471" spans="4:6" ht="12.75">
      <c r="D471" s="53" t="s">
        <v>2055</v>
      </c>
      <c r="E471" s="54" t="s">
        <v>2056</v>
      </c>
      <c r="F471" s="55" t="s">
        <v>2057</v>
      </c>
    </row>
    <row r="472" spans="4:6" ht="12.75">
      <c r="D472" s="53" t="s">
        <v>2058</v>
      </c>
      <c r="E472" s="54" t="s">
        <v>2059</v>
      </c>
      <c r="F472" s="55" t="s">
        <v>2060</v>
      </c>
    </row>
    <row r="473" spans="4:6" ht="12.75">
      <c r="D473" s="53" t="s">
        <v>2061</v>
      </c>
      <c r="E473" s="54" t="s">
        <v>2062</v>
      </c>
      <c r="F473" s="55" t="s">
        <v>2063</v>
      </c>
    </row>
    <row r="474" spans="4:6" ht="12.75">
      <c r="D474" s="53" t="s">
        <v>2064</v>
      </c>
      <c r="E474" s="54" t="s">
        <v>2065</v>
      </c>
      <c r="F474" s="55" t="s">
        <v>2066</v>
      </c>
    </row>
    <row r="475" spans="4:6" ht="12.75">
      <c r="D475" s="53" t="s">
        <v>2067</v>
      </c>
      <c r="E475" s="54" t="s">
        <v>2068</v>
      </c>
      <c r="F475" s="55" t="s">
        <v>2069</v>
      </c>
    </row>
    <row r="476" spans="4:6" ht="12.75">
      <c r="D476" s="53" t="s">
        <v>2070</v>
      </c>
      <c r="E476" s="54" t="s">
        <v>2071</v>
      </c>
      <c r="F476" s="55" t="s">
        <v>2072</v>
      </c>
    </row>
    <row r="477" spans="4:6" ht="12.75">
      <c r="D477" s="53" t="s">
        <v>2073</v>
      </c>
      <c r="E477" s="54" t="s">
        <v>2074</v>
      </c>
      <c r="F477" s="55" t="s">
        <v>2075</v>
      </c>
    </row>
    <row r="478" spans="4:6" ht="12.75">
      <c r="D478" s="53" t="s">
        <v>2076</v>
      </c>
      <c r="E478" s="54" t="s">
        <v>2077</v>
      </c>
      <c r="F478" s="55" t="s">
        <v>2078</v>
      </c>
    </row>
    <row r="479" spans="4:6" ht="12.75">
      <c r="D479" s="53" t="s">
        <v>2079</v>
      </c>
      <c r="E479" s="54" t="s">
        <v>2080</v>
      </c>
      <c r="F479" s="55" t="s">
        <v>2081</v>
      </c>
    </row>
    <row r="480" spans="4:6" ht="12.75">
      <c r="D480" s="53" t="s">
        <v>2082</v>
      </c>
      <c r="E480" s="54" t="s">
        <v>2083</v>
      </c>
      <c r="F480" s="55" t="s">
        <v>2084</v>
      </c>
    </row>
    <row r="481" spans="4:6" ht="12.75">
      <c r="D481" s="53" t="s">
        <v>2085</v>
      </c>
      <c r="E481" s="54" t="s">
        <v>2086</v>
      </c>
      <c r="F481" s="55" t="s">
        <v>2087</v>
      </c>
    </row>
    <row r="482" spans="4:6" ht="12.75">
      <c r="D482" s="53" t="s">
        <v>815</v>
      </c>
      <c r="E482" s="54"/>
      <c r="F482" s="55"/>
    </row>
    <row r="483" spans="4:6" ht="12.75">
      <c r="D483" s="53" t="s">
        <v>2088</v>
      </c>
      <c r="E483" s="54" t="s">
        <v>2089</v>
      </c>
      <c r="F483" s="55" t="s">
        <v>2090</v>
      </c>
    </row>
    <row r="484" spans="4:6" ht="12.75">
      <c r="D484" s="53" t="s">
        <v>2091</v>
      </c>
      <c r="E484" s="54" t="s">
        <v>2092</v>
      </c>
      <c r="F484" s="55" t="s">
        <v>2093</v>
      </c>
    </row>
    <row r="485" spans="4:6" ht="12.75">
      <c r="D485" s="53" t="s">
        <v>2094</v>
      </c>
      <c r="E485" s="54" t="s">
        <v>2095</v>
      </c>
      <c r="F485" s="55" t="s">
        <v>2096</v>
      </c>
    </row>
    <row r="486" spans="4:6" ht="12.75">
      <c r="D486" s="53" t="s">
        <v>2097</v>
      </c>
      <c r="E486" s="54" t="s">
        <v>2098</v>
      </c>
      <c r="F486" s="55" t="s">
        <v>2099</v>
      </c>
    </row>
    <row r="487" spans="4:6" ht="12.75">
      <c r="D487" s="53" t="s">
        <v>2100</v>
      </c>
      <c r="E487" s="54" t="s">
        <v>2101</v>
      </c>
      <c r="F487" s="55" t="s">
        <v>2102</v>
      </c>
    </row>
    <row r="488" spans="4:6" ht="12.75">
      <c r="D488" s="53" t="s">
        <v>815</v>
      </c>
      <c r="E488" s="54"/>
      <c r="F488" s="55"/>
    </row>
    <row r="489" spans="4:6" ht="12.75">
      <c r="D489" s="53" t="s">
        <v>2103</v>
      </c>
      <c r="E489" s="54" t="s">
        <v>2104</v>
      </c>
      <c r="F489" s="55" t="s">
        <v>2105</v>
      </c>
    </row>
    <row r="490" spans="4:6" ht="12.75">
      <c r="D490" s="53" t="s">
        <v>2106</v>
      </c>
      <c r="E490" s="54" t="s">
        <v>2107</v>
      </c>
      <c r="F490" s="55" t="s">
        <v>2108</v>
      </c>
    </row>
    <row r="491" spans="4:6" ht="12.75">
      <c r="D491" s="53" t="s">
        <v>2109</v>
      </c>
      <c r="E491" s="54" t="s">
        <v>2110</v>
      </c>
      <c r="F491" s="55" t="s">
        <v>2111</v>
      </c>
    </row>
    <row r="492" spans="4:6" ht="12.75">
      <c r="D492" s="53" t="s">
        <v>2112</v>
      </c>
      <c r="E492" s="54" t="s">
        <v>2113</v>
      </c>
      <c r="F492" s="55" t="s">
        <v>2114</v>
      </c>
    </row>
    <row r="493" spans="4:6" ht="12.75">
      <c r="D493" s="53" t="s">
        <v>2115</v>
      </c>
      <c r="E493" s="54" t="s">
        <v>2116</v>
      </c>
      <c r="F493" s="55" t="s">
        <v>2117</v>
      </c>
    </row>
    <row r="494" spans="4:6" ht="12.75">
      <c r="D494" s="53" t="s">
        <v>2118</v>
      </c>
      <c r="E494" s="54" t="s">
        <v>2119</v>
      </c>
      <c r="F494" s="55" t="s">
        <v>2120</v>
      </c>
    </row>
    <row r="495" spans="4:6" ht="12.75">
      <c r="D495" s="53" t="s">
        <v>2121</v>
      </c>
      <c r="E495" s="54" t="s">
        <v>2122</v>
      </c>
      <c r="F495" s="55" t="s">
        <v>2123</v>
      </c>
    </row>
    <row r="496" spans="4:6" ht="12.75">
      <c r="D496" s="53" t="s">
        <v>2124</v>
      </c>
      <c r="E496" s="54" t="s">
        <v>2125</v>
      </c>
      <c r="F496" s="55" t="s">
        <v>2126</v>
      </c>
    </row>
    <row r="497" spans="4:6" ht="12.75">
      <c r="D497" s="53" t="s">
        <v>2127</v>
      </c>
      <c r="E497" s="54" t="s">
        <v>2128</v>
      </c>
      <c r="F497" s="55" t="s">
        <v>2129</v>
      </c>
    </row>
    <row r="498" spans="4:6" ht="12.75">
      <c r="D498" s="53" t="s">
        <v>2130</v>
      </c>
      <c r="E498" s="54" t="s">
        <v>2131</v>
      </c>
      <c r="F498" s="55"/>
    </row>
    <row r="499" spans="4:6" ht="12.75">
      <c r="D499" s="53" t="s">
        <v>2132</v>
      </c>
      <c r="E499" s="54" t="s">
        <v>2133</v>
      </c>
      <c r="F499" s="55" t="s">
        <v>2134</v>
      </c>
    </row>
    <row r="500" spans="4:6" ht="12.75">
      <c r="D500" s="53" t="s">
        <v>2135</v>
      </c>
      <c r="E500" s="54" t="s">
        <v>2136</v>
      </c>
      <c r="F500" s="55" t="s">
        <v>2137</v>
      </c>
    </row>
    <row r="501" spans="4:6" ht="12.75">
      <c r="D501" s="53" t="s">
        <v>2138</v>
      </c>
      <c r="E501" s="54" t="s">
        <v>2139</v>
      </c>
      <c r="F501" s="55" t="s">
        <v>2140</v>
      </c>
    </row>
    <row r="502" spans="4:6" ht="12.75">
      <c r="D502" s="53" t="s">
        <v>2141</v>
      </c>
      <c r="E502" s="54" t="s">
        <v>2142</v>
      </c>
      <c r="F502" s="55" t="s">
        <v>2143</v>
      </c>
    </row>
    <row r="503" spans="4:6" ht="12.75">
      <c r="D503" s="53" t="s">
        <v>2144</v>
      </c>
      <c r="E503" s="54" t="s">
        <v>2145</v>
      </c>
      <c r="F503" s="55" t="s">
        <v>2146</v>
      </c>
    </row>
    <row r="504" spans="4:6" ht="12.75">
      <c r="D504" s="53" t="s">
        <v>2147</v>
      </c>
      <c r="E504" s="54" t="s">
        <v>2148</v>
      </c>
      <c r="F504" s="55"/>
    </row>
    <row r="505" spans="4:6" ht="12.75">
      <c r="D505" s="53" t="s">
        <v>2149</v>
      </c>
      <c r="E505" s="54" t="s">
        <v>2150</v>
      </c>
      <c r="F505" s="55" t="s">
        <v>2151</v>
      </c>
    </row>
    <row r="506" spans="4:6" ht="12.75">
      <c r="D506" s="53" t="s">
        <v>2152</v>
      </c>
      <c r="E506" s="54" t="s">
        <v>2153</v>
      </c>
      <c r="F506" s="55" t="s">
        <v>2154</v>
      </c>
    </row>
    <row r="507" spans="4:6" ht="12.75">
      <c r="D507" s="53" t="s">
        <v>2155</v>
      </c>
      <c r="E507" s="54" t="s">
        <v>2156</v>
      </c>
      <c r="F507" s="55" t="s">
        <v>2157</v>
      </c>
    </row>
    <row r="508" spans="4:6" ht="12.75">
      <c r="D508" s="53" t="s">
        <v>2158</v>
      </c>
      <c r="E508" s="54" t="s">
        <v>2159</v>
      </c>
      <c r="F508" s="55"/>
    </row>
    <row r="509" spans="4:6" ht="12.75">
      <c r="D509" s="53" t="s">
        <v>815</v>
      </c>
      <c r="E509" s="54"/>
      <c r="F509" s="55"/>
    </row>
    <row r="510" spans="4:6" ht="12.75">
      <c r="D510" s="53" t="s">
        <v>2160</v>
      </c>
      <c r="E510" s="54" t="s">
        <v>2161</v>
      </c>
      <c r="F510" s="55" t="s">
        <v>2162</v>
      </c>
    </row>
    <row r="511" spans="4:6" ht="12.75">
      <c r="D511" s="53" t="s">
        <v>2163</v>
      </c>
      <c r="E511" s="54" t="s">
        <v>2164</v>
      </c>
      <c r="F511" s="55" t="s">
        <v>2165</v>
      </c>
    </row>
    <row r="512" spans="4:6" ht="12.75">
      <c r="D512" s="53" t="s">
        <v>2166</v>
      </c>
      <c r="E512" s="54" t="s">
        <v>2167</v>
      </c>
      <c r="F512" s="55"/>
    </row>
    <row r="513" spans="4:6" ht="12.75">
      <c r="D513" s="53" t="s">
        <v>2168</v>
      </c>
      <c r="E513" s="54" t="s">
        <v>2169</v>
      </c>
      <c r="F513" s="55" t="s">
        <v>2170</v>
      </c>
    </row>
    <row r="514" spans="4:6" ht="12.75">
      <c r="D514" s="53" t="s">
        <v>2171</v>
      </c>
      <c r="E514" s="54" t="s">
        <v>2172</v>
      </c>
      <c r="F514" s="54" t="s">
        <v>2173</v>
      </c>
    </row>
    <row r="515" spans="4:6" ht="12.75">
      <c r="D515" s="53" t="s">
        <v>2174</v>
      </c>
      <c r="E515" s="54" t="s">
        <v>2175</v>
      </c>
      <c r="F515" s="55" t="s">
        <v>2176</v>
      </c>
    </row>
    <row r="516" spans="4:6" ht="12.75">
      <c r="D516" s="53" t="s">
        <v>2177</v>
      </c>
      <c r="E516" s="54" t="s">
        <v>2178</v>
      </c>
      <c r="F516" s="55" t="s">
        <v>2179</v>
      </c>
    </row>
    <row r="517" spans="4:6" ht="12.75">
      <c r="D517" s="53" t="s">
        <v>2180</v>
      </c>
      <c r="E517" s="54" t="s">
        <v>2181</v>
      </c>
      <c r="F517" s="55" t="s">
        <v>2182</v>
      </c>
    </row>
    <row r="518" spans="4:6" ht="12.75">
      <c r="D518" s="53" t="s">
        <v>2183</v>
      </c>
      <c r="E518" s="54" t="s">
        <v>2184</v>
      </c>
      <c r="F518" s="55" t="s">
        <v>2185</v>
      </c>
    </row>
    <row r="519" spans="4:6" ht="12.75">
      <c r="D519" s="53" t="s">
        <v>2186</v>
      </c>
      <c r="E519" s="54" t="s">
        <v>2187</v>
      </c>
      <c r="F519" s="55" t="s">
        <v>2188</v>
      </c>
    </row>
    <row r="520" spans="4:6" ht="12.75">
      <c r="D520" s="53" t="s">
        <v>2189</v>
      </c>
      <c r="E520" s="54" t="s">
        <v>2190</v>
      </c>
      <c r="F520" s="55" t="s">
        <v>2191</v>
      </c>
    </row>
    <row r="521" spans="4:6" ht="12.75">
      <c r="D521" s="53" t="s">
        <v>2192</v>
      </c>
      <c r="E521" s="54" t="s">
        <v>2193</v>
      </c>
      <c r="F521" s="55" t="s">
        <v>2194</v>
      </c>
    </row>
    <row r="522" spans="4:6" ht="12.75">
      <c r="D522" s="53" t="s">
        <v>2195</v>
      </c>
      <c r="E522" s="54" t="s">
        <v>2196</v>
      </c>
      <c r="F522" s="55" t="s">
        <v>2197</v>
      </c>
    </row>
    <row r="523" spans="4:6" ht="12.75">
      <c r="D523" s="53" t="s">
        <v>2198</v>
      </c>
      <c r="E523" s="54" t="s">
        <v>2199</v>
      </c>
      <c r="F523" s="55" t="s">
        <v>2200</v>
      </c>
    </row>
    <row r="524" spans="4:6" ht="12.75">
      <c r="D524" s="53" t="s">
        <v>2201</v>
      </c>
      <c r="E524" s="54" t="s">
        <v>2202</v>
      </c>
      <c r="F524" s="55" t="s">
        <v>2203</v>
      </c>
    </row>
    <row r="525" spans="4:6" ht="12.75">
      <c r="D525" s="53" t="s">
        <v>2204</v>
      </c>
      <c r="E525" s="54" t="s">
        <v>2205</v>
      </c>
      <c r="F525" s="55" t="s">
        <v>2206</v>
      </c>
    </row>
    <row r="526" spans="4:6" ht="12.75">
      <c r="D526" s="53" t="s">
        <v>2207</v>
      </c>
      <c r="E526" s="54" t="s">
        <v>2208</v>
      </c>
      <c r="F526" s="55" t="s">
        <v>2209</v>
      </c>
    </row>
    <row r="527" spans="4:6" ht="12.75">
      <c r="D527" s="53" t="s">
        <v>2210</v>
      </c>
      <c r="E527" s="54" t="s">
        <v>2211</v>
      </c>
      <c r="F527" s="55" t="s">
        <v>2212</v>
      </c>
    </row>
    <row r="528" spans="4:6" ht="12.75">
      <c r="D528" s="53" t="s">
        <v>2213</v>
      </c>
      <c r="E528" s="54" t="s">
        <v>2214</v>
      </c>
      <c r="F528" s="55" t="s">
        <v>2215</v>
      </c>
    </row>
    <row r="529" spans="4:6" ht="12.75">
      <c r="D529" s="53" t="s">
        <v>2216</v>
      </c>
      <c r="E529" s="54" t="s">
        <v>2217</v>
      </c>
      <c r="F529" s="55" t="s">
        <v>2218</v>
      </c>
    </row>
    <row r="530" spans="4:6" ht="12.75">
      <c r="D530" s="53" t="s">
        <v>2219</v>
      </c>
      <c r="E530" s="54" t="s">
        <v>2220</v>
      </c>
      <c r="F530" s="55" t="s">
        <v>2221</v>
      </c>
    </row>
    <row r="531" spans="4:6" ht="12.75">
      <c r="D531" s="53" t="s">
        <v>2222</v>
      </c>
      <c r="E531" s="54" t="s">
        <v>2223</v>
      </c>
      <c r="F531" s="55" t="s">
        <v>2224</v>
      </c>
    </row>
    <row r="532" spans="4:6" ht="12.75">
      <c r="D532" s="53" t="s">
        <v>2225</v>
      </c>
      <c r="E532" s="54" t="s">
        <v>2226</v>
      </c>
      <c r="F532" s="55" t="s">
        <v>2227</v>
      </c>
    </row>
    <row r="533" spans="4:6" ht="12.75">
      <c r="D533" s="53" t="s">
        <v>2228</v>
      </c>
      <c r="E533" s="54" t="s">
        <v>2229</v>
      </c>
      <c r="F533" s="55" t="s">
        <v>2230</v>
      </c>
    </row>
    <row r="534" spans="4:6" ht="12.75">
      <c r="D534" s="53" t="s">
        <v>2231</v>
      </c>
      <c r="E534" s="54" t="s">
        <v>2232</v>
      </c>
      <c r="F534" s="55" t="s">
        <v>2233</v>
      </c>
    </row>
    <row r="535" spans="4:6" ht="12.75">
      <c r="D535" s="53" t="s">
        <v>2234</v>
      </c>
      <c r="E535" s="54" t="s">
        <v>2235</v>
      </c>
      <c r="F535" s="55" t="s">
        <v>2236</v>
      </c>
    </row>
    <row r="536" spans="4:6" ht="12.75">
      <c r="D536" s="53" t="s">
        <v>2237</v>
      </c>
      <c r="E536" s="54" t="s">
        <v>2238</v>
      </c>
      <c r="F536" s="55" t="s">
        <v>2239</v>
      </c>
    </row>
    <row r="537" spans="4:6" ht="12.75">
      <c r="D537" s="53" t="s">
        <v>2240</v>
      </c>
      <c r="E537" s="54" t="s">
        <v>2241</v>
      </c>
      <c r="F537" s="55" t="s">
        <v>2242</v>
      </c>
    </row>
    <row r="538" spans="4:6" ht="12.75">
      <c r="D538" s="53" t="s">
        <v>2243</v>
      </c>
      <c r="E538" s="54" t="s">
        <v>2244</v>
      </c>
      <c r="F538" s="55" t="s">
        <v>2245</v>
      </c>
    </row>
    <row r="539" spans="4:6" ht="12.75">
      <c r="D539" s="53" t="s">
        <v>2246</v>
      </c>
      <c r="E539" s="54" t="s">
        <v>2247</v>
      </c>
      <c r="F539" s="55" t="s">
        <v>2248</v>
      </c>
    </row>
    <row r="540" spans="4:6" ht="12.75">
      <c r="D540" s="53" t="s">
        <v>2249</v>
      </c>
      <c r="E540" s="54" t="s">
        <v>2250</v>
      </c>
      <c r="F540" s="55" t="s">
        <v>2251</v>
      </c>
    </row>
    <row r="541" spans="4:6" ht="12.75">
      <c r="D541" s="53" t="s">
        <v>815</v>
      </c>
      <c r="E541" s="54"/>
      <c r="F541" s="55"/>
    </row>
    <row r="542" spans="4:6" ht="12.75">
      <c r="D542" s="53" t="s">
        <v>2252</v>
      </c>
      <c r="E542" s="54" t="s">
        <v>2253</v>
      </c>
      <c r="F542" s="55" t="s">
        <v>2254</v>
      </c>
    </row>
    <row r="543" spans="4:6" ht="12.75">
      <c r="D543" s="53" t="s">
        <v>815</v>
      </c>
      <c r="E543" s="54"/>
      <c r="F543" s="55"/>
    </row>
    <row r="544" spans="4:6" ht="12.75">
      <c r="D544" s="53" t="s">
        <v>2255</v>
      </c>
      <c r="E544" s="54" t="s">
        <v>2256</v>
      </c>
      <c r="F544" s="55"/>
    </row>
    <row r="545" spans="4:6" ht="12.75">
      <c r="D545" s="53" t="s">
        <v>2257</v>
      </c>
      <c r="E545" s="54" t="s">
        <v>2258</v>
      </c>
      <c r="F545" s="55" t="s">
        <v>2259</v>
      </c>
    </row>
    <row r="546" spans="4:6" ht="12.75">
      <c r="D546" s="53" t="s">
        <v>2260</v>
      </c>
      <c r="E546" s="54" t="s">
        <v>2261</v>
      </c>
      <c r="F546" s="55" t="s">
        <v>2262</v>
      </c>
    </row>
    <row r="547" spans="4:6" ht="12.75">
      <c r="D547" s="53" t="s">
        <v>2263</v>
      </c>
      <c r="E547" s="54" t="s">
        <v>2264</v>
      </c>
      <c r="F547" s="55" t="s">
        <v>2265</v>
      </c>
    </row>
    <row r="548" spans="4:6" ht="12.75">
      <c r="D548" s="53" t="s">
        <v>2266</v>
      </c>
      <c r="E548" s="54" t="s">
        <v>2267</v>
      </c>
      <c r="F548" s="55" t="s">
        <v>2268</v>
      </c>
    </row>
    <row r="549" spans="4:6" ht="12.75">
      <c r="D549" s="53" t="s">
        <v>2269</v>
      </c>
      <c r="E549" s="54" t="s">
        <v>2270</v>
      </c>
      <c r="F549" s="55" t="s">
        <v>2271</v>
      </c>
    </row>
    <row r="550" spans="4:6" ht="12.75">
      <c r="D550" s="53" t="s">
        <v>815</v>
      </c>
      <c r="E550" s="54"/>
      <c r="F550" s="55"/>
    </row>
    <row r="551" spans="4:6" ht="12.75">
      <c r="D551" s="53" t="s">
        <v>815</v>
      </c>
      <c r="E551" s="54"/>
      <c r="F551" s="55"/>
    </row>
    <row r="552" spans="4:6" ht="12.75">
      <c r="D552" s="53" t="s">
        <v>2272</v>
      </c>
      <c r="E552" s="54" t="s">
        <v>2273</v>
      </c>
      <c r="F552" s="55" t="s">
        <v>2274</v>
      </c>
    </row>
    <row r="553" spans="4:6" ht="12.75">
      <c r="D553" s="53" t="s">
        <v>2275</v>
      </c>
      <c r="E553" s="54" t="s">
        <v>2276</v>
      </c>
      <c r="F553" s="55" t="s">
        <v>2277</v>
      </c>
    </row>
    <row r="554" spans="4:6" ht="12.75">
      <c r="D554" s="53" t="s">
        <v>815</v>
      </c>
      <c r="E554" s="54"/>
      <c r="F554" s="55"/>
    </row>
    <row r="555" spans="4:6" ht="12.75">
      <c r="D555" s="53" t="s">
        <v>2278</v>
      </c>
      <c r="E555" s="54" t="s">
        <v>2279</v>
      </c>
      <c r="F555" s="55" t="s">
        <v>2280</v>
      </c>
    </row>
    <row r="556" spans="4:6" ht="12.75">
      <c r="D556" s="53" t="s">
        <v>2281</v>
      </c>
      <c r="E556" s="54" t="s">
        <v>2282</v>
      </c>
      <c r="F556" s="55" t="s">
        <v>2283</v>
      </c>
    </row>
    <row r="557" spans="4:6" ht="12.75">
      <c r="D557" s="53" t="s">
        <v>2284</v>
      </c>
      <c r="E557" s="54" t="s">
        <v>2285</v>
      </c>
      <c r="F557" s="55" t="s">
        <v>2286</v>
      </c>
    </row>
    <row r="558" spans="4:6" ht="12.75">
      <c r="D558" s="53" t="s">
        <v>2287</v>
      </c>
      <c r="E558" s="54" t="s">
        <v>2288</v>
      </c>
      <c r="F558" s="55" t="s">
        <v>2289</v>
      </c>
    </row>
    <row r="559" spans="4:6" ht="12.75">
      <c r="D559" s="53" t="s">
        <v>2290</v>
      </c>
      <c r="E559" s="54" t="s">
        <v>2291</v>
      </c>
      <c r="F559" s="55" t="s">
        <v>2292</v>
      </c>
    </row>
    <row r="560" spans="4:6" ht="12.75">
      <c r="D560" s="53" t="s">
        <v>2293</v>
      </c>
      <c r="E560" s="54" t="s">
        <v>2294</v>
      </c>
      <c r="F560" s="55" t="s">
        <v>2295</v>
      </c>
    </row>
    <row r="561" spans="4:6" ht="12.75">
      <c r="D561" s="53" t="s">
        <v>2296</v>
      </c>
      <c r="E561" s="54" t="s">
        <v>2297</v>
      </c>
      <c r="F561" s="55" t="s">
        <v>2298</v>
      </c>
    </row>
    <row r="562" spans="4:6" ht="12.75">
      <c r="D562" s="53" t="s">
        <v>2299</v>
      </c>
      <c r="E562" s="54" t="s">
        <v>2300</v>
      </c>
      <c r="F562" s="55" t="s">
        <v>2301</v>
      </c>
    </row>
    <row r="563" spans="4:6" ht="12.75">
      <c r="D563" s="53" t="s">
        <v>2302</v>
      </c>
      <c r="E563" s="54" t="s">
        <v>2303</v>
      </c>
      <c r="F563" s="55" t="s">
        <v>2304</v>
      </c>
    </row>
    <row r="564" spans="4:6" ht="12.75">
      <c r="D564" s="53" t="s">
        <v>2305</v>
      </c>
      <c r="E564" s="54" t="s">
        <v>2306</v>
      </c>
      <c r="F564" s="55" t="s">
        <v>2307</v>
      </c>
    </row>
    <row r="565" spans="4:6" ht="12.75">
      <c r="D565" s="53" t="s">
        <v>2308</v>
      </c>
      <c r="E565" s="54" t="s">
        <v>2309</v>
      </c>
      <c r="F565" s="55" t="s">
        <v>2310</v>
      </c>
    </row>
    <row r="566" spans="4:6" ht="12.75">
      <c r="D566" s="53" t="s">
        <v>2311</v>
      </c>
      <c r="E566" s="54" t="s">
        <v>2312</v>
      </c>
      <c r="F566" s="55" t="s">
        <v>2313</v>
      </c>
    </row>
    <row r="567" spans="4:6" ht="12.75">
      <c r="D567" s="53" t="s">
        <v>2314</v>
      </c>
      <c r="E567" s="54" t="s">
        <v>2315</v>
      </c>
      <c r="F567" s="55" t="s">
        <v>2316</v>
      </c>
    </row>
    <row r="568" spans="4:6" ht="12.75">
      <c r="D568" s="53" t="s">
        <v>2317</v>
      </c>
      <c r="E568" s="54" t="s">
        <v>2318</v>
      </c>
      <c r="F568" s="55" t="s">
        <v>2319</v>
      </c>
    </row>
    <row r="569" spans="4:6" ht="12.75">
      <c r="D569" s="53" t="s">
        <v>2320</v>
      </c>
      <c r="E569" s="54" t="s">
        <v>2321</v>
      </c>
      <c r="F569" s="55" t="s">
        <v>2322</v>
      </c>
    </row>
    <row r="570" spans="4:6" ht="12.75">
      <c r="D570" s="53" t="s">
        <v>815</v>
      </c>
      <c r="E570" s="54"/>
      <c r="F570" s="55"/>
    </row>
    <row r="571" spans="4:6" ht="12.75">
      <c r="D571" s="53" t="s">
        <v>2323</v>
      </c>
      <c r="E571" s="54" t="s">
        <v>2324</v>
      </c>
      <c r="F571" s="55" t="s">
        <v>2325</v>
      </c>
    </row>
    <row r="572" spans="4:6" ht="12.75">
      <c r="D572" s="53" t="s">
        <v>2326</v>
      </c>
      <c r="E572" s="54" t="s">
        <v>2327</v>
      </c>
      <c r="F572" s="55" t="s">
        <v>2328</v>
      </c>
    </row>
    <row r="573" spans="4:6" ht="12.75">
      <c r="D573" s="53" t="s">
        <v>2329</v>
      </c>
      <c r="E573" s="54" t="s">
        <v>2330</v>
      </c>
      <c r="F573" s="55" t="s">
        <v>2331</v>
      </c>
    </row>
    <row r="574" spans="4:6" ht="12.75">
      <c r="D574" s="53" t="s">
        <v>2332</v>
      </c>
      <c r="E574" s="54" t="s">
        <v>2333</v>
      </c>
      <c r="F574" s="55" t="s">
        <v>2334</v>
      </c>
    </row>
    <row r="575" spans="4:6" ht="12.75">
      <c r="D575" s="53" t="s">
        <v>2335</v>
      </c>
      <c r="E575" s="54" t="s">
        <v>2336</v>
      </c>
      <c r="F575" s="55" t="s">
        <v>2337</v>
      </c>
    </row>
    <row r="576" spans="4:6" ht="12.75">
      <c r="D576" s="53" t="s">
        <v>2338</v>
      </c>
      <c r="E576" s="54" t="s">
        <v>2339</v>
      </c>
      <c r="F576" s="55" t="s">
        <v>2340</v>
      </c>
    </row>
    <row r="577" spans="4:6" ht="12.75">
      <c r="D577" s="53" t="s">
        <v>815</v>
      </c>
      <c r="E577" s="54"/>
      <c r="F577" s="55"/>
    </row>
    <row r="578" spans="4:6" ht="12.75">
      <c r="D578" s="53" t="s">
        <v>2341</v>
      </c>
      <c r="E578" s="54" t="s">
        <v>2342</v>
      </c>
      <c r="F578" s="55" t="s">
        <v>2343</v>
      </c>
    </row>
    <row r="579" spans="4:6" ht="12.75">
      <c r="D579" s="53" t="s">
        <v>815</v>
      </c>
      <c r="E579" s="54"/>
      <c r="F579" s="55"/>
    </row>
    <row r="580" spans="4:6" ht="12.75">
      <c r="D580" s="53" t="s">
        <v>2344</v>
      </c>
      <c r="E580" s="54" t="s">
        <v>2345</v>
      </c>
      <c r="F580" s="55" t="s">
        <v>2346</v>
      </c>
    </row>
    <row r="581" spans="4:6" ht="12.75">
      <c r="D581" s="53" t="s">
        <v>2347</v>
      </c>
      <c r="E581" s="54" t="s">
        <v>2348</v>
      </c>
      <c r="F581" s="55" t="s">
        <v>2349</v>
      </c>
    </row>
    <row r="582" spans="4:6" ht="12.75">
      <c r="D582" s="53" t="s">
        <v>2350</v>
      </c>
      <c r="E582" s="54" t="s">
        <v>2351</v>
      </c>
      <c r="F582" s="55" t="s">
        <v>2352</v>
      </c>
    </row>
    <row r="583" spans="4:6" ht="12.75">
      <c r="D583" s="53" t="s">
        <v>2353</v>
      </c>
      <c r="E583" s="54" t="s">
        <v>2354</v>
      </c>
      <c r="F583" s="55" t="s">
        <v>2355</v>
      </c>
    </row>
    <row r="584" spans="4:6" ht="12.75">
      <c r="D584" s="53" t="s">
        <v>2356</v>
      </c>
      <c r="E584" s="54" t="s">
        <v>2357</v>
      </c>
      <c r="F584" s="55" t="s">
        <v>2358</v>
      </c>
    </row>
    <row r="585" spans="4:6" ht="12.75">
      <c r="D585" s="53" t="s">
        <v>2359</v>
      </c>
      <c r="E585" s="54" t="s">
        <v>2360</v>
      </c>
      <c r="F585" s="55" t="s">
        <v>2361</v>
      </c>
    </row>
    <row r="586" spans="4:6" ht="12.75">
      <c r="D586" s="53" t="s">
        <v>2362</v>
      </c>
      <c r="E586" s="54" t="s">
        <v>2363</v>
      </c>
      <c r="F586" s="55" t="s">
        <v>2364</v>
      </c>
    </row>
    <row r="587" spans="4:6" ht="12.75">
      <c r="D587" s="53" t="s">
        <v>2365</v>
      </c>
      <c r="E587" s="54" t="s">
        <v>2366</v>
      </c>
      <c r="F587" s="55" t="s">
        <v>2367</v>
      </c>
    </row>
    <row r="588" spans="4:6" ht="12.75">
      <c r="D588" s="53" t="s">
        <v>2368</v>
      </c>
      <c r="E588" s="54" t="s">
        <v>2369</v>
      </c>
      <c r="F588" s="55" t="s">
        <v>2370</v>
      </c>
    </row>
    <row r="589" spans="4:6" ht="12.75">
      <c r="D589" s="53" t="s">
        <v>2371</v>
      </c>
      <c r="E589" s="54" t="s">
        <v>2372</v>
      </c>
      <c r="F589" s="54" t="s">
        <v>2373</v>
      </c>
    </row>
    <row r="590" spans="4:6" ht="12.75">
      <c r="D590" s="53" t="s">
        <v>2374</v>
      </c>
      <c r="E590" s="54" t="s">
        <v>2375</v>
      </c>
      <c r="F590" s="55" t="s">
        <v>2376</v>
      </c>
    </row>
    <row r="591" spans="4:6" ht="12.75">
      <c r="D591" s="53" t="s">
        <v>2377</v>
      </c>
      <c r="E591" s="54" t="s">
        <v>2378</v>
      </c>
      <c r="F591" s="55" t="s">
        <v>2379</v>
      </c>
    </row>
    <row r="592" spans="4:6" ht="12.75">
      <c r="D592" s="53" t="s">
        <v>2380</v>
      </c>
      <c r="E592" s="54" t="s">
        <v>2381</v>
      </c>
      <c r="F592" s="55" t="s">
        <v>2382</v>
      </c>
    </row>
    <row r="593" spans="4:6" ht="12.75">
      <c r="D593" s="53" t="s">
        <v>2383</v>
      </c>
      <c r="E593" s="54" t="s">
        <v>2384</v>
      </c>
      <c r="F593" s="55" t="s">
        <v>2385</v>
      </c>
    </row>
    <row r="594" spans="4:6" ht="12.75">
      <c r="D594" s="53" t="s">
        <v>2386</v>
      </c>
      <c r="E594" s="54" t="s">
        <v>2387</v>
      </c>
      <c r="F594" s="55" t="s">
        <v>2388</v>
      </c>
    </row>
    <row r="595" spans="4:6" ht="12.75">
      <c r="D595" s="53" t="s">
        <v>2389</v>
      </c>
      <c r="E595" s="54" t="s">
        <v>2390</v>
      </c>
      <c r="F595" s="55" t="s">
        <v>2391</v>
      </c>
    </row>
    <row r="596" spans="4:6" ht="12.75">
      <c r="D596" s="53" t="s">
        <v>2392</v>
      </c>
      <c r="E596" s="54" t="s">
        <v>2393</v>
      </c>
      <c r="F596" s="55" t="s">
        <v>2394</v>
      </c>
    </row>
    <row r="597" spans="4:6" ht="12.75">
      <c r="D597" s="53" t="s">
        <v>2395</v>
      </c>
      <c r="E597" s="54" t="s">
        <v>2396</v>
      </c>
      <c r="F597" s="55" t="s">
        <v>2397</v>
      </c>
    </row>
    <row r="598" spans="4:6" ht="12.75">
      <c r="D598" s="53" t="s">
        <v>2398</v>
      </c>
      <c r="E598" s="54" t="s">
        <v>2399</v>
      </c>
      <c r="F598" s="55" t="s">
        <v>2400</v>
      </c>
    </row>
    <row r="599" spans="4:6" ht="12.75">
      <c r="D599" s="53" t="s">
        <v>2401</v>
      </c>
      <c r="E599" s="54" t="s">
        <v>2402</v>
      </c>
      <c r="F599" s="55" t="s">
        <v>2403</v>
      </c>
    </row>
    <row r="600" spans="4:6" ht="12.75">
      <c r="D600" s="53" t="s">
        <v>2404</v>
      </c>
      <c r="E600" s="54" t="s">
        <v>2405</v>
      </c>
      <c r="F600" s="55" t="s">
        <v>2406</v>
      </c>
    </row>
    <row r="601" spans="4:6" ht="12.75">
      <c r="D601" s="53" t="s">
        <v>2407</v>
      </c>
      <c r="E601" s="54" t="s">
        <v>2408</v>
      </c>
      <c r="F601" s="55" t="s">
        <v>2409</v>
      </c>
    </row>
    <row r="602" spans="4:6" ht="12.75">
      <c r="D602" s="53" t="s">
        <v>2410</v>
      </c>
      <c r="E602" s="54" t="s">
        <v>2411</v>
      </c>
      <c r="F602" s="55" t="s">
        <v>2412</v>
      </c>
    </row>
    <row r="603" spans="4:6" ht="12.75">
      <c r="D603" s="53" t="s">
        <v>2413</v>
      </c>
      <c r="E603" s="54" t="s">
        <v>2414</v>
      </c>
      <c r="F603" s="55" t="s">
        <v>2415</v>
      </c>
    </row>
    <row r="604" spans="4:6" ht="12.75">
      <c r="D604" s="53" t="s">
        <v>2416</v>
      </c>
      <c r="E604" s="54" t="s">
        <v>2417</v>
      </c>
      <c r="F604" s="55" t="s">
        <v>2418</v>
      </c>
    </row>
    <row r="605" spans="4:6" ht="12.75">
      <c r="D605" s="53" t="s">
        <v>2419</v>
      </c>
      <c r="E605" s="54" t="s">
        <v>2420</v>
      </c>
      <c r="F605" s="55" t="s">
        <v>2421</v>
      </c>
    </row>
    <row r="606" spans="4:6" ht="12.75">
      <c r="D606" s="53" t="s">
        <v>2422</v>
      </c>
      <c r="E606" s="54" t="s">
        <v>2423</v>
      </c>
      <c r="F606" s="55" t="s">
        <v>2424</v>
      </c>
    </row>
    <row r="607" spans="4:6" ht="12.75">
      <c r="D607" s="53" t="s">
        <v>2425</v>
      </c>
      <c r="E607" s="54" t="s">
        <v>2426</v>
      </c>
      <c r="F607" s="55" t="s">
        <v>2427</v>
      </c>
    </row>
    <row r="608" spans="4:6" ht="12.75">
      <c r="D608" s="53" t="s">
        <v>2428</v>
      </c>
      <c r="E608" s="54" t="s">
        <v>2429</v>
      </c>
      <c r="F608" s="55" t="s">
        <v>2430</v>
      </c>
    </row>
    <row r="609" spans="4:6" ht="12.75">
      <c r="D609" s="53" t="s">
        <v>2431</v>
      </c>
      <c r="E609" s="54" t="s">
        <v>2432</v>
      </c>
      <c r="F609" s="55" t="s">
        <v>2433</v>
      </c>
    </row>
    <row r="610" spans="4:6" ht="12.75">
      <c r="D610" s="53" t="s">
        <v>2434</v>
      </c>
      <c r="E610" s="54" t="s">
        <v>2435</v>
      </c>
      <c r="F610" s="55" t="s">
        <v>2436</v>
      </c>
    </row>
    <row r="611" spans="4:6" ht="12.75">
      <c r="D611" s="53" t="s">
        <v>2437</v>
      </c>
      <c r="E611" s="54" t="s">
        <v>2438</v>
      </c>
      <c r="F611" s="55" t="s">
        <v>2439</v>
      </c>
    </row>
    <row r="612" spans="4:6" ht="12.75">
      <c r="D612" s="53" t="s">
        <v>2440</v>
      </c>
      <c r="E612" s="54" t="s">
        <v>2441</v>
      </c>
      <c r="F612" s="55" t="s">
        <v>2442</v>
      </c>
    </row>
    <row r="613" spans="4:6" ht="12.75">
      <c r="D613" s="53" t="s">
        <v>2443</v>
      </c>
      <c r="E613" s="54" t="s">
        <v>2444</v>
      </c>
      <c r="F613" s="55" t="s">
        <v>2445</v>
      </c>
    </row>
    <row r="614" spans="4:6" ht="12.75">
      <c r="D614" s="53" t="s">
        <v>2446</v>
      </c>
      <c r="E614" s="54" t="s">
        <v>2447</v>
      </c>
      <c r="F614" s="55" t="s">
        <v>2448</v>
      </c>
    </row>
    <row r="615" spans="4:6" ht="12.75">
      <c r="D615" s="53" t="s">
        <v>2449</v>
      </c>
      <c r="E615" s="54" t="s">
        <v>2450</v>
      </c>
      <c r="F615" s="55" t="s">
        <v>2451</v>
      </c>
    </row>
    <row r="616" spans="4:6" ht="12.75">
      <c r="D616" s="53" t="s">
        <v>2452</v>
      </c>
      <c r="E616" s="54" t="s">
        <v>2453</v>
      </c>
      <c r="F616" s="55" t="s">
        <v>2454</v>
      </c>
    </row>
    <row r="617" spans="4:6" ht="12.75">
      <c r="D617" s="53" t="s">
        <v>2455</v>
      </c>
      <c r="E617" s="54" t="s">
        <v>2456</v>
      </c>
      <c r="F617" s="55" t="s">
        <v>2457</v>
      </c>
    </row>
    <row r="618" spans="4:6" ht="12.75">
      <c r="D618" s="53" t="s">
        <v>2458</v>
      </c>
      <c r="E618" s="54" t="s">
        <v>2459</v>
      </c>
      <c r="F618" s="55" t="s">
        <v>2460</v>
      </c>
    </row>
    <row r="619" spans="4:6" ht="12.75">
      <c r="D619" s="53" t="s">
        <v>2461</v>
      </c>
      <c r="E619" s="54" t="s">
        <v>2462</v>
      </c>
      <c r="F619" s="55" t="s">
        <v>2463</v>
      </c>
    </row>
    <row r="620" spans="4:6" ht="12.75">
      <c r="D620" s="53" t="s">
        <v>2464</v>
      </c>
      <c r="E620" s="54" t="s">
        <v>2465</v>
      </c>
      <c r="F620" s="55" t="s">
        <v>2466</v>
      </c>
    </row>
    <row r="621" spans="4:6" ht="12.75">
      <c r="D621" s="53" t="s">
        <v>2467</v>
      </c>
      <c r="E621" s="54" t="s">
        <v>2468</v>
      </c>
      <c r="F621" s="55" t="s">
        <v>2469</v>
      </c>
    </row>
    <row r="622" spans="4:6" ht="12.75">
      <c r="D622" s="53" t="s">
        <v>2470</v>
      </c>
      <c r="E622" s="54" t="s">
        <v>2471</v>
      </c>
      <c r="F622" s="55" t="s">
        <v>2472</v>
      </c>
    </row>
    <row r="623" spans="4:6" ht="12.75">
      <c r="D623" s="53" t="s">
        <v>2473</v>
      </c>
      <c r="E623" s="54" t="s">
        <v>2474</v>
      </c>
      <c r="F623" s="55" t="s">
        <v>2475</v>
      </c>
    </row>
    <row r="624" spans="4:6" ht="12.75">
      <c r="D624" s="53" t="s">
        <v>2476</v>
      </c>
      <c r="E624" s="54" t="s">
        <v>2477</v>
      </c>
      <c r="F624" s="55" t="s">
        <v>2478</v>
      </c>
    </row>
    <row r="625" spans="4:6" ht="12.75">
      <c r="D625" s="53" t="s">
        <v>2479</v>
      </c>
      <c r="E625" s="54" t="s">
        <v>2480</v>
      </c>
      <c r="F625" s="55" t="s">
        <v>2481</v>
      </c>
    </row>
    <row r="626" spans="4:6" ht="12.75">
      <c r="D626" s="53" t="s">
        <v>2482</v>
      </c>
      <c r="E626" s="54" t="s">
        <v>2483</v>
      </c>
      <c r="F626" s="55" t="s">
        <v>2484</v>
      </c>
    </row>
    <row r="627" spans="4:6" ht="12.75">
      <c r="D627" s="53" t="s">
        <v>2485</v>
      </c>
      <c r="E627" s="54" t="s">
        <v>2486</v>
      </c>
      <c r="F627" s="55" t="s">
        <v>2487</v>
      </c>
    </row>
    <row r="628" spans="4:6" ht="12.75">
      <c r="D628" s="53" t="s">
        <v>2488</v>
      </c>
      <c r="E628" s="54" t="s">
        <v>2489</v>
      </c>
      <c r="F628" s="55" t="s">
        <v>2490</v>
      </c>
    </row>
    <row r="629" spans="4:6" ht="12.75">
      <c r="D629" s="53" t="s">
        <v>2491</v>
      </c>
      <c r="E629" s="54" t="s">
        <v>2492</v>
      </c>
      <c r="F629" s="55" t="s">
        <v>2493</v>
      </c>
    </row>
    <row r="630" spans="4:6" ht="12.75">
      <c r="D630" s="53" t="s">
        <v>2494</v>
      </c>
      <c r="E630" s="54" t="s">
        <v>2495</v>
      </c>
      <c r="F630" s="55" t="s">
        <v>2496</v>
      </c>
    </row>
    <row r="631" spans="4:6" ht="12.75">
      <c r="D631" s="53" t="s">
        <v>2497</v>
      </c>
      <c r="E631" s="54" t="s">
        <v>2498</v>
      </c>
      <c r="F631" s="55" t="s">
        <v>2499</v>
      </c>
    </row>
    <row r="632" spans="4:6" ht="12.75">
      <c r="D632" s="53" t="s">
        <v>2500</v>
      </c>
      <c r="E632" s="54" t="s">
        <v>2501</v>
      </c>
      <c r="F632" s="54" t="s">
        <v>2502</v>
      </c>
    </row>
    <row r="633" spans="4:6" ht="12.75">
      <c r="D633" s="53" t="s">
        <v>2503</v>
      </c>
      <c r="E633" s="54" t="s">
        <v>2504</v>
      </c>
      <c r="F633" s="55" t="s">
        <v>2505</v>
      </c>
    </row>
    <row r="634" spans="4:6" ht="12.75">
      <c r="D634" s="53" t="s">
        <v>2506</v>
      </c>
      <c r="E634" s="54" t="s">
        <v>2507</v>
      </c>
      <c r="F634" s="55" t="s">
        <v>2508</v>
      </c>
    </row>
    <row r="635" spans="4:6" ht="12.75">
      <c r="D635" s="53" t="s">
        <v>2509</v>
      </c>
      <c r="E635" s="54" t="s">
        <v>2510</v>
      </c>
      <c r="F635" s="55" t="s">
        <v>2511</v>
      </c>
    </row>
    <row r="636" spans="4:6" ht="12.75">
      <c r="D636" s="53" t="s">
        <v>2512</v>
      </c>
      <c r="E636" s="54" t="s">
        <v>2513</v>
      </c>
      <c r="F636" s="55" t="s">
        <v>2514</v>
      </c>
    </row>
    <row r="637" spans="4:6" ht="12.75">
      <c r="D637" s="53" t="s">
        <v>2515</v>
      </c>
      <c r="E637" s="54" t="s">
        <v>2516</v>
      </c>
      <c r="F637" s="55" t="s">
        <v>2517</v>
      </c>
    </row>
    <row r="638" spans="4:6" ht="12.75">
      <c r="D638" s="53" t="s">
        <v>2518</v>
      </c>
      <c r="E638" s="54" t="s">
        <v>2519</v>
      </c>
      <c r="F638" s="55" t="s">
        <v>2520</v>
      </c>
    </row>
    <row r="639" spans="4:6" ht="12.75">
      <c r="D639" s="53" t="s">
        <v>815</v>
      </c>
      <c r="E639" s="54"/>
      <c r="F639" s="55"/>
    </row>
    <row r="640" spans="4:6" ht="12.75">
      <c r="D640" s="53" t="s">
        <v>2521</v>
      </c>
      <c r="E640" s="54" t="s">
        <v>2522</v>
      </c>
      <c r="F640" s="55" t="s">
        <v>2523</v>
      </c>
    </row>
    <row r="641" spans="4:6" ht="12.75">
      <c r="D641" s="53" t="s">
        <v>2524</v>
      </c>
      <c r="E641" s="54" t="s">
        <v>2525</v>
      </c>
      <c r="F641" s="55" t="s">
        <v>2526</v>
      </c>
    </row>
    <row r="642" spans="4:6" ht="12.75">
      <c r="D642" s="53" t="s">
        <v>2527</v>
      </c>
      <c r="E642" s="54" t="s">
        <v>2528</v>
      </c>
      <c r="F642" s="55" t="s">
        <v>2529</v>
      </c>
    </row>
    <row r="643" spans="4:6" ht="12.75">
      <c r="D643" s="53" t="s">
        <v>2530</v>
      </c>
      <c r="E643" s="54" t="s">
        <v>2531</v>
      </c>
      <c r="F643" s="55" t="s">
        <v>2532</v>
      </c>
    </row>
    <row r="644" spans="4:6" ht="12.75">
      <c r="D644" s="53" t="s">
        <v>2533</v>
      </c>
      <c r="E644" s="54" t="s">
        <v>2534</v>
      </c>
      <c r="F644" s="55" t="s">
        <v>2535</v>
      </c>
    </row>
    <row r="645" spans="4:6" ht="12.75">
      <c r="D645" s="53" t="s">
        <v>2536</v>
      </c>
      <c r="E645" s="54" t="s">
        <v>2537</v>
      </c>
      <c r="F645" s="55" t="s">
        <v>2538</v>
      </c>
    </row>
    <row r="646" spans="4:6" ht="12.75">
      <c r="D646" s="53" t="s">
        <v>2539</v>
      </c>
      <c r="E646" s="54" t="s">
        <v>2540</v>
      </c>
      <c r="F646" s="55" t="s">
        <v>2541</v>
      </c>
    </row>
    <row r="647" spans="4:6" ht="12.75">
      <c r="D647" s="53" t="s">
        <v>2542</v>
      </c>
      <c r="E647" s="54" t="s">
        <v>2543</v>
      </c>
      <c r="F647" s="55" t="s">
        <v>2544</v>
      </c>
    </row>
    <row r="648" spans="4:6" ht="12.75">
      <c r="D648" s="53" t="s">
        <v>2545</v>
      </c>
      <c r="E648" s="54" t="s">
        <v>2546</v>
      </c>
      <c r="F648" s="55" t="s">
        <v>2547</v>
      </c>
    </row>
    <row r="649" spans="4:6" ht="12.75">
      <c r="D649" s="53" t="s">
        <v>2548</v>
      </c>
      <c r="E649" s="54" t="s">
        <v>2549</v>
      </c>
      <c r="F649" s="55" t="s">
        <v>2550</v>
      </c>
    </row>
    <row r="650" spans="4:6" ht="12.75">
      <c r="D650" s="53" t="s">
        <v>2551</v>
      </c>
      <c r="E650" s="54" t="s">
        <v>2552</v>
      </c>
      <c r="F650" s="55" t="s">
        <v>2553</v>
      </c>
    </row>
    <row r="651" spans="4:6" ht="12.75">
      <c r="D651" s="53" t="s">
        <v>2554</v>
      </c>
      <c r="E651" s="54" t="s">
        <v>2555</v>
      </c>
      <c r="F651" s="55" t="s">
        <v>2556</v>
      </c>
    </row>
    <row r="652" spans="4:6" ht="12.75">
      <c r="D652" s="53" t="s">
        <v>2557</v>
      </c>
      <c r="E652" s="54" t="s">
        <v>2558</v>
      </c>
      <c r="F652" s="55" t="s">
        <v>2559</v>
      </c>
    </row>
    <row r="653" spans="4:6" ht="12.75">
      <c r="D653" s="53" t="s">
        <v>2560</v>
      </c>
      <c r="E653" s="54" t="s">
        <v>2561</v>
      </c>
      <c r="F653" s="55" t="s">
        <v>2562</v>
      </c>
    </row>
    <row r="654" spans="4:6" ht="12.75">
      <c r="D654" s="53" t="s">
        <v>2563</v>
      </c>
      <c r="E654" s="54" t="s">
        <v>2564</v>
      </c>
      <c r="F654" s="55" t="s">
        <v>2565</v>
      </c>
    </row>
    <row r="655" spans="4:6" ht="12.75">
      <c r="D655" s="53" t="s">
        <v>2566</v>
      </c>
      <c r="E655" s="54" t="s">
        <v>2567</v>
      </c>
      <c r="F655" s="55" t="s">
        <v>2568</v>
      </c>
    </row>
    <row r="656" spans="4:6" ht="12.75">
      <c r="D656" s="53" t="s">
        <v>2569</v>
      </c>
      <c r="E656" s="54" t="s">
        <v>2570</v>
      </c>
      <c r="F656" s="55" t="s">
        <v>2571</v>
      </c>
    </row>
    <row r="657" spans="4:6" ht="12.75">
      <c r="D657" s="53" t="s">
        <v>2572</v>
      </c>
      <c r="E657" s="54" t="s">
        <v>2573</v>
      </c>
      <c r="F657" s="55" t="s">
        <v>2574</v>
      </c>
    </row>
    <row r="658" spans="4:6" ht="12.75">
      <c r="D658" s="53" t="s">
        <v>2575</v>
      </c>
      <c r="E658" s="54" t="s">
        <v>2576</v>
      </c>
      <c r="F658" s="55" t="s">
        <v>2577</v>
      </c>
    </row>
    <row r="659" spans="4:6" ht="12.75">
      <c r="D659" s="53" t="s">
        <v>2578</v>
      </c>
      <c r="E659" s="54" t="s">
        <v>2579</v>
      </c>
      <c r="F659" s="55" t="s">
        <v>2580</v>
      </c>
    </row>
    <row r="660" spans="4:6" ht="12.75">
      <c r="D660" s="53" t="s">
        <v>2581</v>
      </c>
      <c r="E660" s="54" t="s">
        <v>2582</v>
      </c>
      <c r="F660" s="55" t="s">
        <v>2583</v>
      </c>
    </row>
    <row r="661" spans="4:6" ht="12.75">
      <c r="D661" s="53" t="s">
        <v>2584</v>
      </c>
      <c r="E661" s="54" t="s">
        <v>2585</v>
      </c>
      <c r="F661" s="55" t="s">
        <v>2586</v>
      </c>
    </row>
    <row r="662" spans="4:6" ht="12.75">
      <c r="D662" s="53" t="s">
        <v>2587</v>
      </c>
      <c r="E662" s="54" t="s">
        <v>2588</v>
      </c>
      <c r="F662" s="55" t="s">
        <v>2589</v>
      </c>
    </row>
    <row r="663" spans="4:6" ht="12.75">
      <c r="D663" s="53" t="s">
        <v>2590</v>
      </c>
      <c r="E663" s="54" t="s">
        <v>2591</v>
      </c>
      <c r="F663" s="55" t="s">
        <v>2592</v>
      </c>
    </row>
    <row r="664" spans="4:6" ht="12.75">
      <c r="D664" s="53" t="s">
        <v>2593</v>
      </c>
      <c r="E664" s="54" t="s">
        <v>2594</v>
      </c>
      <c r="F664" s="55" t="s">
        <v>2595</v>
      </c>
    </row>
    <row r="665" spans="4:6" ht="12.75">
      <c r="D665" s="53" t="s">
        <v>2596</v>
      </c>
      <c r="E665" s="54" t="s">
        <v>2597</v>
      </c>
      <c r="F665" s="55" t="s">
        <v>2598</v>
      </c>
    </row>
    <row r="666" spans="4:6" ht="12.75">
      <c r="D666" s="53" t="s">
        <v>2599</v>
      </c>
      <c r="E666" s="54" t="s">
        <v>2600</v>
      </c>
      <c r="F666" s="55" t="s">
        <v>2601</v>
      </c>
    </row>
    <row r="667" spans="4:6" ht="12.75">
      <c r="D667" s="53" t="s">
        <v>815</v>
      </c>
      <c r="E667" s="54"/>
      <c r="F667" s="55"/>
    </row>
    <row r="668" spans="4:6" ht="12.75">
      <c r="D668" s="53" t="s">
        <v>2602</v>
      </c>
      <c r="E668" s="54" t="s">
        <v>2603</v>
      </c>
      <c r="F668" s="55" t="s">
        <v>2604</v>
      </c>
    </row>
    <row r="669" spans="4:6" ht="12.75">
      <c r="D669" s="53" t="s">
        <v>2605</v>
      </c>
      <c r="E669" s="54" t="s">
        <v>2606</v>
      </c>
      <c r="F669" s="55" t="s">
        <v>2607</v>
      </c>
    </row>
    <row r="670" spans="4:6" ht="12.75">
      <c r="D670" s="53" t="s">
        <v>2608</v>
      </c>
      <c r="E670" s="54" t="s">
        <v>2609</v>
      </c>
      <c r="F670" s="55" t="s">
        <v>2610</v>
      </c>
    </row>
    <row r="671" spans="4:6" ht="12.75">
      <c r="D671" s="53" t="s">
        <v>2611</v>
      </c>
      <c r="E671" s="54" t="s">
        <v>2612</v>
      </c>
      <c r="F671" s="55" t="s">
        <v>2613</v>
      </c>
    </row>
    <row r="672" spans="4:6" ht="12.75">
      <c r="D672" s="53" t="s">
        <v>815</v>
      </c>
      <c r="E672" s="54"/>
      <c r="F672" s="55"/>
    </row>
    <row r="673" spans="4:6" ht="12.75">
      <c r="D673" s="53" t="s">
        <v>2614</v>
      </c>
      <c r="E673" s="54" t="s">
        <v>2615</v>
      </c>
      <c r="F673" s="55" t="s">
        <v>2616</v>
      </c>
    </row>
    <row r="674" spans="4:6" ht="12.75">
      <c r="D674" s="53" t="s">
        <v>2617</v>
      </c>
      <c r="E674" s="54" t="s">
        <v>2618</v>
      </c>
      <c r="F674" s="55" t="s">
        <v>2619</v>
      </c>
    </row>
    <row r="675" spans="4:6" ht="12.75">
      <c r="D675" s="53" t="s">
        <v>2620</v>
      </c>
      <c r="E675" s="54" t="s">
        <v>2621</v>
      </c>
      <c r="F675" s="55" t="s">
        <v>2622</v>
      </c>
    </row>
    <row r="676" spans="4:6" ht="12.75">
      <c r="D676" s="53" t="s">
        <v>2623</v>
      </c>
      <c r="E676" s="54" t="s">
        <v>2624</v>
      </c>
      <c r="F676" s="54" t="s">
        <v>2625</v>
      </c>
    </row>
    <row r="677" spans="4:6" ht="12.75">
      <c r="D677" s="53" t="s">
        <v>2626</v>
      </c>
      <c r="E677" s="54" t="s">
        <v>2627</v>
      </c>
      <c r="F677" s="55" t="s">
        <v>2628</v>
      </c>
    </row>
    <row r="678" spans="4:6" ht="12.75">
      <c r="D678" s="53" t="s">
        <v>815</v>
      </c>
      <c r="E678" s="54"/>
      <c r="F678" s="55"/>
    </row>
    <row r="679" spans="4:6" ht="12.75">
      <c r="D679" s="53" t="s">
        <v>2629</v>
      </c>
      <c r="E679" s="54" t="s">
        <v>2630</v>
      </c>
      <c r="F679" s="55" t="s">
        <v>2631</v>
      </c>
    </row>
    <row r="680" spans="4:6" ht="12.75">
      <c r="D680" s="53" t="s">
        <v>2632</v>
      </c>
      <c r="E680" s="54" t="s">
        <v>2633</v>
      </c>
      <c r="F680" s="55" t="s">
        <v>2634</v>
      </c>
    </row>
    <row r="681" spans="4:6" ht="12.75">
      <c r="D681" s="53" t="s">
        <v>2635</v>
      </c>
      <c r="E681" s="54" t="s">
        <v>2636</v>
      </c>
      <c r="F681" s="55" t="s">
        <v>2637</v>
      </c>
    </row>
    <row r="682" spans="4:6" ht="12.75">
      <c r="D682" s="53" t="s">
        <v>815</v>
      </c>
      <c r="E682" s="54"/>
      <c r="F682" s="55"/>
    </row>
    <row r="683" spans="4:6" ht="12.75">
      <c r="D683" s="53" t="s">
        <v>2638</v>
      </c>
      <c r="E683" s="54" t="s">
        <v>2639</v>
      </c>
      <c r="F683" s="55" t="s">
        <v>2640</v>
      </c>
    </row>
    <row r="684" spans="4:6" ht="12.75">
      <c r="D684" s="53" t="s">
        <v>815</v>
      </c>
      <c r="E684" s="54"/>
      <c r="F684" s="55"/>
    </row>
    <row r="685" spans="4:6" ht="12.75">
      <c r="D685" s="53" t="s">
        <v>2641</v>
      </c>
      <c r="E685" s="54" t="s">
        <v>2642</v>
      </c>
      <c r="F685" s="55" t="s">
        <v>2643</v>
      </c>
    </row>
    <row r="686" spans="4:6" ht="12.75">
      <c r="D686" s="53" t="s">
        <v>2644</v>
      </c>
      <c r="E686" s="54" t="s">
        <v>2645</v>
      </c>
      <c r="F686" s="55" t="s">
        <v>2646</v>
      </c>
    </row>
    <row r="687" spans="4:6" ht="12.75">
      <c r="D687" s="53" t="s">
        <v>2647</v>
      </c>
      <c r="E687" s="54" t="s">
        <v>2648</v>
      </c>
      <c r="F687" s="55" t="s">
        <v>2649</v>
      </c>
    </row>
    <row r="688" spans="4:6" ht="12.75">
      <c r="D688" s="53" t="s">
        <v>2650</v>
      </c>
      <c r="E688" s="54" t="s">
        <v>2651</v>
      </c>
      <c r="F688" s="55" t="s">
        <v>2652</v>
      </c>
    </row>
    <row r="689" spans="4:6" ht="12.75">
      <c r="D689" s="53" t="s">
        <v>2653</v>
      </c>
      <c r="E689" s="54" t="s">
        <v>2654</v>
      </c>
      <c r="F689" s="55" t="s">
        <v>2655</v>
      </c>
    </row>
    <row r="690" spans="4:6" ht="12.75">
      <c r="D690" s="53" t="s">
        <v>2656</v>
      </c>
      <c r="E690" s="54" t="s">
        <v>2657</v>
      </c>
      <c r="F690" s="54" t="s">
        <v>2658</v>
      </c>
    </row>
    <row r="691" spans="4:6" ht="12.75">
      <c r="D691" s="53" t="s">
        <v>2659</v>
      </c>
      <c r="E691" s="54" t="s">
        <v>2660</v>
      </c>
      <c r="F691" s="54" t="s">
        <v>2661</v>
      </c>
    </row>
    <row r="692" spans="4:6" ht="12.75">
      <c r="D692" s="53" t="s">
        <v>2662</v>
      </c>
      <c r="E692" s="54" t="s">
        <v>2663</v>
      </c>
      <c r="F692" s="55" t="s">
        <v>2664</v>
      </c>
    </row>
    <row r="693" spans="4:6" ht="12.75">
      <c r="D693" s="53" t="s">
        <v>2665</v>
      </c>
      <c r="E693" s="54" t="s">
        <v>2666</v>
      </c>
      <c r="F693" s="55" t="s">
        <v>2667</v>
      </c>
    </row>
    <row r="694" spans="4:6" ht="12.75">
      <c r="D694" s="53" t="s">
        <v>2668</v>
      </c>
      <c r="E694" s="54" t="s">
        <v>2669</v>
      </c>
      <c r="F694" s="55" t="s">
        <v>2670</v>
      </c>
    </row>
    <row r="695" spans="4:6" ht="12.75">
      <c r="D695" s="53" t="s">
        <v>2671</v>
      </c>
      <c r="E695" s="54" t="s">
        <v>2672</v>
      </c>
      <c r="F695" s="55" t="s">
        <v>2673</v>
      </c>
    </row>
    <row r="696" spans="4:6" ht="12.75">
      <c r="D696" s="53" t="s">
        <v>815</v>
      </c>
      <c r="E696" s="54"/>
      <c r="F696" s="55"/>
    </row>
    <row r="697" spans="4:6" ht="12.75">
      <c r="D697" s="53" t="s">
        <v>2674</v>
      </c>
      <c r="E697" s="54" t="s">
        <v>2675</v>
      </c>
      <c r="F697" s="55" t="s">
        <v>2676</v>
      </c>
    </row>
    <row r="698" spans="4:6" ht="12.75">
      <c r="D698" s="53" t="s">
        <v>2677</v>
      </c>
      <c r="E698" s="54" t="s">
        <v>2678</v>
      </c>
      <c r="F698" s="55" t="s">
        <v>2679</v>
      </c>
    </row>
    <row r="699" spans="4:6" ht="12.75">
      <c r="D699" s="53" t="s">
        <v>815</v>
      </c>
      <c r="E699" s="54"/>
      <c r="F699" s="55"/>
    </row>
    <row r="700" spans="4:6" ht="12.75">
      <c r="D700" s="53" t="s">
        <v>2680</v>
      </c>
      <c r="E700" s="54" t="s">
        <v>2681</v>
      </c>
      <c r="F700" s="55" t="s">
        <v>2682</v>
      </c>
    </row>
    <row r="701" spans="4:6" ht="12.75">
      <c r="D701" s="53" t="s">
        <v>2683</v>
      </c>
      <c r="E701" s="54" t="s">
        <v>2684</v>
      </c>
      <c r="F701" s="55" t="s">
        <v>2685</v>
      </c>
    </row>
    <row r="702" spans="4:6" ht="12.75">
      <c r="D702" s="53" t="s">
        <v>2686</v>
      </c>
      <c r="E702" s="54" t="s">
        <v>2687</v>
      </c>
      <c r="F702" s="55" t="s">
        <v>2688</v>
      </c>
    </row>
    <row r="703" spans="4:6" ht="12.75">
      <c r="D703" s="53" t="s">
        <v>2689</v>
      </c>
      <c r="E703" s="54" t="s">
        <v>2690</v>
      </c>
      <c r="F703" s="55" t="s">
        <v>2691</v>
      </c>
    </row>
    <row r="704" spans="4:6" ht="12.75">
      <c r="D704" s="53" t="s">
        <v>2692</v>
      </c>
      <c r="E704" s="54" t="s">
        <v>2693</v>
      </c>
      <c r="F704" s="55" t="s">
        <v>2694</v>
      </c>
    </row>
    <row r="705" spans="4:6" ht="12.75">
      <c r="D705" s="53" t="s">
        <v>815</v>
      </c>
      <c r="E705" s="54"/>
      <c r="F705" s="55"/>
    </row>
    <row r="706" spans="4:6" ht="12.75">
      <c r="D706" s="53" t="s">
        <v>2695</v>
      </c>
      <c r="E706" s="54" t="s">
        <v>2696</v>
      </c>
      <c r="F706" s="55" t="s">
        <v>2697</v>
      </c>
    </row>
    <row r="707" spans="4:6" ht="12.75">
      <c r="D707" s="53" t="s">
        <v>2698</v>
      </c>
      <c r="E707" s="54" t="s">
        <v>2699</v>
      </c>
      <c r="F707" s="55" t="s">
        <v>2700</v>
      </c>
    </row>
    <row r="708" spans="4:6" ht="12.75">
      <c r="D708" s="53" t="s">
        <v>2701</v>
      </c>
      <c r="E708" s="54" t="s">
        <v>2702</v>
      </c>
      <c r="F708" s="55" t="s">
        <v>2703</v>
      </c>
    </row>
    <row r="709" spans="4:6" ht="12.75">
      <c r="D709" s="53" t="s">
        <v>2704</v>
      </c>
      <c r="E709" s="54" t="s">
        <v>2705</v>
      </c>
      <c r="F709" s="55" t="s">
        <v>2706</v>
      </c>
    </row>
    <row r="710" spans="4:6" ht="12.75">
      <c r="D710" s="53" t="s">
        <v>2707</v>
      </c>
      <c r="E710" s="54" t="s">
        <v>2708</v>
      </c>
      <c r="F710" s="55" t="s">
        <v>2709</v>
      </c>
    </row>
    <row r="711" spans="4:6" ht="12.75">
      <c r="D711" s="53" t="s">
        <v>2710</v>
      </c>
      <c r="E711" s="54" t="s">
        <v>2711</v>
      </c>
      <c r="F711" s="55" t="s">
        <v>2712</v>
      </c>
    </row>
    <row r="712" spans="4:6" ht="12.75">
      <c r="D712" s="53" t="s">
        <v>2713</v>
      </c>
      <c r="E712" s="54" t="s">
        <v>2714</v>
      </c>
      <c r="F712" s="55" t="s">
        <v>2715</v>
      </c>
    </row>
    <row r="713" spans="4:6" ht="12.75">
      <c r="D713" s="53" t="s">
        <v>2716</v>
      </c>
      <c r="E713" s="54" t="s">
        <v>2717</v>
      </c>
      <c r="F713" s="54" t="s">
        <v>2718</v>
      </c>
    </row>
    <row r="714" spans="4:6" ht="12.75">
      <c r="D714" s="53" t="s">
        <v>2719</v>
      </c>
      <c r="E714" s="54" t="s">
        <v>2720</v>
      </c>
      <c r="F714" s="55" t="s">
        <v>2721</v>
      </c>
    </row>
    <row r="715" spans="4:6" ht="12.75">
      <c r="D715" s="53" t="s">
        <v>2722</v>
      </c>
      <c r="E715" s="54" t="s">
        <v>2723</v>
      </c>
      <c r="F715" s="58" t="s">
        <v>2724</v>
      </c>
    </row>
    <row r="716" spans="4:6" ht="12.75">
      <c r="D716" s="53" t="s">
        <v>2725</v>
      </c>
      <c r="E716" s="54" t="s">
        <v>2726</v>
      </c>
      <c r="F716" s="55" t="s">
        <v>2727</v>
      </c>
    </row>
    <row r="717" spans="4:6" ht="12.75">
      <c r="D717" s="53" t="s">
        <v>2728</v>
      </c>
      <c r="E717" s="54" t="s">
        <v>2729</v>
      </c>
      <c r="F717" s="55" t="s">
        <v>2730</v>
      </c>
    </row>
    <row r="718" spans="4:6" ht="12.75">
      <c r="D718" s="53" t="s">
        <v>815</v>
      </c>
      <c r="E718" s="54"/>
      <c r="F718" s="55"/>
    </row>
    <row r="719" spans="4:6" ht="12.75">
      <c r="D719" s="53" t="s">
        <v>2731</v>
      </c>
      <c r="E719" s="54" t="s">
        <v>2732</v>
      </c>
      <c r="F719" s="55" t="s">
        <v>2733</v>
      </c>
    </row>
    <row r="720" spans="4:6" ht="12.75">
      <c r="D720" s="53" t="s">
        <v>2734</v>
      </c>
      <c r="E720" s="54" t="s">
        <v>2735</v>
      </c>
      <c r="F720" s="55" t="s">
        <v>2736</v>
      </c>
    </row>
    <row r="721" spans="4:6" ht="12.75">
      <c r="D721" s="53" t="s">
        <v>2737</v>
      </c>
      <c r="E721" s="54" t="s">
        <v>2738</v>
      </c>
      <c r="F721" s="55" t="s">
        <v>2739</v>
      </c>
    </row>
    <row r="722" spans="4:6" ht="12.75">
      <c r="D722" s="53" t="s">
        <v>815</v>
      </c>
      <c r="E722" s="54"/>
      <c r="F722" s="55"/>
    </row>
    <row r="723" spans="4:6" ht="12.75">
      <c r="D723" s="53" t="s">
        <v>2740</v>
      </c>
      <c r="E723" s="54" t="s">
        <v>2741</v>
      </c>
      <c r="F723" s="55" t="s">
        <v>2742</v>
      </c>
    </row>
    <row r="724" spans="4:6" ht="12.75">
      <c r="D724" s="53" t="s">
        <v>2743</v>
      </c>
      <c r="E724" s="54" t="s">
        <v>2744</v>
      </c>
      <c r="F724" s="55" t="s">
        <v>2745</v>
      </c>
    </row>
    <row r="725" spans="4:6" ht="12.75">
      <c r="D725" s="53" t="s">
        <v>2746</v>
      </c>
      <c r="E725" s="54" t="s">
        <v>2747</v>
      </c>
      <c r="F725" s="55" t="s">
        <v>2748</v>
      </c>
    </row>
    <row r="726" spans="4:6" ht="12.75">
      <c r="D726" s="53" t="s">
        <v>2749</v>
      </c>
      <c r="E726" s="54" t="s">
        <v>2750</v>
      </c>
      <c r="F726" s="55" t="s">
        <v>2751</v>
      </c>
    </row>
    <row r="727" spans="4:6" ht="12.75">
      <c r="D727" s="53" t="s">
        <v>2752</v>
      </c>
      <c r="E727" s="54" t="s">
        <v>2753</v>
      </c>
      <c r="F727" s="55" t="s">
        <v>2754</v>
      </c>
    </row>
    <row r="728" spans="4:6" ht="12.75">
      <c r="D728" s="53" t="s">
        <v>2755</v>
      </c>
      <c r="E728" s="54" t="s">
        <v>2756</v>
      </c>
      <c r="F728" s="55" t="s">
        <v>2757</v>
      </c>
    </row>
    <row r="729" spans="4:6" ht="12.75">
      <c r="D729" s="53" t="s">
        <v>2758</v>
      </c>
      <c r="E729" s="54" t="s">
        <v>2759</v>
      </c>
      <c r="F729" s="55" t="s">
        <v>2760</v>
      </c>
    </row>
    <row r="730" spans="4:6" ht="12.75">
      <c r="D730" s="53" t="s">
        <v>2761</v>
      </c>
      <c r="E730" s="54" t="s">
        <v>2762</v>
      </c>
      <c r="F730" s="55" t="s">
        <v>2763</v>
      </c>
    </row>
    <row r="731" spans="4:6" ht="12.75">
      <c r="D731" s="53" t="s">
        <v>2764</v>
      </c>
      <c r="E731" s="54" t="s">
        <v>2765</v>
      </c>
      <c r="F731" s="55" t="s">
        <v>2766</v>
      </c>
    </row>
    <row r="732" spans="4:6" ht="12.75">
      <c r="D732" s="53" t="s">
        <v>2767</v>
      </c>
      <c r="E732" s="54" t="s">
        <v>2768</v>
      </c>
      <c r="F732" s="55" t="s">
        <v>2769</v>
      </c>
    </row>
    <row r="733" spans="4:6" ht="12.75">
      <c r="D733" s="53" t="s">
        <v>2770</v>
      </c>
      <c r="E733" s="54" t="s">
        <v>2771</v>
      </c>
      <c r="F733" s="55" t="s">
        <v>2772</v>
      </c>
    </row>
    <row r="734" spans="4:6" ht="12.75">
      <c r="D734" s="53" t="s">
        <v>2773</v>
      </c>
      <c r="E734" s="54" t="s">
        <v>2774</v>
      </c>
      <c r="F734" s="55" t="s">
        <v>2775</v>
      </c>
    </row>
    <row r="735" spans="4:6" ht="12.75">
      <c r="D735" s="53" t="s">
        <v>2776</v>
      </c>
      <c r="E735" s="54" t="s">
        <v>2777</v>
      </c>
      <c r="F735" s="55" t="s">
        <v>2778</v>
      </c>
    </row>
    <row r="736" spans="4:6" ht="12.75">
      <c r="D736" s="53" t="s">
        <v>2779</v>
      </c>
      <c r="E736" s="54" t="s">
        <v>2780</v>
      </c>
      <c r="F736" s="55" t="s">
        <v>2781</v>
      </c>
    </row>
    <row r="737" spans="4:6" ht="12.75">
      <c r="D737" s="53" t="s">
        <v>815</v>
      </c>
      <c r="E737" s="54"/>
      <c r="F737" s="55"/>
    </row>
    <row r="738" spans="4:6" ht="12.75">
      <c r="D738" s="53" t="s">
        <v>2782</v>
      </c>
      <c r="E738" s="54" t="s">
        <v>2783</v>
      </c>
      <c r="F738" s="55" t="s">
        <v>2784</v>
      </c>
    </row>
    <row r="739" spans="4:6" ht="12.75">
      <c r="D739" s="53" t="s">
        <v>815</v>
      </c>
      <c r="E739" s="54"/>
      <c r="F739" s="55"/>
    </row>
    <row r="740" spans="4:6" ht="12.75">
      <c r="D740" s="53" t="s">
        <v>2785</v>
      </c>
      <c r="E740" s="54" t="s">
        <v>2786</v>
      </c>
      <c r="F740" s="55" t="s">
        <v>2787</v>
      </c>
    </row>
    <row r="741" spans="4:6" ht="12.75">
      <c r="D741" s="53" t="s">
        <v>2788</v>
      </c>
      <c r="E741" s="54" t="s">
        <v>2789</v>
      </c>
      <c r="F741" s="55" t="s">
        <v>2790</v>
      </c>
    </row>
    <row r="742" spans="4:6" ht="12.75">
      <c r="D742" s="53" t="s">
        <v>2791</v>
      </c>
      <c r="E742" s="54" t="s">
        <v>2792</v>
      </c>
      <c r="F742" s="55" t="s">
        <v>2793</v>
      </c>
    </row>
    <row r="743" spans="4:6" ht="12.75">
      <c r="D743" s="53" t="s">
        <v>2794</v>
      </c>
      <c r="E743" s="54" t="s">
        <v>2795</v>
      </c>
      <c r="F743" s="55" t="s">
        <v>2796</v>
      </c>
    </row>
    <row r="744" spans="4:6" ht="12.75">
      <c r="D744" s="53" t="s">
        <v>2797</v>
      </c>
      <c r="E744" s="54" t="s">
        <v>2798</v>
      </c>
      <c r="F744" s="55" t="s">
        <v>2799</v>
      </c>
    </row>
    <row r="745" spans="4:6" ht="12.75">
      <c r="D745" s="53" t="s">
        <v>2800</v>
      </c>
      <c r="E745" s="54" t="s">
        <v>2801</v>
      </c>
      <c r="F745" s="55" t="s">
        <v>2802</v>
      </c>
    </row>
    <row r="746" spans="4:6" ht="12.75">
      <c r="D746" s="53" t="s">
        <v>2803</v>
      </c>
      <c r="E746" s="54" t="s">
        <v>2804</v>
      </c>
      <c r="F746" s="55" t="s">
        <v>2805</v>
      </c>
    </row>
    <row r="747" spans="4:6" ht="12.75">
      <c r="D747" s="53" t="s">
        <v>2806</v>
      </c>
      <c r="E747" s="54" t="s">
        <v>2807</v>
      </c>
      <c r="F747" s="55" t="s">
        <v>2808</v>
      </c>
    </row>
    <row r="748" spans="4:6" ht="12.75">
      <c r="D748" s="53" t="s">
        <v>2809</v>
      </c>
      <c r="E748" s="54" t="s">
        <v>2810</v>
      </c>
      <c r="F748" s="55" t="s">
        <v>2811</v>
      </c>
    </row>
    <row r="749" spans="4:6" ht="12.75">
      <c r="D749" s="53" t="s">
        <v>2812</v>
      </c>
      <c r="E749" s="54" t="s">
        <v>2813</v>
      </c>
      <c r="F749" s="55" t="s">
        <v>2814</v>
      </c>
    </row>
    <row r="750" spans="4:6" ht="12.75">
      <c r="D750" s="53" t="s">
        <v>2815</v>
      </c>
      <c r="E750" s="54" t="s">
        <v>2816</v>
      </c>
      <c r="F750" s="55" t="s">
        <v>2817</v>
      </c>
    </row>
    <row r="751" spans="4:6" ht="12.75">
      <c r="D751" s="53" t="s">
        <v>2818</v>
      </c>
      <c r="E751" s="54" t="s">
        <v>2819</v>
      </c>
      <c r="F751" s="55" t="s">
        <v>2820</v>
      </c>
    </row>
    <row r="752" spans="4:6" ht="12.75">
      <c r="D752" s="53" t="s">
        <v>2821</v>
      </c>
      <c r="E752" s="54" t="s">
        <v>2822</v>
      </c>
      <c r="F752" s="55" t="s">
        <v>2823</v>
      </c>
    </row>
    <row r="753" spans="4:6" ht="12.75">
      <c r="D753" s="53" t="s">
        <v>2824</v>
      </c>
      <c r="E753" s="54" t="s">
        <v>2825</v>
      </c>
      <c r="F753" s="55" t="s">
        <v>2826</v>
      </c>
    </row>
    <row r="754" spans="4:6" ht="12.75">
      <c r="D754" s="53" t="s">
        <v>2827</v>
      </c>
      <c r="E754" s="54" t="s">
        <v>2828</v>
      </c>
      <c r="F754" s="55" t="s">
        <v>2829</v>
      </c>
    </row>
    <row r="755" spans="4:6" ht="12.75">
      <c r="D755" s="53" t="s">
        <v>2830</v>
      </c>
      <c r="E755" s="54" t="s">
        <v>2831</v>
      </c>
      <c r="F755" s="55" t="s">
        <v>2832</v>
      </c>
    </row>
    <row r="756" spans="4:6" ht="12.75">
      <c r="D756" s="53" t="s">
        <v>2833</v>
      </c>
      <c r="E756" s="54" t="s">
        <v>2834</v>
      </c>
      <c r="F756" s="55" t="s">
        <v>2835</v>
      </c>
    </row>
    <row r="757" spans="4:6" ht="12.75">
      <c r="D757" s="53" t="s">
        <v>2836</v>
      </c>
      <c r="E757" s="54" t="s">
        <v>2837</v>
      </c>
      <c r="F757" s="55" t="s">
        <v>2838</v>
      </c>
    </row>
    <row r="758" spans="4:6" ht="12.75">
      <c r="D758" s="53" t="s">
        <v>2839</v>
      </c>
      <c r="E758" s="54" t="s">
        <v>2840</v>
      </c>
      <c r="F758" s="55" t="s">
        <v>2841</v>
      </c>
    </row>
    <row r="759" spans="4:6" ht="12.75">
      <c r="D759" s="53" t="s">
        <v>2842</v>
      </c>
      <c r="E759" s="54" t="s">
        <v>2843</v>
      </c>
      <c r="F759" s="55" t="s">
        <v>2844</v>
      </c>
    </row>
    <row r="760" spans="4:6" ht="12.75">
      <c r="D760" s="53" t="s">
        <v>2845</v>
      </c>
      <c r="E760" s="54" t="s">
        <v>2846</v>
      </c>
      <c r="F760" s="55" t="s">
        <v>2847</v>
      </c>
    </row>
    <row r="761" spans="4:6" ht="12.75">
      <c r="D761" s="53" t="s">
        <v>815</v>
      </c>
      <c r="E761" s="54"/>
      <c r="F761" s="55"/>
    </row>
    <row r="762" spans="4:6" ht="12.75">
      <c r="D762" s="53" t="s">
        <v>2848</v>
      </c>
      <c r="E762" s="54" t="s">
        <v>2849</v>
      </c>
      <c r="F762" s="55" t="s">
        <v>2850</v>
      </c>
    </row>
    <row r="763" spans="4:6" ht="12.75">
      <c r="D763" s="53" t="s">
        <v>2851</v>
      </c>
      <c r="E763" s="54" t="s">
        <v>2852</v>
      </c>
      <c r="F763" s="55" t="s">
        <v>2853</v>
      </c>
    </row>
    <row r="764" spans="4:6" ht="12.75">
      <c r="D764" s="53" t="s">
        <v>2854</v>
      </c>
      <c r="E764" s="54" t="s">
        <v>2855</v>
      </c>
      <c r="F764" s="55" t="s">
        <v>2856</v>
      </c>
    </row>
    <row r="765" spans="4:6" ht="12.75">
      <c r="D765" s="53" t="s">
        <v>2857</v>
      </c>
      <c r="E765" s="54" t="s">
        <v>2858</v>
      </c>
      <c r="F765" s="55" t="s">
        <v>2859</v>
      </c>
    </row>
    <row r="766" spans="4:6" ht="12.75">
      <c r="D766" s="53" t="s">
        <v>2860</v>
      </c>
      <c r="E766" s="54" t="s">
        <v>2861</v>
      </c>
      <c r="F766" s="55" t="s">
        <v>2862</v>
      </c>
    </row>
    <row r="767" spans="4:6" ht="12.75">
      <c r="D767" s="53" t="s">
        <v>2863</v>
      </c>
      <c r="E767" s="54" t="s">
        <v>2864</v>
      </c>
      <c r="F767" s="55" t="s">
        <v>2865</v>
      </c>
    </row>
    <row r="768" spans="4:6" ht="12.75">
      <c r="D768" s="53" t="s">
        <v>2866</v>
      </c>
      <c r="E768" s="54" t="s">
        <v>2867</v>
      </c>
      <c r="F768" s="55" t="s">
        <v>2868</v>
      </c>
    </row>
    <row r="769" spans="4:6" ht="12.75">
      <c r="D769" s="53" t="s">
        <v>2869</v>
      </c>
      <c r="E769" s="54" t="s">
        <v>2870</v>
      </c>
      <c r="F769" s="55" t="s">
        <v>2871</v>
      </c>
    </row>
    <row r="770" spans="4:6" ht="12.75">
      <c r="D770" s="53" t="s">
        <v>2872</v>
      </c>
      <c r="E770" s="54" t="s">
        <v>2873</v>
      </c>
      <c r="F770" s="55" t="s">
        <v>2874</v>
      </c>
    </row>
    <row r="771" spans="4:6" ht="12.75">
      <c r="D771" s="53" t="s">
        <v>2875</v>
      </c>
      <c r="E771" s="54" t="s">
        <v>2876</v>
      </c>
      <c r="F771" s="55" t="s">
        <v>2877</v>
      </c>
    </row>
    <row r="772" spans="4:6" ht="12.75">
      <c r="D772" s="53" t="s">
        <v>2878</v>
      </c>
      <c r="E772" s="54" t="s">
        <v>2879</v>
      </c>
      <c r="F772" s="55" t="s">
        <v>2880</v>
      </c>
    </row>
    <row r="773" spans="4:6" ht="12.75">
      <c r="D773" s="53" t="s">
        <v>2881</v>
      </c>
      <c r="E773" s="54" t="s">
        <v>2882</v>
      </c>
      <c r="F773" s="55" t="s">
        <v>2883</v>
      </c>
    </row>
    <row r="774" spans="4:6" ht="12.75">
      <c r="D774" s="53" t="s">
        <v>2884</v>
      </c>
      <c r="E774" s="54" t="s">
        <v>2885</v>
      </c>
      <c r="F774" s="55" t="s">
        <v>2886</v>
      </c>
    </row>
    <row r="775" spans="4:6" ht="12.75">
      <c r="D775" s="53" t="s">
        <v>2887</v>
      </c>
      <c r="E775" s="54" t="s">
        <v>2888</v>
      </c>
      <c r="F775" s="55" t="s">
        <v>2889</v>
      </c>
    </row>
    <row r="776" spans="4:6" ht="12.75">
      <c r="D776" s="53" t="s">
        <v>2890</v>
      </c>
      <c r="E776" s="54" t="s">
        <v>2891</v>
      </c>
      <c r="F776" s="55" t="s">
        <v>2892</v>
      </c>
    </row>
    <row r="777" spans="4:6" ht="12.75">
      <c r="D777" s="53" t="s">
        <v>2893</v>
      </c>
      <c r="E777" s="54" t="s">
        <v>2894</v>
      </c>
      <c r="F777" s="55" t="s">
        <v>2895</v>
      </c>
    </row>
    <row r="778" spans="4:6" ht="12.75">
      <c r="D778" s="53" t="s">
        <v>2896</v>
      </c>
      <c r="E778" s="54" t="s">
        <v>2897</v>
      </c>
      <c r="F778" s="55" t="s">
        <v>2898</v>
      </c>
    </row>
    <row r="779" spans="4:6" ht="12.75">
      <c r="D779" s="53" t="s">
        <v>2899</v>
      </c>
      <c r="E779" s="54" t="s">
        <v>2900</v>
      </c>
      <c r="F779" s="55" t="s">
        <v>2901</v>
      </c>
    </row>
    <row r="780" spans="4:6" ht="12.75">
      <c r="D780" s="53" t="s">
        <v>2902</v>
      </c>
      <c r="E780" s="54" t="s">
        <v>2903</v>
      </c>
      <c r="F780" s="55" t="s">
        <v>2904</v>
      </c>
    </row>
    <row r="781" spans="4:6" ht="12.75">
      <c r="D781" s="53" t="s">
        <v>2905</v>
      </c>
      <c r="E781" s="54" t="s">
        <v>2906</v>
      </c>
      <c r="F781" s="55" t="s">
        <v>2907</v>
      </c>
    </row>
    <row r="782" spans="4:6" ht="12.75">
      <c r="D782" s="53" t="s">
        <v>2908</v>
      </c>
      <c r="E782" s="54" t="s">
        <v>2909</v>
      </c>
      <c r="F782" s="55" t="s">
        <v>2910</v>
      </c>
    </row>
    <row r="783" spans="4:6" ht="12.75">
      <c r="D783" s="53" t="s">
        <v>2911</v>
      </c>
      <c r="E783" s="54" t="s">
        <v>2912</v>
      </c>
      <c r="F783" s="55" t="s">
        <v>2913</v>
      </c>
    </row>
    <row r="784" spans="4:6" ht="12.75">
      <c r="D784" s="53" t="s">
        <v>2914</v>
      </c>
      <c r="E784" s="54" t="s">
        <v>2915</v>
      </c>
      <c r="F784" s="55" t="s">
        <v>2916</v>
      </c>
    </row>
    <row r="785" spans="4:6" ht="12.75">
      <c r="D785" s="53" t="s">
        <v>2917</v>
      </c>
      <c r="E785" s="54" t="s">
        <v>2918</v>
      </c>
      <c r="F785" s="55" t="s">
        <v>2919</v>
      </c>
    </row>
    <row r="786" spans="4:6" ht="12.75">
      <c r="D786" s="53" t="s">
        <v>2920</v>
      </c>
      <c r="E786" s="54" t="s">
        <v>2921</v>
      </c>
      <c r="F786" s="55" t="s">
        <v>2922</v>
      </c>
    </row>
    <row r="787" spans="4:6" ht="12.75">
      <c r="D787" s="53" t="s">
        <v>2923</v>
      </c>
      <c r="E787" s="54" t="s">
        <v>2924</v>
      </c>
      <c r="F787" s="55" t="s">
        <v>2925</v>
      </c>
    </row>
    <row r="788" spans="4:6" ht="12.75">
      <c r="D788" s="53" t="s">
        <v>2926</v>
      </c>
      <c r="E788" s="54" t="s">
        <v>2927</v>
      </c>
      <c r="F788" s="55" t="s">
        <v>2928</v>
      </c>
    </row>
    <row r="789" spans="4:6" ht="12.75">
      <c r="D789" s="53" t="s">
        <v>2929</v>
      </c>
      <c r="E789" s="54" t="s">
        <v>2930</v>
      </c>
      <c r="F789" s="55" t="s">
        <v>2931</v>
      </c>
    </row>
    <row r="790" spans="4:6" ht="12.75">
      <c r="D790" s="53" t="s">
        <v>2932</v>
      </c>
      <c r="E790" s="54" t="s">
        <v>2933</v>
      </c>
      <c r="F790" s="55" t="s">
        <v>2934</v>
      </c>
    </row>
    <row r="791" spans="4:6" ht="12.75">
      <c r="D791" s="53" t="s">
        <v>2935</v>
      </c>
      <c r="E791" s="54" t="s">
        <v>2936</v>
      </c>
      <c r="F791" s="55" t="s">
        <v>2937</v>
      </c>
    </row>
    <row r="792" spans="4:6" ht="12.75">
      <c r="D792" s="53" t="s">
        <v>2938</v>
      </c>
      <c r="E792" s="54" t="s">
        <v>2939</v>
      </c>
      <c r="F792" s="55" t="s">
        <v>2940</v>
      </c>
    </row>
    <row r="793" spans="4:6" ht="12.75">
      <c r="D793" s="53" t="s">
        <v>2941</v>
      </c>
      <c r="E793" s="54" t="s">
        <v>2942</v>
      </c>
      <c r="F793" s="55" t="s">
        <v>2943</v>
      </c>
    </row>
    <row r="794" spans="4:6" ht="12.75">
      <c r="D794" s="53" t="s">
        <v>2944</v>
      </c>
      <c r="E794" s="54" t="s">
        <v>2945</v>
      </c>
      <c r="F794" s="55" t="s">
        <v>2946</v>
      </c>
    </row>
    <row r="795" spans="4:6" ht="12.75">
      <c r="D795" s="53" t="s">
        <v>2947</v>
      </c>
      <c r="E795" s="54" t="s">
        <v>2948</v>
      </c>
      <c r="F795" s="55" t="s">
        <v>2949</v>
      </c>
    </row>
    <row r="796" spans="4:6" ht="12.75">
      <c r="D796" s="53" t="s">
        <v>2950</v>
      </c>
      <c r="E796" s="54" t="s">
        <v>2951</v>
      </c>
      <c r="F796" s="55" t="s">
        <v>2952</v>
      </c>
    </row>
    <row r="797" spans="4:6" ht="12.75">
      <c r="D797" s="53" t="s">
        <v>2953</v>
      </c>
      <c r="E797" s="54" t="s">
        <v>2954</v>
      </c>
      <c r="F797" s="55" t="s">
        <v>2955</v>
      </c>
    </row>
    <row r="798" spans="4:6" ht="12.75">
      <c r="D798" s="53" t="s">
        <v>2956</v>
      </c>
      <c r="E798" s="54" t="s">
        <v>2957</v>
      </c>
      <c r="F798" s="55" t="s">
        <v>2958</v>
      </c>
    </row>
    <row r="799" spans="4:6" ht="12.75">
      <c r="D799" s="53" t="s">
        <v>2959</v>
      </c>
      <c r="E799" s="54" t="s">
        <v>2960</v>
      </c>
      <c r="F799" s="55" t="s">
        <v>2961</v>
      </c>
    </row>
    <row r="800" spans="4:6" ht="12.75">
      <c r="D800" s="53" t="s">
        <v>2962</v>
      </c>
      <c r="E800" s="54" t="s">
        <v>2963</v>
      </c>
      <c r="F800" s="55" t="s">
        <v>2964</v>
      </c>
    </row>
    <row r="801" spans="4:6" ht="12.75">
      <c r="D801" s="53" t="s">
        <v>2965</v>
      </c>
      <c r="E801" s="54" t="s">
        <v>2966</v>
      </c>
      <c r="F801" s="55" t="s">
        <v>2967</v>
      </c>
    </row>
    <row r="802" spans="4:6" ht="12.75">
      <c r="D802" s="53" t="s">
        <v>2968</v>
      </c>
      <c r="E802" s="54" t="s">
        <v>2969</v>
      </c>
      <c r="F802" s="55" t="s">
        <v>2970</v>
      </c>
    </row>
    <row r="803" spans="4:6" ht="12.75">
      <c r="D803" s="53" t="s">
        <v>2971</v>
      </c>
      <c r="E803" s="54" t="s">
        <v>2972</v>
      </c>
      <c r="F803" s="55" t="s">
        <v>2973</v>
      </c>
    </row>
    <row r="804" spans="4:6" ht="12.75">
      <c r="D804" s="53" t="s">
        <v>2974</v>
      </c>
      <c r="E804" s="54" t="s">
        <v>2975</v>
      </c>
      <c r="F804" s="55" t="s">
        <v>2976</v>
      </c>
    </row>
    <row r="805" spans="4:6" ht="12.75">
      <c r="D805" s="53" t="s">
        <v>2977</v>
      </c>
      <c r="E805" s="54" t="s">
        <v>2978</v>
      </c>
      <c r="F805" s="55" t="s">
        <v>2979</v>
      </c>
    </row>
    <row r="806" spans="4:6" ht="12.75">
      <c r="D806" s="53" t="s">
        <v>2980</v>
      </c>
      <c r="E806" s="54" t="s">
        <v>2981</v>
      </c>
      <c r="F806" s="55" t="s">
        <v>2982</v>
      </c>
    </row>
    <row r="807" spans="4:6" ht="12.75">
      <c r="D807" s="53" t="s">
        <v>2983</v>
      </c>
      <c r="E807" s="54" t="s">
        <v>2984</v>
      </c>
      <c r="F807" s="55" t="s">
        <v>2985</v>
      </c>
    </row>
    <row r="808" spans="4:6" ht="12.75">
      <c r="D808" s="53" t="s">
        <v>2986</v>
      </c>
      <c r="E808" s="54" t="s">
        <v>2987</v>
      </c>
      <c r="F808" s="55" t="s">
        <v>2988</v>
      </c>
    </row>
    <row r="809" spans="4:6" ht="12.75">
      <c r="D809" s="53" t="s">
        <v>2989</v>
      </c>
      <c r="E809" s="54" t="s">
        <v>2990</v>
      </c>
      <c r="F809" s="55" t="s">
        <v>2991</v>
      </c>
    </row>
    <row r="810" spans="4:6" ht="12.75">
      <c r="D810" s="53" t="s">
        <v>2992</v>
      </c>
      <c r="E810" s="54" t="s">
        <v>2993</v>
      </c>
      <c r="F810" s="55" t="s">
        <v>2994</v>
      </c>
    </row>
    <row r="811" spans="4:6" ht="12.75">
      <c r="D811" s="53" t="s">
        <v>2995</v>
      </c>
      <c r="E811" s="54" t="s">
        <v>2996</v>
      </c>
      <c r="F811" s="55" t="s">
        <v>2997</v>
      </c>
    </row>
    <row r="812" spans="4:6" ht="12.75">
      <c r="D812" s="53" t="s">
        <v>2998</v>
      </c>
      <c r="E812" s="54" t="s">
        <v>2999</v>
      </c>
      <c r="F812" s="55" t="s">
        <v>3000</v>
      </c>
    </row>
    <row r="813" spans="4:6" ht="12.75">
      <c r="D813" s="53" t="s">
        <v>3001</v>
      </c>
      <c r="E813" s="54" t="s">
        <v>3002</v>
      </c>
      <c r="F813" s="55" t="s">
        <v>3003</v>
      </c>
    </row>
    <row r="814" spans="4:6" ht="12.75">
      <c r="D814" s="53" t="s">
        <v>3004</v>
      </c>
      <c r="E814" s="54" t="s">
        <v>3005</v>
      </c>
      <c r="F814" s="55" t="s">
        <v>3006</v>
      </c>
    </row>
    <row r="815" spans="4:6" ht="12.75">
      <c r="D815" s="53" t="s">
        <v>3007</v>
      </c>
      <c r="E815" s="54" t="s">
        <v>3008</v>
      </c>
      <c r="F815" s="55" t="s">
        <v>3009</v>
      </c>
    </row>
    <row r="816" spans="4:6" ht="12.75">
      <c r="D816" s="53" t="s">
        <v>3010</v>
      </c>
      <c r="E816" s="54" t="s">
        <v>3011</v>
      </c>
      <c r="F816" s="55" t="s">
        <v>3012</v>
      </c>
    </row>
    <row r="817" spans="4:6" ht="12.75">
      <c r="D817" s="53" t="s">
        <v>3013</v>
      </c>
      <c r="E817" s="54" t="s">
        <v>3014</v>
      </c>
      <c r="F817" s="55" t="s">
        <v>3015</v>
      </c>
    </row>
    <row r="818" spans="4:6" ht="12.75">
      <c r="D818" s="53" t="s">
        <v>3016</v>
      </c>
      <c r="E818" s="54" t="s">
        <v>3017</v>
      </c>
      <c r="F818" s="55" t="s">
        <v>3018</v>
      </c>
    </row>
    <row r="819" spans="4:6" ht="12.75">
      <c r="D819" s="53" t="s">
        <v>3019</v>
      </c>
      <c r="E819" s="54" t="s">
        <v>3020</v>
      </c>
      <c r="F819" s="55" t="s">
        <v>3021</v>
      </c>
    </row>
    <row r="820" spans="4:6" ht="12.75">
      <c r="D820" s="53" t="s">
        <v>3022</v>
      </c>
      <c r="E820" s="54" t="s">
        <v>3023</v>
      </c>
      <c r="F820" s="55" t="s">
        <v>3024</v>
      </c>
    </row>
    <row r="821" spans="4:6" ht="12.75">
      <c r="D821" s="53" t="s">
        <v>3025</v>
      </c>
      <c r="E821" s="54" t="s">
        <v>3026</v>
      </c>
      <c r="F821" s="55" t="s">
        <v>3027</v>
      </c>
    </row>
    <row r="822" spans="4:6" ht="12.75">
      <c r="D822" s="53" t="s">
        <v>3028</v>
      </c>
      <c r="E822" s="54" t="s">
        <v>3029</v>
      </c>
      <c r="F822" s="55" t="s">
        <v>3030</v>
      </c>
    </row>
    <row r="823" spans="4:6" ht="12.75">
      <c r="D823" s="53" t="s">
        <v>3031</v>
      </c>
      <c r="E823" s="54" t="s">
        <v>3032</v>
      </c>
      <c r="F823" s="55" t="s">
        <v>3033</v>
      </c>
    </row>
    <row r="824" spans="4:6" ht="12.75">
      <c r="D824" s="53" t="s">
        <v>3034</v>
      </c>
      <c r="E824" s="54" t="s">
        <v>3035</v>
      </c>
      <c r="F824" s="55" t="s">
        <v>3036</v>
      </c>
    </row>
    <row r="825" spans="4:6" ht="12.75">
      <c r="D825" s="53" t="s">
        <v>3037</v>
      </c>
      <c r="E825" s="54" t="s">
        <v>3038</v>
      </c>
      <c r="F825" s="55" t="s">
        <v>3039</v>
      </c>
    </row>
    <row r="826" spans="4:6" ht="12.75">
      <c r="D826" s="53" t="s">
        <v>3040</v>
      </c>
      <c r="E826" s="54" t="s">
        <v>3041</v>
      </c>
      <c r="F826" s="55" t="s">
        <v>3042</v>
      </c>
    </row>
    <row r="827" spans="4:6" ht="12.75">
      <c r="D827" s="53" t="s">
        <v>3043</v>
      </c>
      <c r="E827" s="54" t="s">
        <v>3044</v>
      </c>
      <c r="F827" s="55" t="s">
        <v>3045</v>
      </c>
    </row>
    <row r="828" spans="4:6" ht="12.75">
      <c r="D828" s="53" t="s">
        <v>3046</v>
      </c>
      <c r="E828" s="54" t="s">
        <v>3047</v>
      </c>
      <c r="F828" s="55" t="s">
        <v>3048</v>
      </c>
    </row>
    <row r="829" spans="4:6" ht="12.75">
      <c r="D829" s="53" t="s">
        <v>3049</v>
      </c>
      <c r="E829" s="54" t="s">
        <v>3050</v>
      </c>
      <c r="F829" s="55" t="s">
        <v>3051</v>
      </c>
    </row>
    <row r="830" spans="4:6" ht="12.75">
      <c r="D830" s="53" t="s">
        <v>3052</v>
      </c>
      <c r="E830" s="54" t="s">
        <v>3053</v>
      </c>
      <c r="F830" s="55" t="s">
        <v>3054</v>
      </c>
    </row>
    <row r="831" spans="4:6" ht="12.75">
      <c r="D831" s="53" t="s">
        <v>3055</v>
      </c>
      <c r="E831" s="54" t="s">
        <v>3056</v>
      </c>
      <c r="F831" s="55" t="s">
        <v>3057</v>
      </c>
    </row>
    <row r="832" spans="4:6" ht="12.75">
      <c r="D832" s="53" t="s">
        <v>3058</v>
      </c>
      <c r="E832" s="54" t="s">
        <v>3059</v>
      </c>
      <c r="F832" s="55" t="s">
        <v>3060</v>
      </c>
    </row>
    <row r="833" spans="4:6" ht="12.75">
      <c r="D833" s="53" t="s">
        <v>3061</v>
      </c>
      <c r="E833" s="54" t="s">
        <v>3062</v>
      </c>
      <c r="F833" s="55" t="s">
        <v>3063</v>
      </c>
    </row>
    <row r="834" spans="4:6" ht="12.75">
      <c r="D834" s="53" t="s">
        <v>3064</v>
      </c>
      <c r="E834" s="54" t="s">
        <v>3065</v>
      </c>
      <c r="F834" s="55" t="s">
        <v>3066</v>
      </c>
    </row>
    <row r="835" spans="4:6" ht="12.75">
      <c r="D835" s="53" t="s">
        <v>3067</v>
      </c>
      <c r="E835" s="54" t="s">
        <v>3068</v>
      </c>
      <c r="F835" s="55" t="s">
        <v>3069</v>
      </c>
    </row>
    <row r="836" spans="4:6" ht="12.75">
      <c r="D836" s="53" t="s">
        <v>3070</v>
      </c>
      <c r="E836" s="54" t="s">
        <v>3071</v>
      </c>
      <c r="F836" s="55" t="s">
        <v>3072</v>
      </c>
    </row>
    <row r="837" spans="4:6" ht="12.75">
      <c r="D837" s="53" t="s">
        <v>815</v>
      </c>
      <c r="E837" s="54"/>
      <c r="F837" s="55"/>
    </row>
    <row r="838" spans="4:6" ht="12.75">
      <c r="D838" s="53" t="s">
        <v>3073</v>
      </c>
      <c r="E838" s="54" t="s">
        <v>3074</v>
      </c>
      <c r="F838" s="55" t="s">
        <v>3075</v>
      </c>
    </row>
    <row r="839" spans="4:6" ht="12.75">
      <c r="D839" s="53" t="s">
        <v>3076</v>
      </c>
      <c r="E839" s="54" t="s">
        <v>3077</v>
      </c>
      <c r="F839" s="58" t="s">
        <v>3078</v>
      </c>
    </row>
    <row r="840" spans="4:6" ht="12.75">
      <c r="D840" s="53" t="s">
        <v>3079</v>
      </c>
      <c r="E840" s="54" t="s">
        <v>3080</v>
      </c>
      <c r="F840" s="55" t="s">
        <v>3081</v>
      </c>
    </row>
    <row r="841" spans="4:6" ht="12.75">
      <c r="D841" s="53" t="s">
        <v>3082</v>
      </c>
      <c r="E841" s="54" t="s">
        <v>3083</v>
      </c>
      <c r="F841" s="55" t="s">
        <v>3084</v>
      </c>
    </row>
    <row r="842" spans="4:6" ht="12.75">
      <c r="D842" s="53" t="s">
        <v>3085</v>
      </c>
      <c r="E842" s="54" t="s">
        <v>3086</v>
      </c>
      <c r="F842" s="55" t="s">
        <v>3087</v>
      </c>
    </row>
    <row r="843" spans="4:6" ht="12.75">
      <c r="D843" s="53" t="s">
        <v>3088</v>
      </c>
      <c r="E843" s="54" t="s">
        <v>3089</v>
      </c>
      <c r="F843" s="55" t="s">
        <v>3090</v>
      </c>
    </row>
    <row r="844" spans="4:6" ht="12.75">
      <c r="D844" s="53" t="s">
        <v>3091</v>
      </c>
      <c r="E844" s="54" t="s">
        <v>3092</v>
      </c>
      <c r="F844" s="55" t="s">
        <v>3093</v>
      </c>
    </row>
    <row r="845" spans="4:6" ht="12.75">
      <c r="D845" s="53" t="s">
        <v>3094</v>
      </c>
      <c r="E845" s="54" t="s">
        <v>3095</v>
      </c>
      <c r="F845" s="55" t="s">
        <v>3096</v>
      </c>
    </row>
    <row r="846" spans="4:6" ht="12.75">
      <c r="D846" s="53" t="s">
        <v>3097</v>
      </c>
      <c r="E846" s="54" t="s">
        <v>3098</v>
      </c>
      <c r="F846" s="55" t="s">
        <v>3099</v>
      </c>
    </row>
    <row r="847" spans="4:6" ht="12.75">
      <c r="D847" s="53" t="s">
        <v>3100</v>
      </c>
      <c r="E847" s="54" t="s">
        <v>3101</v>
      </c>
      <c r="F847" s="55" t="s">
        <v>3102</v>
      </c>
    </row>
    <row r="848" spans="4:6" ht="12.75">
      <c r="D848" s="53" t="s">
        <v>3103</v>
      </c>
      <c r="E848" s="54" t="s">
        <v>3104</v>
      </c>
      <c r="F848" s="55" t="s">
        <v>3105</v>
      </c>
    </row>
    <row r="849" spans="4:6" ht="12.75">
      <c r="D849" s="53" t="s">
        <v>3106</v>
      </c>
      <c r="E849" s="54" t="s">
        <v>3107</v>
      </c>
      <c r="F849" s="55" t="s">
        <v>3108</v>
      </c>
    </row>
    <row r="850" spans="4:6" ht="12.75">
      <c r="D850" s="53" t="s">
        <v>3109</v>
      </c>
      <c r="E850" s="54" t="s">
        <v>3110</v>
      </c>
      <c r="F850" s="55" t="s">
        <v>3111</v>
      </c>
    </row>
    <row r="851" spans="4:6" ht="12.75">
      <c r="D851" s="53" t="s">
        <v>3112</v>
      </c>
      <c r="E851" s="54" t="s">
        <v>3113</v>
      </c>
      <c r="F851" s="55" t="s">
        <v>3114</v>
      </c>
    </row>
    <row r="852" spans="4:6" ht="12.75">
      <c r="D852" s="53" t="s">
        <v>3115</v>
      </c>
      <c r="E852" s="54" t="s">
        <v>3116</v>
      </c>
      <c r="F852" s="55" t="s">
        <v>3117</v>
      </c>
    </row>
    <row r="853" spans="4:6" ht="12.75">
      <c r="D853" s="53" t="s">
        <v>3118</v>
      </c>
      <c r="E853" s="54" t="s">
        <v>3119</v>
      </c>
      <c r="F853" s="55" t="s">
        <v>3120</v>
      </c>
    </row>
    <row r="854" spans="4:6" ht="12.75">
      <c r="D854" s="53" t="s">
        <v>3121</v>
      </c>
      <c r="E854" s="54" t="s">
        <v>3122</v>
      </c>
      <c r="F854" s="55" t="s">
        <v>3123</v>
      </c>
    </row>
    <row r="855" spans="4:6" ht="12.75">
      <c r="D855" s="53" t="s">
        <v>3124</v>
      </c>
      <c r="E855" s="54" t="s">
        <v>3125</v>
      </c>
      <c r="F855" s="55" t="s">
        <v>3126</v>
      </c>
    </row>
    <row r="856" spans="4:6" ht="12.75">
      <c r="D856" s="53" t="s">
        <v>3127</v>
      </c>
      <c r="E856" s="54" t="s">
        <v>3128</v>
      </c>
      <c r="F856" s="55" t="s">
        <v>3129</v>
      </c>
    </row>
    <row r="857" spans="4:6" ht="12.75">
      <c r="D857" s="53" t="s">
        <v>3130</v>
      </c>
      <c r="E857" s="54" t="s">
        <v>3131</v>
      </c>
      <c r="F857" s="55" t="s">
        <v>3132</v>
      </c>
    </row>
    <row r="858" spans="4:6" ht="12.75">
      <c r="D858" s="53" t="s">
        <v>3133</v>
      </c>
      <c r="E858" s="54" t="s">
        <v>3134</v>
      </c>
      <c r="F858" s="55" t="s">
        <v>3135</v>
      </c>
    </row>
    <row r="859" spans="4:6" ht="12.75">
      <c r="D859" s="53" t="s">
        <v>3136</v>
      </c>
      <c r="E859" s="54" t="s">
        <v>3137</v>
      </c>
      <c r="F859" s="55" t="s">
        <v>3138</v>
      </c>
    </row>
    <row r="860" spans="4:6" ht="12.75">
      <c r="D860" s="53" t="s">
        <v>3139</v>
      </c>
      <c r="E860" s="54" t="s">
        <v>3140</v>
      </c>
      <c r="F860" s="55" t="s">
        <v>3141</v>
      </c>
    </row>
    <row r="861" spans="4:6" ht="12.75">
      <c r="D861" s="53" t="s">
        <v>3142</v>
      </c>
      <c r="E861" s="54" t="s">
        <v>3143</v>
      </c>
      <c r="F861" s="55" t="s">
        <v>3144</v>
      </c>
    </row>
    <row r="862" spans="4:6" ht="12.75">
      <c r="D862" s="53" t="s">
        <v>3145</v>
      </c>
      <c r="E862" s="54" t="s">
        <v>3146</v>
      </c>
      <c r="F862" s="55" t="s">
        <v>3147</v>
      </c>
    </row>
    <row r="863" spans="4:6" ht="12.75">
      <c r="D863" s="53" t="s">
        <v>3148</v>
      </c>
      <c r="E863" s="54" t="s">
        <v>66</v>
      </c>
      <c r="F863" s="55" t="s">
        <v>3149</v>
      </c>
    </row>
    <row r="864" spans="4:6" ht="12.75">
      <c r="D864" s="53" t="s">
        <v>815</v>
      </c>
      <c r="E864" s="54"/>
      <c r="F864" s="55"/>
    </row>
    <row r="865" spans="4:6" ht="12.75">
      <c r="D865" s="53" t="s">
        <v>815</v>
      </c>
      <c r="E865" s="54"/>
      <c r="F865" s="55"/>
    </row>
    <row r="866" spans="4:6" ht="12.75">
      <c r="D866" s="53" t="s">
        <v>815</v>
      </c>
      <c r="E866" s="54"/>
      <c r="F866" s="55"/>
    </row>
    <row r="867" spans="4:6" ht="12.75">
      <c r="D867" s="53" t="s">
        <v>815</v>
      </c>
      <c r="E867" s="54"/>
      <c r="F867" s="55"/>
    </row>
    <row r="868" spans="4:6" ht="12.75">
      <c r="D868" s="53" t="s">
        <v>815</v>
      </c>
      <c r="E868" s="54"/>
      <c r="F868" s="55"/>
    </row>
    <row r="869" spans="4:6" ht="12.75">
      <c r="D869" s="53" t="s">
        <v>815</v>
      </c>
      <c r="E869" s="54"/>
      <c r="F869" s="55"/>
    </row>
    <row r="870" spans="4:6" ht="12.75">
      <c r="D870" s="53" t="s">
        <v>815</v>
      </c>
      <c r="E870" s="54"/>
      <c r="F870" s="55"/>
    </row>
    <row r="871" spans="4:6" ht="12.75">
      <c r="D871" s="53" t="s">
        <v>815</v>
      </c>
      <c r="E871" s="54"/>
      <c r="F871" s="55"/>
    </row>
    <row r="872" spans="4:6" ht="12.75">
      <c r="D872" s="53" t="s">
        <v>815</v>
      </c>
      <c r="E872" s="54"/>
      <c r="F872" s="55"/>
    </row>
    <row r="873" spans="4:6" ht="12.75">
      <c r="D873" s="53" t="s">
        <v>815</v>
      </c>
      <c r="E873" s="54"/>
      <c r="F873" s="55"/>
    </row>
    <row r="874" spans="4:6" ht="12.75">
      <c r="D874" s="53" t="s">
        <v>815</v>
      </c>
      <c r="E874" s="54"/>
      <c r="F874" s="55"/>
    </row>
    <row r="875" spans="4:6" ht="12.75">
      <c r="D875" s="53" t="s">
        <v>3150</v>
      </c>
      <c r="E875" s="54" t="s">
        <v>3151</v>
      </c>
      <c r="F875" s="55" t="s">
        <v>3152</v>
      </c>
    </row>
    <row r="876" spans="4:6" ht="12.75">
      <c r="D876" s="53" t="s">
        <v>3153</v>
      </c>
      <c r="E876" s="54" t="s">
        <v>3154</v>
      </c>
      <c r="F876" s="55" t="s">
        <v>3155</v>
      </c>
    </row>
    <row r="877" spans="4:6" ht="12.75">
      <c r="D877" s="53" t="s">
        <v>3156</v>
      </c>
      <c r="E877" s="54" t="s">
        <v>3157</v>
      </c>
      <c r="F877" s="55" t="s">
        <v>3158</v>
      </c>
    </row>
    <row r="878" spans="4:6" ht="12.75">
      <c r="D878" s="53" t="s">
        <v>3159</v>
      </c>
      <c r="E878" s="54" t="s">
        <v>3160</v>
      </c>
      <c r="F878" s="55" t="s">
        <v>3161</v>
      </c>
    </row>
    <row r="879" spans="4:6" ht="12.75">
      <c r="D879" s="53" t="s">
        <v>3162</v>
      </c>
      <c r="E879" s="54" t="s">
        <v>3163</v>
      </c>
      <c r="F879" s="55" t="s">
        <v>3164</v>
      </c>
    </row>
    <row r="880" spans="4:6" ht="12.75">
      <c r="D880" s="53" t="s">
        <v>3165</v>
      </c>
      <c r="E880" s="54" t="s">
        <v>3166</v>
      </c>
      <c r="F880" s="55" t="s">
        <v>3167</v>
      </c>
    </row>
    <row r="881" spans="4:6" ht="12.75">
      <c r="D881" s="53" t="s">
        <v>3168</v>
      </c>
      <c r="E881" s="54" t="s">
        <v>3169</v>
      </c>
      <c r="F881" s="55" t="s">
        <v>3170</v>
      </c>
    </row>
    <row r="882" spans="4:6" ht="12.75">
      <c r="D882" s="53" t="s">
        <v>3171</v>
      </c>
      <c r="E882" s="54" t="s">
        <v>3172</v>
      </c>
      <c r="F882" s="55" t="s">
        <v>3173</v>
      </c>
    </row>
    <row r="883" spans="4:6" ht="12.75">
      <c r="D883" s="53" t="s">
        <v>3174</v>
      </c>
      <c r="E883" s="54" t="s">
        <v>3175</v>
      </c>
      <c r="F883" s="55" t="s">
        <v>3176</v>
      </c>
    </row>
    <row r="884" spans="4:6" ht="12.75">
      <c r="D884" s="53" t="s">
        <v>3177</v>
      </c>
      <c r="E884" s="54" t="s">
        <v>3178</v>
      </c>
      <c r="F884" s="55" t="s">
        <v>3179</v>
      </c>
    </row>
    <row r="885" spans="4:6" ht="12.75">
      <c r="D885" s="53" t="s">
        <v>3180</v>
      </c>
      <c r="E885" s="54" t="s">
        <v>3181</v>
      </c>
      <c r="F885" s="55" t="s">
        <v>3182</v>
      </c>
    </row>
    <row r="886" spans="4:6" ht="12.75">
      <c r="D886" s="53" t="s">
        <v>3183</v>
      </c>
      <c r="E886" s="54" t="s">
        <v>3184</v>
      </c>
      <c r="F886" s="55" t="s">
        <v>3185</v>
      </c>
    </row>
    <row r="887" spans="4:6" ht="12.75">
      <c r="D887" s="53" t="s">
        <v>3186</v>
      </c>
      <c r="E887" s="54" t="s">
        <v>3187</v>
      </c>
      <c r="F887" s="55" t="s">
        <v>3188</v>
      </c>
    </row>
    <row r="888" spans="4:6" ht="12.75">
      <c r="D888" s="53" t="s">
        <v>3189</v>
      </c>
      <c r="E888" s="54" t="s">
        <v>3190</v>
      </c>
      <c r="F888" s="55" t="s">
        <v>3191</v>
      </c>
    </row>
    <row r="889" spans="4:6" ht="12.75">
      <c r="D889" s="53" t="s">
        <v>3192</v>
      </c>
      <c r="E889" s="54" t="s">
        <v>3193</v>
      </c>
      <c r="F889" s="55"/>
    </row>
    <row r="890" spans="4:6" ht="12.75">
      <c r="D890" s="53" t="s">
        <v>3194</v>
      </c>
      <c r="E890" s="54" t="s">
        <v>3195</v>
      </c>
      <c r="F890" s="55" t="s">
        <v>3196</v>
      </c>
    </row>
    <row r="891" spans="4:6" ht="12.75">
      <c r="D891" s="53" t="s">
        <v>3197</v>
      </c>
      <c r="E891" s="54" t="s">
        <v>3198</v>
      </c>
      <c r="F891" s="55" t="s">
        <v>3199</v>
      </c>
    </row>
    <row r="892" spans="4:6" ht="12.75">
      <c r="D892" s="53" t="s">
        <v>3200</v>
      </c>
      <c r="E892" s="54" t="s">
        <v>3201</v>
      </c>
      <c r="F892" s="55" t="s">
        <v>3202</v>
      </c>
    </row>
    <row r="893" spans="4:6" ht="12.75">
      <c r="D893" s="53" t="s">
        <v>3203</v>
      </c>
      <c r="E893" s="54" t="s">
        <v>3204</v>
      </c>
      <c r="F893" s="55" t="s">
        <v>3205</v>
      </c>
    </row>
    <row r="894" spans="4:6" ht="12.75">
      <c r="D894" s="53" t="s">
        <v>815</v>
      </c>
      <c r="E894" s="54"/>
      <c r="F894" s="55"/>
    </row>
    <row r="895" spans="4:6" ht="12.75">
      <c r="D895" s="53" t="s">
        <v>815</v>
      </c>
      <c r="E895" s="54"/>
      <c r="F895" s="55"/>
    </row>
    <row r="896" spans="4:6" ht="12.75">
      <c r="D896" s="53" t="s">
        <v>3206</v>
      </c>
      <c r="E896" s="54" t="s">
        <v>3207</v>
      </c>
      <c r="F896" s="55" t="s">
        <v>3208</v>
      </c>
    </row>
    <row r="897" spans="4:6" ht="12.75">
      <c r="D897" s="53" t="s">
        <v>3209</v>
      </c>
      <c r="E897" s="54" t="s">
        <v>3210</v>
      </c>
      <c r="F897" s="54" t="s">
        <v>3211</v>
      </c>
    </row>
    <row r="898" spans="4:6" ht="12.75">
      <c r="D898" s="53" t="s">
        <v>3212</v>
      </c>
      <c r="E898" s="54" t="s">
        <v>3213</v>
      </c>
      <c r="F898" s="55" t="s">
        <v>3214</v>
      </c>
    </row>
    <row r="899" spans="4:6" ht="12.75">
      <c r="D899" s="53" t="s">
        <v>3215</v>
      </c>
      <c r="E899" s="54" t="s">
        <v>3216</v>
      </c>
      <c r="F899" s="58" t="s">
        <v>3217</v>
      </c>
    </row>
    <row r="900" spans="4:6" ht="12.75">
      <c r="D900" s="53" t="s">
        <v>3218</v>
      </c>
      <c r="E900" s="54" t="s">
        <v>3219</v>
      </c>
      <c r="F900" s="55" t="s">
        <v>3220</v>
      </c>
    </row>
    <row r="901" spans="4:6" ht="12.75">
      <c r="D901" s="53" t="s">
        <v>3221</v>
      </c>
      <c r="E901" s="54" t="s">
        <v>3222</v>
      </c>
      <c r="F901" s="55" t="s">
        <v>3223</v>
      </c>
    </row>
    <row r="902" spans="4:6" ht="12.75">
      <c r="D902" s="53" t="s">
        <v>3224</v>
      </c>
      <c r="E902" s="54" t="s">
        <v>3225</v>
      </c>
      <c r="F902" s="55" t="s">
        <v>3226</v>
      </c>
    </row>
    <row r="903" spans="4:6" ht="12.75">
      <c r="D903" s="53" t="s">
        <v>3227</v>
      </c>
      <c r="E903" s="54" t="s">
        <v>3228</v>
      </c>
      <c r="F903" s="55" t="s">
        <v>3229</v>
      </c>
    </row>
    <row r="904" spans="4:6" ht="12.75">
      <c r="D904" s="53" t="s">
        <v>815</v>
      </c>
      <c r="E904" s="54"/>
      <c r="F904" s="55"/>
    </row>
    <row r="905" spans="4:6" ht="12.75">
      <c r="D905" s="53" t="s">
        <v>3230</v>
      </c>
      <c r="E905" s="54" t="s">
        <v>3231</v>
      </c>
      <c r="F905" s="55" t="s">
        <v>3232</v>
      </c>
    </row>
    <row r="906" spans="4:6" ht="12.75">
      <c r="D906" s="53" t="s">
        <v>3233</v>
      </c>
      <c r="E906" s="54" t="s">
        <v>3234</v>
      </c>
      <c r="F906" s="55" t="s">
        <v>3235</v>
      </c>
    </row>
    <row r="907" spans="4:6" ht="12.75">
      <c r="D907" s="53" t="s">
        <v>3236</v>
      </c>
      <c r="E907" s="54" t="s">
        <v>3237</v>
      </c>
      <c r="F907" s="55" t="s">
        <v>3238</v>
      </c>
    </row>
    <row r="908" spans="4:6" ht="12.75">
      <c r="D908" s="53" t="s">
        <v>3239</v>
      </c>
      <c r="E908" s="54" t="s">
        <v>3240</v>
      </c>
      <c r="F908" s="55" t="s">
        <v>3241</v>
      </c>
    </row>
    <row r="909" spans="4:6" ht="12.75">
      <c r="D909" s="53" t="s">
        <v>3242</v>
      </c>
      <c r="E909" s="54" t="s">
        <v>3243</v>
      </c>
      <c r="F909" s="55" t="s">
        <v>3244</v>
      </c>
    </row>
    <row r="910" spans="4:6" ht="12.75">
      <c r="D910" s="53" t="s">
        <v>3245</v>
      </c>
      <c r="E910" s="54" t="s">
        <v>3246</v>
      </c>
      <c r="F910" s="55" t="s">
        <v>3247</v>
      </c>
    </row>
    <row r="911" spans="4:6" ht="12.75">
      <c r="D911" s="53" t="s">
        <v>3248</v>
      </c>
      <c r="E911" s="54" t="s">
        <v>3249</v>
      </c>
      <c r="F911" s="55" t="s">
        <v>3250</v>
      </c>
    </row>
    <row r="912" spans="4:6" ht="12.75">
      <c r="D912" s="53" t="s">
        <v>3251</v>
      </c>
      <c r="E912" s="54" t="s">
        <v>3252</v>
      </c>
      <c r="F912" s="55" t="s">
        <v>3253</v>
      </c>
    </row>
    <row r="913" spans="4:6" ht="12.75">
      <c r="D913" s="53" t="s">
        <v>3254</v>
      </c>
      <c r="E913" s="54" t="s">
        <v>3255</v>
      </c>
      <c r="F913" s="55" t="s">
        <v>3256</v>
      </c>
    </row>
    <row r="914" spans="4:6" ht="12.75">
      <c r="D914" s="53" t="s">
        <v>3257</v>
      </c>
      <c r="E914" s="54" t="s">
        <v>3258</v>
      </c>
      <c r="F914" s="55" t="s">
        <v>3259</v>
      </c>
    </row>
    <row r="915" spans="4:6" ht="12.75">
      <c r="D915" s="53" t="s">
        <v>3260</v>
      </c>
      <c r="E915" s="54" t="s">
        <v>3261</v>
      </c>
      <c r="F915" s="55" t="s">
        <v>3262</v>
      </c>
    </row>
    <row r="916" spans="4:6" ht="12.75">
      <c r="D916" s="53" t="s">
        <v>3263</v>
      </c>
      <c r="E916" s="54" t="s">
        <v>3264</v>
      </c>
      <c r="F916" s="55" t="s">
        <v>3265</v>
      </c>
    </row>
    <row r="917" spans="4:6" ht="12.75">
      <c r="D917" s="53" t="s">
        <v>3266</v>
      </c>
      <c r="E917" s="54" t="s">
        <v>3267</v>
      </c>
      <c r="F917" s="55" t="s">
        <v>3268</v>
      </c>
    </row>
    <row r="918" spans="4:6" ht="12.75">
      <c r="D918" s="53" t="s">
        <v>3269</v>
      </c>
      <c r="E918" s="54" t="s">
        <v>3270</v>
      </c>
      <c r="F918" s="55" t="s">
        <v>3271</v>
      </c>
    </row>
    <row r="919" spans="4:6" ht="12.75">
      <c r="D919" s="53" t="s">
        <v>3272</v>
      </c>
      <c r="E919" s="54" t="s">
        <v>3273</v>
      </c>
      <c r="F919" s="55" t="s">
        <v>3274</v>
      </c>
    </row>
    <row r="920" spans="4:6" ht="12.75">
      <c r="D920" s="53" t="s">
        <v>3275</v>
      </c>
      <c r="E920" s="54" t="s">
        <v>3276</v>
      </c>
      <c r="F920" s="55" t="s">
        <v>3277</v>
      </c>
    </row>
    <row r="921" spans="4:6" ht="12.75">
      <c r="D921" s="53" t="s">
        <v>3278</v>
      </c>
      <c r="E921" s="54" t="s">
        <v>3279</v>
      </c>
      <c r="F921" s="55" t="s">
        <v>3280</v>
      </c>
    </row>
    <row r="922" spans="4:6" ht="12.75">
      <c r="D922" s="53" t="s">
        <v>3281</v>
      </c>
      <c r="E922" s="54" t="s">
        <v>3282</v>
      </c>
      <c r="F922" s="55" t="s">
        <v>3283</v>
      </c>
    </row>
    <row r="923" spans="4:6" ht="12.75">
      <c r="D923" s="53" t="s">
        <v>3284</v>
      </c>
      <c r="E923" s="54" t="s">
        <v>3285</v>
      </c>
      <c r="F923" s="55" t="s">
        <v>3286</v>
      </c>
    </row>
    <row r="924" spans="4:6" ht="12.75">
      <c r="D924" s="53" t="s">
        <v>3287</v>
      </c>
      <c r="E924" s="54" t="s">
        <v>3288</v>
      </c>
      <c r="F924" s="55" t="s">
        <v>3289</v>
      </c>
    </row>
    <row r="925" spans="4:6" ht="12.75">
      <c r="D925" s="53" t="s">
        <v>3290</v>
      </c>
      <c r="E925" s="54" t="s">
        <v>3291</v>
      </c>
      <c r="F925" s="55" t="s">
        <v>3292</v>
      </c>
    </row>
    <row r="926" spans="4:6" ht="12.75">
      <c r="D926" s="53" t="s">
        <v>3293</v>
      </c>
      <c r="E926" s="54" t="s">
        <v>3294</v>
      </c>
      <c r="F926" s="55" t="s">
        <v>3295</v>
      </c>
    </row>
    <row r="927" spans="4:6" ht="12.75">
      <c r="D927" s="53" t="s">
        <v>3296</v>
      </c>
      <c r="E927" s="54" t="s">
        <v>3297</v>
      </c>
      <c r="F927" s="55" t="s">
        <v>3298</v>
      </c>
    </row>
    <row r="928" spans="4:6" ht="12.75">
      <c r="D928" s="53" t="s">
        <v>3299</v>
      </c>
      <c r="E928" s="54" t="s">
        <v>3300</v>
      </c>
      <c r="F928" s="55" t="s">
        <v>3301</v>
      </c>
    </row>
    <row r="929" spans="4:6" ht="12.75">
      <c r="D929" s="53" t="s">
        <v>3302</v>
      </c>
      <c r="E929" s="54" t="s">
        <v>3303</v>
      </c>
      <c r="F929" s="55" t="s">
        <v>3304</v>
      </c>
    </row>
    <row r="930" spans="4:6" ht="12.75">
      <c r="D930" s="53" t="s">
        <v>3305</v>
      </c>
      <c r="E930" s="54" t="s">
        <v>3306</v>
      </c>
      <c r="F930" s="55" t="s">
        <v>3307</v>
      </c>
    </row>
    <row r="931" spans="4:6" ht="12.75">
      <c r="D931" s="53" t="s">
        <v>3308</v>
      </c>
      <c r="E931" s="54" t="s">
        <v>3309</v>
      </c>
      <c r="F931" s="58" t="s">
        <v>3310</v>
      </c>
    </row>
    <row r="932" spans="4:6" ht="12.75">
      <c r="D932" s="53" t="s">
        <v>3311</v>
      </c>
      <c r="E932" s="54" t="s">
        <v>3312</v>
      </c>
      <c r="F932" s="55" t="s">
        <v>3313</v>
      </c>
    </row>
    <row r="933" spans="4:6" ht="12.75">
      <c r="D933" s="53" t="s">
        <v>3314</v>
      </c>
      <c r="E933" s="54" t="s">
        <v>3315</v>
      </c>
      <c r="F933" s="55" t="s">
        <v>3316</v>
      </c>
    </row>
    <row r="934" spans="4:6" ht="12.75">
      <c r="D934" s="53" t="s">
        <v>3317</v>
      </c>
      <c r="E934" s="54" t="s">
        <v>3318</v>
      </c>
      <c r="F934" s="55" t="s">
        <v>3319</v>
      </c>
    </row>
    <row r="935" spans="4:6" ht="12.75">
      <c r="D935" s="53" t="s">
        <v>3320</v>
      </c>
      <c r="E935" s="54" t="s">
        <v>3321</v>
      </c>
      <c r="F935" s="55" t="s">
        <v>3322</v>
      </c>
    </row>
    <row r="936" spans="4:6" ht="12.75">
      <c r="D936" s="53" t="s">
        <v>3323</v>
      </c>
      <c r="E936" s="54" t="s">
        <v>3324</v>
      </c>
      <c r="F936" s="55" t="s">
        <v>3325</v>
      </c>
    </row>
    <row r="937" spans="4:6" ht="12.75">
      <c r="D937" s="53" t="s">
        <v>3326</v>
      </c>
      <c r="E937" s="54" t="s">
        <v>3327</v>
      </c>
      <c r="F937" s="55" t="s">
        <v>3328</v>
      </c>
    </row>
    <row r="938" spans="4:6" ht="12.75">
      <c r="D938" s="53" t="s">
        <v>3329</v>
      </c>
      <c r="E938" s="54" t="s">
        <v>3330</v>
      </c>
      <c r="F938" s="55" t="s">
        <v>3331</v>
      </c>
    </row>
    <row r="939" spans="4:6" ht="12.75">
      <c r="D939" s="53" t="s">
        <v>3332</v>
      </c>
      <c r="E939" s="54" t="s">
        <v>3333</v>
      </c>
      <c r="F939" s="55" t="s">
        <v>3334</v>
      </c>
    </row>
    <row r="940" spans="4:6" ht="12.75">
      <c r="D940" s="53" t="s">
        <v>3335</v>
      </c>
      <c r="E940" s="54" t="s">
        <v>3336</v>
      </c>
      <c r="F940" s="55" t="s">
        <v>3337</v>
      </c>
    </row>
    <row r="941" spans="4:6" ht="12.75">
      <c r="D941" s="53" t="s">
        <v>3338</v>
      </c>
      <c r="E941" s="54" t="s">
        <v>3339</v>
      </c>
      <c r="F941" s="55" t="s">
        <v>3340</v>
      </c>
    </row>
    <row r="942" spans="4:6" ht="12.75">
      <c r="D942" s="53" t="s">
        <v>3341</v>
      </c>
      <c r="E942" s="54" t="s">
        <v>3342</v>
      </c>
      <c r="F942" s="55" t="s">
        <v>3343</v>
      </c>
    </row>
    <row r="943" spans="4:6" ht="12.75">
      <c r="D943" s="53" t="s">
        <v>3344</v>
      </c>
      <c r="E943" s="54" t="s">
        <v>3345</v>
      </c>
      <c r="F943" s="55" t="s">
        <v>3346</v>
      </c>
    </row>
    <row r="944" spans="4:6" ht="12.75">
      <c r="D944" s="53" t="s">
        <v>3347</v>
      </c>
      <c r="E944" s="54" t="s">
        <v>3348</v>
      </c>
      <c r="F944" s="55" t="s">
        <v>3349</v>
      </c>
    </row>
    <row r="945" spans="4:6" ht="12.75">
      <c r="D945" s="53" t="s">
        <v>3350</v>
      </c>
      <c r="E945" s="54" t="s">
        <v>3351</v>
      </c>
      <c r="F945" s="55" t="s">
        <v>3352</v>
      </c>
    </row>
    <row r="946" spans="4:6" ht="12.75">
      <c r="D946" s="53" t="s">
        <v>3353</v>
      </c>
      <c r="E946" s="54" t="s">
        <v>3354</v>
      </c>
      <c r="F946" s="55" t="s">
        <v>3355</v>
      </c>
    </row>
    <row r="947" spans="4:6" ht="12.75">
      <c r="D947" s="53" t="s">
        <v>3356</v>
      </c>
      <c r="E947" s="54" t="s">
        <v>3357</v>
      </c>
      <c r="F947" s="55" t="s">
        <v>3358</v>
      </c>
    </row>
    <row r="948" spans="4:6" ht="12.75">
      <c r="D948" s="53" t="s">
        <v>3359</v>
      </c>
      <c r="E948" s="54" t="s">
        <v>3360</v>
      </c>
      <c r="F948" s="58" t="s">
        <v>3361</v>
      </c>
    </row>
    <row r="949" spans="4:6" ht="12.75">
      <c r="D949" s="53" t="s">
        <v>3362</v>
      </c>
      <c r="E949" s="54" t="s">
        <v>3363</v>
      </c>
      <c r="F949" s="55" t="s">
        <v>3364</v>
      </c>
    </row>
    <row r="950" spans="4:6" ht="12.75">
      <c r="D950" s="53" t="s">
        <v>3365</v>
      </c>
      <c r="E950" s="54" t="s">
        <v>3366</v>
      </c>
      <c r="F950" s="55" t="s">
        <v>3367</v>
      </c>
    </row>
    <row r="951" spans="4:6" ht="12.75">
      <c r="D951" s="53" t="s">
        <v>3368</v>
      </c>
      <c r="E951" s="54" t="s">
        <v>3369</v>
      </c>
      <c r="F951" s="55" t="s">
        <v>3370</v>
      </c>
    </row>
    <row r="952" spans="4:6" ht="12.75">
      <c r="D952" s="53" t="s">
        <v>3371</v>
      </c>
      <c r="E952" s="54" t="s">
        <v>3372</v>
      </c>
      <c r="F952" s="55" t="s">
        <v>3373</v>
      </c>
    </row>
    <row r="953" spans="4:6" ht="12.75">
      <c r="D953" s="53" t="s">
        <v>3374</v>
      </c>
      <c r="E953" s="54" t="s">
        <v>3375</v>
      </c>
      <c r="F953" s="55" t="s">
        <v>3376</v>
      </c>
    </row>
    <row r="954" spans="4:6" ht="12.75">
      <c r="D954" s="53" t="s">
        <v>3377</v>
      </c>
      <c r="E954" s="54" t="s">
        <v>3378</v>
      </c>
      <c r="F954" s="55" t="s">
        <v>3379</v>
      </c>
    </row>
    <row r="955" spans="4:6" ht="12.75">
      <c r="D955" s="53" t="s">
        <v>3380</v>
      </c>
      <c r="E955" s="54" t="s">
        <v>3381</v>
      </c>
      <c r="F955" s="55" t="s">
        <v>3382</v>
      </c>
    </row>
    <row r="956" spans="4:6" ht="12.75">
      <c r="D956" s="53" t="s">
        <v>3383</v>
      </c>
      <c r="E956" s="54" t="s">
        <v>3384</v>
      </c>
      <c r="F956" s="55" t="s">
        <v>3385</v>
      </c>
    </row>
    <row r="957" spans="4:6" ht="12.75">
      <c r="D957" s="53" t="s">
        <v>3386</v>
      </c>
      <c r="E957" s="54" t="s">
        <v>3387</v>
      </c>
      <c r="F957" s="55" t="s">
        <v>3388</v>
      </c>
    </row>
    <row r="958" spans="4:6" ht="12.75">
      <c r="D958" s="53" t="s">
        <v>3389</v>
      </c>
      <c r="E958" s="54" t="s">
        <v>3390</v>
      </c>
      <c r="F958" s="55" t="s">
        <v>3391</v>
      </c>
    </row>
    <row r="959" spans="4:6" ht="12.75">
      <c r="D959" s="53" t="s">
        <v>3392</v>
      </c>
      <c r="E959" s="54" t="s">
        <v>3393</v>
      </c>
      <c r="F959" s="55" t="s">
        <v>3394</v>
      </c>
    </row>
    <row r="960" spans="4:6" ht="12.75">
      <c r="D960" s="53" t="s">
        <v>3395</v>
      </c>
      <c r="E960" s="54" t="s">
        <v>3396</v>
      </c>
      <c r="F960" s="55" t="s">
        <v>3397</v>
      </c>
    </row>
    <row r="961" spans="4:6" ht="12.75">
      <c r="D961" s="53" t="s">
        <v>3398</v>
      </c>
      <c r="E961" s="54" t="s">
        <v>3399</v>
      </c>
      <c r="F961" s="55" t="s">
        <v>3400</v>
      </c>
    </row>
    <row r="962" spans="4:6" ht="12.75">
      <c r="D962" s="53" t="s">
        <v>3401</v>
      </c>
      <c r="E962" s="54" t="s">
        <v>3402</v>
      </c>
      <c r="F962" s="55" t="s">
        <v>3403</v>
      </c>
    </row>
    <row r="963" spans="4:6" ht="12.75">
      <c r="D963" s="53" t="s">
        <v>3404</v>
      </c>
      <c r="E963" s="54" t="s">
        <v>3405</v>
      </c>
      <c r="F963" s="55" t="s">
        <v>3406</v>
      </c>
    </row>
    <row r="964" spans="4:6" ht="12.75">
      <c r="D964" s="53" t="s">
        <v>3407</v>
      </c>
      <c r="E964" s="54" t="s">
        <v>3408</v>
      </c>
      <c r="F964" s="55" t="s">
        <v>3409</v>
      </c>
    </row>
    <row r="965" spans="4:6" ht="12.75">
      <c r="D965" s="53" t="s">
        <v>3410</v>
      </c>
      <c r="E965" s="54" t="s">
        <v>3411</v>
      </c>
      <c r="F965" s="55" t="s">
        <v>3412</v>
      </c>
    </row>
    <row r="966" spans="4:6" ht="12.75">
      <c r="D966" s="53" t="s">
        <v>3413</v>
      </c>
      <c r="E966" s="54" t="s">
        <v>3414</v>
      </c>
      <c r="F966" s="55" t="s">
        <v>3415</v>
      </c>
    </row>
    <row r="967" spans="4:6" ht="12.75">
      <c r="D967" s="53" t="s">
        <v>3416</v>
      </c>
      <c r="E967" s="54" t="s">
        <v>3417</v>
      </c>
      <c r="F967" s="55" t="s">
        <v>3418</v>
      </c>
    </row>
    <row r="968" spans="4:6" ht="12.75">
      <c r="D968" s="53" t="s">
        <v>3419</v>
      </c>
      <c r="E968" s="54" t="s">
        <v>3420</v>
      </c>
      <c r="F968" s="55" t="s">
        <v>3421</v>
      </c>
    </row>
    <row r="969" spans="4:6" ht="12.75">
      <c r="D969" s="53" t="s">
        <v>3422</v>
      </c>
      <c r="E969" s="54" t="s">
        <v>3423</v>
      </c>
      <c r="F969" s="55" t="s">
        <v>3424</v>
      </c>
    </row>
    <row r="970" spans="4:6" ht="12.75">
      <c r="D970" s="53" t="s">
        <v>3425</v>
      </c>
      <c r="E970" s="54" t="s">
        <v>3426</v>
      </c>
      <c r="F970" s="55" t="s">
        <v>3427</v>
      </c>
    </row>
    <row r="971" spans="4:6" ht="12.75">
      <c r="D971" s="53" t="s">
        <v>3428</v>
      </c>
      <c r="E971" s="54" t="s">
        <v>3429</v>
      </c>
      <c r="F971" s="55" t="s">
        <v>3430</v>
      </c>
    </row>
    <row r="972" spans="4:6" ht="12.75">
      <c r="D972" s="53" t="s">
        <v>3431</v>
      </c>
      <c r="E972" s="54" t="s">
        <v>3432</v>
      </c>
      <c r="F972" s="55" t="s">
        <v>3433</v>
      </c>
    </row>
    <row r="973" spans="4:6" ht="12.75">
      <c r="D973" s="53" t="s">
        <v>815</v>
      </c>
      <c r="E973" s="54"/>
      <c r="F973" s="55"/>
    </row>
    <row r="974" spans="4:6" ht="12.75">
      <c r="D974" s="53" t="s">
        <v>3434</v>
      </c>
      <c r="E974" s="54" t="s">
        <v>3435</v>
      </c>
      <c r="F974" s="55" t="s">
        <v>3436</v>
      </c>
    </row>
    <row r="975" spans="4:6" ht="12.75">
      <c r="D975" s="53" t="s">
        <v>3437</v>
      </c>
      <c r="E975" s="54" t="s">
        <v>3438</v>
      </c>
      <c r="F975" s="55" t="s">
        <v>3439</v>
      </c>
    </row>
    <row r="976" spans="4:6" ht="12.75">
      <c r="D976" s="53" t="s">
        <v>3440</v>
      </c>
      <c r="E976" s="54" t="s">
        <v>3441</v>
      </c>
      <c r="F976" s="55" t="s">
        <v>3442</v>
      </c>
    </row>
    <row r="977" spans="4:6" ht="12.75">
      <c r="D977" s="53" t="s">
        <v>3443</v>
      </c>
      <c r="E977" s="54" t="s">
        <v>3444</v>
      </c>
      <c r="F977" s="55" t="s">
        <v>3445</v>
      </c>
    </row>
    <row r="978" spans="4:6" ht="12.75">
      <c r="D978" s="53" t="s">
        <v>3446</v>
      </c>
      <c r="E978" s="54" t="s">
        <v>3447</v>
      </c>
      <c r="F978" s="55" t="s">
        <v>3448</v>
      </c>
    </row>
    <row r="979" spans="4:6" ht="12.75">
      <c r="D979" s="53" t="s">
        <v>3449</v>
      </c>
      <c r="E979" s="54" t="s">
        <v>3450</v>
      </c>
      <c r="F979" s="55" t="s">
        <v>3451</v>
      </c>
    </row>
    <row r="980" spans="4:6" ht="15">
      <c r="D980" s="53" t="s">
        <v>815</v>
      </c>
      <c r="E980" s="54"/>
      <c r="F980" s="56"/>
    </row>
    <row r="981" spans="4:6" ht="12.75">
      <c r="D981" s="53" t="s">
        <v>3452</v>
      </c>
      <c r="E981" s="54" t="s">
        <v>3453</v>
      </c>
      <c r="F981" s="55" t="s">
        <v>3454</v>
      </c>
    </row>
    <row r="982" spans="4:6" ht="12.75">
      <c r="D982" s="53" t="s">
        <v>3455</v>
      </c>
      <c r="E982" s="54" t="s">
        <v>3456</v>
      </c>
      <c r="F982" s="55" t="s">
        <v>3457</v>
      </c>
    </row>
    <row r="983" spans="4:6" ht="12.75">
      <c r="D983" s="53" t="s">
        <v>3458</v>
      </c>
      <c r="E983" s="54" t="s">
        <v>3459</v>
      </c>
      <c r="F983" s="55" t="s">
        <v>3460</v>
      </c>
    </row>
    <row r="984" spans="4:6" ht="12.75">
      <c r="D984" s="53" t="s">
        <v>3461</v>
      </c>
      <c r="E984" s="54" t="s">
        <v>3462</v>
      </c>
      <c r="F984" s="55" t="s">
        <v>3463</v>
      </c>
    </row>
    <row r="985" spans="4:6" ht="12.75">
      <c r="D985" s="53" t="s">
        <v>3464</v>
      </c>
      <c r="E985" s="54" t="s">
        <v>3465</v>
      </c>
      <c r="F985" s="55" t="s">
        <v>3466</v>
      </c>
    </row>
    <row r="986" spans="4:6" ht="12.75">
      <c r="D986" s="53" t="s">
        <v>3467</v>
      </c>
      <c r="E986" s="54" t="s">
        <v>3468</v>
      </c>
      <c r="F986" s="55" t="s">
        <v>3469</v>
      </c>
    </row>
    <row r="987" spans="4:6" ht="12.75">
      <c r="D987" s="53" t="s">
        <v>3470</v>
      </c>
      <c r="E987" s="54" t="s">
        <v>3471</v>
      </c>
      <c r="F987" s="55" t="s">
        <v>3472</v>
      </c>
    </row>
    <row r="988" spans="4:6" ht="12.75">
      <c r="D988" s="53" t="s">
        <v>3473</v>
      </c>
      <c r="E988" s="54" t="s">
        <v>3474</v>
      </c>
      <c r="F988" s="55" t="s">
        <v>3475</v>
      </c>
    </row>
    <row r="989" spans="4:6" ht="12.75">
      <c r="D989" s="53" t="s">
        <v>815</v>
      </c>
      <c r="E989" s="54"/>
      <c r="F989" s="55"/>
    </row>
    <row r="990" spans="4:6" ht="12.75">
      <c r="D990" s="53" t="s">
        <v>815</v>
      </c>
      <c r="E990" s="54"/>
      <c r="F990" s="55"/>
    </row>
    <row r="991" spans="4:6" ht="12.75">
      <c r="D991" s="53" t="s">
        <v>3476</v>
      </c>
      <c r="E991" s="54" t="s">
        <v>3477</v>
      </c>
      <c r="F991" s="55" t="s">
        <v>3478</v>
      </c>
    </row>
    <row r="992" spans="4:6" ht="12.75">
      <c r="D992" s="53" t="s">
        <v>3479</v>
      </c>
      <c r="E992" s="54" t="s">
        <v>3480</v>
      </c>
      <c r="F992" s="55" t="s">
        <v>3481</v>
      </c>
    </row>
    <row r="993" spans="4:6" ht="12.75">
      <c r="D993" s="53" t="s">
        <v>3482</v>
      </c>
      <c r="E993" s="54" t="s">
        <v>3483</v>
      </c>
      <c r="F993" s="55"/>
    </row>
    <row r="994" spans="4:6" ht="12.75">
      <c r="D994" s="53" t="s">
        <v>3484</v>
      </c>
      <c r="E994" s="54" t="s">
        <v>3485</v>
      </c>
      <c r="F994" s="55" t="s">
        <v>3486</v>
      </c>
    </row>
    <row r="995" spans="4:6" ht="12.75">
      <c r="D995" s="53" t="s">
        <v>3487</v>
      </c>
      <c r="E995" s="54" t="s">
        <v>3488</v>
      </c>
      <c r="F995" s="55" t="s">
        <v>3489</v>
      </c>
    </row>
    <row r="996" spans="4:6" ht="12.75">
      <c r="D996" s="53" t="s">
        <v>3490</v>
      </c>
      <c r="E996" s="54" t="s">
        <v>3491</v>
      </c>
      <c r="F996" s="55" t="s">
        <v>3492</v>
      </c>
    </row>
    <row r="997" spans="4:6" ht="12.75">
      <c r="D997" s="53" t="s">
        <v>815</v>
      </c>
      <c r="E997" s="54"/>
      <c r="F997" s="55"/>
    </row>
    <row r="998" spans="4:6" ht="12.75">
      <c r="D998" s="53" t="s">
        <v>3493</v>
      </c>
      <c r="E998" s="54" t="s">
        <v>3494</v>
      </c>
      <c r="F998" s="55" t="s">
        <v>3495</v>
      </c>
    </row>
    <row r="999" spans="4:6" ht="12.75">
      <c r="D999" s="53" t="s">
        <v>3496</v>
      </c>
      <c r="E999" s="54" t="s">
        <v>3497</v>
      </c>
      <c r="F999" s="55" t="s">
        <v>3498</v>
      </c>
    </row>
    <row r="1000" spans="4:6" ht="12.75">
      <c r="D1000" s="53" t="s">
        <v>3499</v>
      </c>
      <c r="E1000" s="54" t="s">
        <v>3500</v>
      </c>
      <c r="F1000" s="55" t="s">
        <v>3501</v>
      </c>
    </row>
    <row r="1001" spans="4:6" ht="12.75">
      <c r="D1001" s="53" t="s">
        <v>3502</v>
      </c>
      <c r="E1001" s="54" t="s">
        <v>3503</v>
      </c>
      <c r="F1001" s="55" t="s">
        <v>3504</v>
      </c>
    </row>
    <row r="1002" spans="4:6" ht="12.75">
      <c r="D1002" s="53" t="s">
        <v>3505</v>
      </c>
      <c r="E1002" s="54" t="s">
        <v>3506</v>
      </c>
      <c r="F1002" s="58" t="s">
        <v>3507</v>
      </c>
    </row>
    <row r="1003" spans="4:6" ht="12.75">
      <c r="D1003" s="53" t="s">
        <v>3508</v>
      </c>
      <c r="E1003" s="54" t="s">
        <v>3509</v>
      </c>
      <c r="F1003" s="55" t="s">
        <v>3510</v>
      </c>
    </row>
    <row r="1004" spans="4:6" ht="12.75">
      <c r="D1004" s="53" t="s">
        <v>3511</v>
      </c>
      <c r="E1004" s="54" t="s">
        <v>3512</v>
      </c>
      <c r="F1004" s="55" t="s">
        <v>3513</v>
      </c>
    </row>
    <row r="1005" spans="4:6" ht="12.75">
      <c r="D1005" s="53" t="s">
        <v>3514</v>
      </c>
      <c r="E1005" s="54" t="s">
        <v>3515</v>
      </c>
      <c r="F1005" s="55" t="s">
        <v>3516</v>
      </c>
    </row>
    <row r="1006" spans="4:6" ht="12.75">
      <c r="D1006" s="53" t="s">
        <v>815</v>
      </c>
      <c r="E1006" s="54"/>
      <c r="F1006" s="55"/>
    </row>
    <row r="1007" spans="4:6" ht="12.75">
      <c r="D1007" s="53" t="s">
        <v>3517</v>
      </c>
      <c r="E1007" s="54" t="s">
        <v>3518</v>
      </c>
      <c r="F1007" s="55" t="s">
        <v>3519</v>
      </c>
    </row>
    <row r="1008" spans="4:6" ht="12.75">
      <c r="D1008" s="53" t="s">
        <v>3520</v>
      </c>
      <c r="E1008" s="54" t="s">
        <v>3521</v>
      </c>
      <c r="F1008" s="55" t="s">
        <v>3522</v>
      </c>
    </row>
    <row r="1009" spans="4:6" ht="12.75">
      <c r="D1009" s="53" t="s">
        <v>3523</v>
      </c>
      <c r="E1009" s="54" t="s">
        <v>3524</v>
      </c>
      <c r="F1009" s="55" t="s">
        <v>3525</v>
      </c>
    </row>
    <row r="1010" spans="4:6" ht="12.75">
      <c r="D1010" s="53" t="s">
        <v>3526</v>
      </c>
      <c r="E1010" s="54" t="s">
        <v>3527</v>
      </c>
      <c r="F1010" s="55" t="s">
        <v>3528</v>
      </c>
    </row>
    <row r="1011" spans="4:6" ht="12.75">
      <c r="D1011" s="53" t="s">
        <v>3529</v>
      </c>
      <c r="E1011" s="54" t="s">
        <v>3530</v>
      </c>
      <c r="F1011" s="55" t="s">
        <v>3531</v>
      </c>
    </row>
    <row r="1012" spans="4:6" ht="12.75">
      <c r="D1012" s="53" t="s">
        <v>3532</v>
      </c>
      <c r="E1012" s="54" t="s">
        <v>3533</v>
      </c>
      <c r="F1012" s="55" t="s">
        <v>3534</v>
      </c>
    </row>
    <row r="1013" spans="4:6" ht="12.75">
      <c r="D1013" s="53" t="s">
        <v>3535</v>
      </c>
      <c r="E1013" s="54" t="s">
        <v>3536</v>
      </c>
      <c r="F1013" s="55"/>
    </row>
    <row r="1014" spans="4:6" ht="12.75">
      <c r="D1014" s="53" t="s">
        <v>3537</v>
      </c>
      <c r="E1014" s="54" t="s">
        <v>3538</v>
      </c>
      <c r="F1014" s="55" t="s">
        <v>3539</v>
      </c>
    </row>
    <row r="1015" spans="4:6" ht="12.75">
      <c r="D1015" s="53" t="s">
        <v>3540</v>
      </c>
      <c r="E1015" s="54" t="s">
        <v>3541</v>
      </c>
      <c r="F1015" s="54" t="s">
        <v>3542</v>
      </c>
    </row>
    <row r="1016" spans="4:6" ht="12.75">
      <c r="D1016" s="53" t="s">
        <v>3543</v>
      </c>
      <c r="E1016" s="54" t="s">
        <v>3544</v>
      </c>
      <c r="F1016" s="55" t="s">
        <v>3545</v>
      </c>
    </row>
    <row r="1017" spans="4:6" ht="12.75">
      <c r="D1017" s="53" t="s">
        <v>3546</v>
      </c>
      <c r="E1017" s="54" t="s">
        <v>3547</v>
      </c>
      <c r="F1017" s="55" t="s">
        <v>3548</v>
      </c>
    </row>
    <row r="1018" spans="4:6" ht="12.75">
      <c r="D1018" s="53" t="s">
        <v>3549</v>
      </c>
      <c r="E1018" s="54" t="s">
        <v>3550</v>
      </c>
      <c r="F1018" s="55" t="s">
        <v>3551</v>
      </c>
    </row>
    <row r="1019" spans="4:6" ht="12.75">
      <c r="D1019" s="53" t="s">
        <v>3552</v>
      </c>
      <c r="E1019" s="54" t="s">
        <v>3553</v>
      </c>
      <c r="F1019" s="55" t="s">
        <v>3554</v>
      </c>
    </row>
    <row r="1020" spans="4:6" ht="12.75">
      <c r="D1020" s="53" t="s">
        <v>3555</v>
      </c>
      <c r="E1020" s="54" t="s">
        <v>3556</v>
      </c>
      <c r="F1020" s="55" t="s">
        <v>3557</v>
      </c>
    </row>
    <row r="1021" spans="4:6" ht="12.75">
      <c r="D1021" s="53" t="s">
        <v>3558</v>
      </c>
      <c r="E1021" s="54" t="s">
        <v>3559</v>
      </c>
      <c r="F1021" s="55" t="s">
        <v>3560</v>
      </c>
    </row>
    <row r="1022" spans="4:6" ht="12.75">
      <c r="D1022" s="53" t="s">
        <v>3561</v>
      </c>
      <c r="E1022" s="54" t="s">
        <v>3562</v>
      </c>
      <c r="F1022" s="55" t="s">
        <v>3563</v>
      </c>
    </row>
    <row r="1023" spans="4:6" ht="12.75">
      <c r="D1023" s="53" t="s">
        <v>3564</v>
      </c>
      <c r="E1023" s="54" t="s">
        <v>3565</v>
      </c>
      <c r="F1023" s="55" t="s">
        <v>3566</v>
      </c>
    </row>
    <row r="1024" spans="4:6" ht="12.75">
      <c r="D1024" s="53" t="s">
        <v>3567</v>
      </c>
      <c r="E1024" s="54" t="s">
        <v>3568</v>
      </c>
      <c r="F1024" s="55" t="s">
        <v>3569</v>
      </c>
    </row>
    <row r="1025" spans="4:6" ht="12.75">
      <c r="D1025" s="53" t="s">
        <v>3570</v>
      </c>
      <c r="E1025" s="54" t="s">
        <v>71</v>
      </c>
      <c r="F1025" s="55" t="s">
        <v>3571</v>
      </c>
    </row>
    <row r="1026" spans="4:6" ht="12.75">
      <c r="D1026" s="53" t="s">
        <v>3572</v>
      </c>
      <c r="E1026" s="54" t="s">
        <v>3573</v>
      </c>
      <c r="F1026" s="55" t="s">
        <v>3574</v>
      </c>
    </row>
    <row r="1027" spans="4:6" ht="12.75">
      <c r="D1027" s="53" t="s">
        <v>3575</v>
      </c>
      <c r="E1027" s="54" t="s">
        <v>3576</v>
      </c>
      <c r="F1027" s="55" t="s">
        <v>3577</v>
      </c>
    </row>
    <row r="1028" spans="4:6" ht="12.75">
      <c r="D1028" s="53" t="s">
        <v>3578</v>
      </c>
      <c r="E1028" s="54" t="s">
        <v>3579</v>
      </c>
      <c r="F1028" s="55" t="s">
        <v>3580</v>
      </c>
    </row>
    <row r="1029" spans="4:6" ht="12.75">
      <c r="D1029" s="53" t="s">
        <v>3581</v>
      </c>
      <c r="E1029" s="54" t="s">
        <v>3582</v>
      </c>
      <c r="F1029" s="55" t="s">
        <v>3583</v>
      </c>
    </row>
    <row r="1030" spans="4:6" ht="12.75">
      <c r="D1030" s="53" t="s">
        <v>3584</v>
      </c>
      <c r="E1030" s="54" t="s">
        <v>54</v>
      </c>
      <c r="F1030" s="55" t="s">
        <v>3585</v>
      </c>
    </row>
    <row r="1031" spans="4:6" ht="12.75">
      <c r="D1031" s="53" t="s">
        <v>3586</v>
      </c>
      <c r="E1031" s="54" t="s">
        <v>3587</v>
      </c>
      <c r="F1031" s="55" t="s">
        <v>3588</v>
      </c>
    </row>
    <row r="1032" spans="4:6" ht="12.75">
      <c r="D1032" s="53" t="s">
        <v>3589</v>
      </c>
      <c r="E1032" s="54" t="s">
        <v>3590</v>
      </c>
      <c r="F1032" s="55" t="s">
        <v>3591</v>
      </c>
    </row>
    <row r="1033" spans="4:6" ht="12.75">
      <c r="D1033" s="53" t="s">
        <v>3592</v>
      </c>
      <c r="E1033" s="54" t="s">
        <v>3593</v>
      </c>
      <c r="F1033" s="55" t="s">
        <v>3594</v>
      </c>
    </row>
    <row r="1034" spans="4:6" ht="12.75">
      <c r="D1034" s="53" t="s">
        <v>3595</v>
      </c>
      <c r="E1034" s="54" t="s">
        <v>3596</v>
      </c>
      <c r="F1034" s="55" t="s">
        <v>3597</v>
      </c>
    </row>
    <row r="1035" spans="4:6" ht="12.75">
      <c r="D1035" s="53" t="s">
        <v>3598</v>
      </c>
      <c r="E1035" s="54" t="s">
        <v>3599</v>
      </c>
      <c r="F1035" s="54" t="s">
        <v>3600</v>
      </c>
    </row>
    <row r="1036" spans="4:6" ht="12.75">
      <c r="D1036" s="53" t="s">
        <v>3601</v>
      </c>
      <c r="E1036" s="54" t="s">
        <v>3602</v>
      </c>
      <c r="F1036" s="55" t="s">
        <v>3603</v>
      </c>
    </row>
    <row r="1037" spans="4:6" ht="12.75">
      <c r="D1037" s="53" t="s">
        <v>3604</v>
      </c>
      <c r="E1037" s="54" t="s">
        <v>3605</v>
      </c>
      <c r="F1037" s="55" t="s">
        <v>3606</v>
      </c>
    </row>
    <row r="1038" spans="4:6" ht="12.75">
      <c r="D1038" s="53" t="s">
        <v>3607</v>
      </c>
      <c r="E1038" s="54" t="s">
        <v>67</v>
      </c>
      <c r="F1038" s="55" t="s">
        <v>3608</v>
      </c>
    </row>
    <row r="1039" spans="4:6" ht="12.75">
      <c r="D1039" s="53" t="s">
        <v>3609</v>
      </c>
      <c r="E1039" s="54" t="s">
        <v>3610</v>
      </c>
      <c r="F1039" s="55" t="s">
        <v>3611</v>
      </c>
    </row>
    <row r="1040" spans="4:6" ht="12.75">
      <c r="D1040" s="53" t="s">
        <v>3612</v>
      </c>
      <c r="E1040" s="54" t="s">
        <v>3613</v>
      </c>
      <c r="F1040" s="55" t="s">
        <v>3614</v>
      </c>
    </row>
    <row r="1041" spans="4:6" ht="12.75">
      <c r="D1041" s="53" t="s">
        <v>3615</v>
      </c>
      <c r="E1041" s="54" t="s">
        <v>3616</v>
      </c>
      <c r="F1041" s="55" t="s">
        <v>3617</v>
      </c>
    </row>
    <row r="1042" spans="4:6" ht="12.75">
      <c r="D1042" s="53" t="s">
        <v>3618</v>
      </c>
      <c r="E1042" s="54" t="s">
        <v>3619</v>
      </c>
      <c r="F1042" s="55" t="s">
        <v>3620</v>
      </c>
    </row>
    <row r="1043" spans="4:6" ht="12.75">
      <c r="D1043" s="53" t="s">
        <v>3621</v>
      </c>
      <c r="E1043" s="54" t="s">
        <v>3622</v>
      </c>
      <c r="F1043" s="55" t="s">
        <v>3623</v>
      </c>
    </row>
    <row r="1044" spans="4:6" ht="12.75">
      <c r="D1044" s="53" t="s">
        <v>3624</v>
      </c>
      <c r="E1044" s="54" t="s">
        <v>3625</v>
      </c>
      <c r="F1044" s="54" t="s">
        <v>3626</v>
      </c>
    </row>
    <row r="1045" spans="4:6" ht="12.75">
      <c r="D1045" s="53" t="s">
        <v>3627</v>
      </c>
      <c r="E1045" s="54" t="s">
        <v>3628</v>
      </c>
      <c r="F1045" s="54" t="s">
        <v>3629</v>
      </c>
    </row>
    <row r="1046" spans="4:6" ht="12.75">
      <c r="D1046" s="53" t="s">
        <v>3630</v>
      </c>
      <c r="E1046" s="54" t="s">
        <v>3631</v>
      </c>
      <c r="F1046" s="58" t="s">
        <v>3632</v>
      </c>
    </row>
    <row r="1047" spans="4:6" ht="12.75">
      <c r="D1047" s="53" t="s">
        <v>3633</v>
      </c>
      <c r="E1047" s="54" t="s">
        <v>3634</v>
      </c>
      <c r="F1047" s="55" t="s">
        <v>3635</v>
      </c>
    </row>
    <row r="1048" spans="4:6" ht="12.75">
      <c r="D1048" s="53" t="s">
        <v>3636</v>
      </c>
      <c r="E1048" s="54" t="s">
        <v>3637</v>
      </c>
      <c r="F1048" s="55" t="s">
        <v>3638</v>
      </c>
    </row>
    <row r="1049" spans="4:6" ht="12.75">
      <c r="D1049" s="53" t="s">
        <v>3639</v>
      </c>
      <c r="E1049" s="54" t="s">
        <v>3640</v>
      </c>
      <c r="F1049" s="55" t="s">
        <v>3641</v>
      </c>
    </row>
    <row r="1050" spans="4:6" ht="12.75">
      <c r="D1050" s="53" t="s">
        <v>3642</v>
      </c>
      <c r="E1050" s="54" t="s">
        <v>3643</v>
      </c>
      <c r="F1050" s="55" t="s">
        <v>3644</v>
      </c>
    </row>
    <row r="1051" spans="4:6" ht="12.75">
      <c r="D1051" s="53" t="s">
        <v>3645</v>
      </c>
      <c r="E1051" s="54" t="s">
        <v>3646</v>
      </c>
      <c r="F1051" s="55" t="s">
        <v>3647</v>
      </c>
    </row>
    <row r="1052" spans="4:6" ht="12.75">
      <c r="D1052" s="53" t="s">
        <v>3648</v>
      </c>
      <c r="E1052" s="54" t="s">
        <v>3649</v>
      </c>
      <c r="F1052" s="55" t="s">
        <v>3650</v>
      </c>
    </row>
    <row r="1053" spans="4:6" ht="12.75">
      <c r="D1053" s="53" t="s">
        <v>3651</v>
      </c>
      <c r="E1053" s="54" t="s">
        <v>3652</v>
      </c>
      <c r="F1053" s="55" t="s">
        <v>3653</v>
      </c>
    </row>
    <row r="1054" spans="4:6" ht="12.75">
      <c r="D1054" s="53" t="s">
        <v>3654</v>
      </c>
      <c r="E1054" s="54" t="s">
        <v>3655</v>
      </c>
      <c r="F1054" s="55" t="s">
        <v>3656</v>
      </c>
    </row>
    <row r="1055" spans="4:6" ht="12.75">
      <c r="D1055" s="53" t="s">
        <v>3657</v>
      </c>
      <c r="E1055" s="54" t="s">
        <v>3658</v>
      </c>
      <c r="F1055" s="55" t="s">
        <v>3659</v>
      </c>
    </row>
    <row r="1056" spans="4:6" ht="12.75">
      <c r="D1056" s="53" t="s">
        <v>3660</v>
      </c>
      <c r="E1056" s="54" t="s">
        <v>3661</v>
      </c>
      <c r="F1056" s="55" t="s">
        <v>3662</v>
      </c>
    </row>
    <row r="1057" spans="4:6" ht="12.75">
      <c r="D1057" s="53" t="s">
        <v>3663</v>
      </c>
      <c r="E1057" s="54" t="s">
        <v>3664</v>
      </c>
      <c r="F1057" s="55" t="s">
        <v>3665</v>
      </c>
    </row>
    <row r="1058" spans="4:6" ht="12.75">
      <c r="D1058" s="53" t="s">
        <v>3666</v>
      </c>
      <c r="E1058" s="54" t="s">
        <v>3667</v>
      </c>
      <c r="F1058" s="55" t="s">
        <v>3668</v>
      </c>
    </row>
    <row r="1059" spans="4:6" ht="12.75">
      <c r="D1059" s="53" t="s">
        <v>3669</v>
      </c>
      <c r="E1059" s="54" t="s">
        <v>3670</v>
      </c>
      <c r="F1059" s="55" t="s">
        <v>3671</v>
      </c>
    </row>
    <row r="1060" spans="4:6" ht="12.75">
      <c r="D1060" s="53" t="s">
        <v>3672</v>
      </c>
      <c r="E1060" s="54" t="s">
        <v>3673</v>
      </c>
      <c r="F1060" s="55" t="s">
        <v>3674</v>
      </c>
    </row>
    <row r="1061" spans="4:6" ht="12.75">
      <c r="D1061" s="53" t="s">
        <v>3675</v>
      </c>
      <c r="E1061" s="54" t="s">
        <v>3676</v>
      </c>
      <c r="F1061" s="58" t="s">
        <v>3677</v>
      </c>
    </row>
    <row r="1062" spans="4:6" ht="12.75">
      <c r="D1062" s="53" t="s">
        <v>3678</v>
      </c>
      <c r="E1062" s="54" t="s">
        <v>3679</v>
      </c>
      <c r="F1062" s="55" t="s">
        <v>3680</v>
      </c>
    </row>
    <row r="1063" spans="4:6" ht="12.75">
      <c r="D1063" s="53" t="s">
        <v>3681</v>
      </c>
      <c r="E1063" s="54" t="s">
        <v>3682</v>
      </c>
      <c r="F1063" s="55" t="s">
        <v>3683</v>
      </c>
    </row>
    <row r="1064" spans="4:6" ht="12.75">
      <c r="D1064" s="53" t="s">
        <v>3684</v>
      </c>
      <c r="E1064" s="54" t="s">
        <v>3685</v>
      </c>
      <c r="F1064" s="55" t="s">
        <v>3686</v>
      </c>
    </row>
    <row r="1065" spans="4:6" ht="12.75">
      <c r="D1065" s="53" t="s">
        <v>3687</v>
      </c>
      <c r="E1065" s="54" t="s">
        <v>3688</v>
      </c>
      <c r="F1065" s="55" t="s">
        <v>3689</v>
      </c>
    </row>
    <row r="1066" spans="4:6" ht="12.75">
      <c r="D1066" s="53" t="s">
        <v>3690</v>
      </c>
      <c r="E1066" s="54" t="s">
        <v>3691</v>
      </c>
      <c r="F1066" s="55" t="s">
        <v>3692</v>
      </c>
    </row>
    <row r="1067" spans="4:6" ht="12.75">
      <c r="D1067" s="53" t="s">
        <v>3693</v>
      </c>
      <c r="E1067" s="54" t="s">
        <v>3694</v>
      </c>
      <c r="F1067" s="55" t="s">
        <v>3695</v>
      </c>
    </row>
    <row r="1068" spans="4:6" ht="12.75">
      <c r="D1068" s="53" t="s">
        <v>3696</v>
      </c>
      <c r="E1068" s="54" t="s">
        <v>3697</v>
      </c>
      <c r="F1068" s="55" t="s">
        <v>3698</v>
      </c>
    </row>
    <row r="1069" spans="4:6" ht="12.75">
      <c r="D1069" s="53" t="s">
        <v>3699</v>
      </c>
      <c r="E1069" s="54" t="s">
        <v>3700</v>
      </c>
      <c r="F1069" s="58" t="s">
        <v>3701</v>
      </c>
    </row>
    <row r="1070" spans="4:6" ht="12.75">
      <c r="D1070" s="53" t="s">
        <v>3702</v>
      </c>
      <c r="E1070" s="54" t="s">
        <v>3703</v>
      </c>
      <c r="F1070" s="55" t="s">
        <v>3704</v>
      </c>
    </row>
    <row r="1071" spans="4:6" ht="12.75">
      <c r="D1071" s="53" t="s">
        <v>3705</v>
      </c>
      <c r="E1071" s="54" t="s">
        <v>3706</v>
      </c>
      <c r="F1071" s="55" t="s">
        <v>3707</v>
      </c>
    </row>
    <row r="1072" spans="4:6" ht="12.75">
      <c r="D1072" s="53" t="s">
        <v>3708</v>
      </c>
      <c r="E1072" s="54" t="s">
        <v>3709</v>
      </c>
      <c r="F1072" s="55" t="s">
        <v>3710</v>
      </c>
    </row>
    <row r="1073" spans="4:6" ht="12.75">
      <c r="D1073" s="53" t="s">
        <v>3711</v>
      </c>
      <c r="E1073" s="54" t="s">
        <v>3712</v>
      </c>
      <c r="F1073" s="55" t="s">
        <v>3713</v>
      </c>
    </row>
    <row r="1074" spans="4:6" ht="12.75">
      <c r="D1074" s="53" t="s">
        <v>3714</v>
      </c>
      <c r="E1074" s="54" t="s">
        <v>3715</v>
      </c>
      <c r="F1074" s="55" t="s">
        <v>3716</v>
      </c>
    </row>
    <row r="1075" spans="4:6" ht="12.75">
      <c r="D1075" s="53" t="s">
        <v>3717</v>
      </c>
      <c r="E1075" s="54" t="s">
        <v>3718</v>
      </c>
      <c r="F1075" s="58" t="s">
        <v>3719</v>
      </c>
    </row>
    <row r="1076" spans="4:6" ht="12.75">
      <c r="D1076" s="53" t="s">
        <v>3720</v>
      </c>
      <c r="E1076" s="54" t="s">
        <v>3721</v>
      </c>
      <c r="F1076" s="55" t="s">
        <v>3722</v>
      </c>
    </row>
    <row r="1077" spans="4:6" ht="12.75">
      <c r="D1077" s="53" t="s">
        <v>3723</v>
      </c>
      <c r="E1077" s="54" t="s">
        <v>3724</v>
      </c>
      <c r="F1077" s="55" t="s">
        <v>3725</v>
      </c>
    </row>
    <row r="1078" spans="4:6" ht="12.75">
      <c r="D1078" s="53" t="s">
        <v>3726</v>
      </c>
      <c r="E1078" s="54" t="s">
        <v>3727</v>
      </c>
      <c r="F1078" s="55" t="s">
        <v>3728</v>
      </c>
    </row>
    <row r="1079" spans="4:6" ht="12.75">
      <c r="D1079" s="53" t="s">
        <v>3729</v>
      </c>
      <c r="E1079" s="54" t="s">
        <v>3730</v>
      </c>
      <c r="F1079" s="55" t="s">
        <v>3731</v>
      </c>
    </row>
    <row r="1080" spans="4:6" ht="12.75">
      <c r="D1080" s="53" t="s">
        <v>3732</v>
      </c>
      <c r="E1080" s="54" t="s">
        <v>69</v>
      </c>
      <c r="F1080" s="55" t="s">
        <v>3733</v>
      </c>
    </row>
    <row r="1081" spans="4:6" ht="12.75">
      <c r="D1081" s="53" t="s">
        <v>3734</v>
      </c>
      <c r="E1081" s="54" t="s">
        <v>3735</v>
      </c>
      <c r="F1081" s="55" t="s">
        <v>3736</v>
      </c>
    </row>
    <row r="1082" spans="4:6" ht="12.75">
      <c r="D1082" s="53" t="s">
        <v>3737</v>
      </c>
      <c r="E1082" s="54" t="s">
        <v>3738</v>
      </c>
      <c r="F1082" s="55" t="s">
        <v>3739</v>
      </c>
    </row>
    <row r="1083" spans="4:6" ht="12.75">
      <c r="D1083" s="53" t="s">
        <v>3740</v>
      </c>
      <c r="E1083" s="54" t="s">
        <v>3741</v>
      </c>
      <c r="F1083" s="55" t="s">
        <v>3742</v>
      </c>
    </row>
    <row r="1084" spans="4:6" ht="12.75">
      <c r="D1084" s="53" t="s">
        <v>3743</v>
      </c>
      <c r="E1084" s="54" t="s">
        <v>3744</v>
      </c>
      <c r="F1084" s="54" t="s">
        <v>3745</v>
      </c>
    </row>
    <row r="1085" spans="4:6" ht="12.75">
      <c r="D1085" s="53" t="s">
        <v>3746</v>
      </c>
      <c r="E1085" s="54" t="s">
        <v>3747</v>
      </c>
      <c r="F1085" s="55" t="s">
        <v>3748</v>
      </c>
    </row>
    <row r="1086" spans="4:6" ht="12.75">
      <c r="D1086" s="53" t="s">
        <v>3749</v>
      </c>
      <c r="E1086" s="54" t="s">
        <v>3750</v>
      </c>
      <c r="F1086" s="55" t="s">
        <v>3751</v>
      </c>
    </row>
    <row r="1087" spans="4:6" ht="12.75">
      <c r="D1087" s="53" t="s">
        <v>3752</v>
      </c>
      <c r="E1087" s="54" t="s">
        <v>3753</v>
      </c>
      <c r="F1087" s="55" t="s">
        <v>3754</v>
      </c>
    </row>
    <row r="1088" spans="4:6" ht="12.75">
      <c r="D1088" s="53" t="s">
        <v>3755</v>
      </c>
      <c r="E1088" s="54" t="s">
        <v>3756</v>
      </c>
      <c r="F1088" s="55" t="s">
        <v>3757</v>
      </c>
    </row>
    <row r="1089" spans="4:6" ht="12.75">
      <c r="D1089" s="53" t="s">
        <v>3758</v>
      </c>
      <c r="E1089" s="54" t="s">
        <v>3759</v>
      </c>
      <c r="F1089" s="55" t="s">
        <v>3760</v>
      </c>
    </row>
    <row r="1090" spans="4:6" ht="12.75">
      <c r="D1090" s="53" t="s">
        <v>3761</v>
      </c>
      <c r="E1090" s="54" t="s">
        <v>3762</v>
      </c>
      <c r="F1090" s="55" t="s">
        <v>3763</v>
      </c>
    </row>
    <row r="1091" spans="4:6" ht="12.75">
      <c r="D1091" s="53" t="s">
        <v>3764</v>
      </c>
      <c r="E1091" s="54" t="s">
        <v>3765</v>
      </c>
      <c r="F1091" s="55" t="s">
        <v>3766</v>
      </c>
    </row>
    <row r="1092" spans="4:6" ht="12.75">
      <c r="D1092" s="53" t="s">
        <v>3767</v>
      </c>
      <c r="E1092" s="54" t="s">
        <v>3768</v>
      </c>
      <c r="F1092" s="55" t="s">
        <v>3769</v>
      </c>
    </row>
    <row r="1093" spans="4:6" ht="12.75">
      <c r="D1093" s="53" t="s">
        <v>3770</v>
      </c>
      <c r="E1093" s="54" t="s">
        <v>3771</v>
      </c>
      <c r="F1093" s="55" t="s">
        <v>3772</v>
      </c>
    </row>
    <row r="1094" spans="4:6" ht="12.75">
      <c r="D1094" s="53" t="s">
        <v>3773</v>
      </c>
      <c r="E1094" s="54" t="s">
        <v>63</v>
      </c>
      <c r="F1094" s="55" t="s">
        <v>3774</v>
      </c>
    </row>
    <row r="1095" spans="4:6" ht="12.75">
      <c r="D1095" s="62" t="s">
        <v>3775</v>
      </c>
      <c r="E1095" s="63" t="s">
        <v>3776</v>
      </c>
      <c r="F1095" s="64" t="s">
        <v>3777</v>
      </c>
    </row>
    <row r="1096" spans="4:6" ht="12.75">
      <c r="D1096" s="65" t="s">
        <v>3778</v>
      </c>
      <c r="E1096" s="66" t="s">
        <v>37</v>
      </c>
      <c r="F1096" s="67" t="s">
        <v>3779</v>
      </c>
    </row>
    <row r="1097" spans="4:6" ht="12.75">
      <c r="D1097" s="65" t="s">
        <v>3780</v>
      </c>
      <c r="E1097" s="66" t="s">
        <v>3781</v>
      </c>
      <c r="F1097" s="67" t="s">
        <v>3782</v>
      </c>
    </row>
    <row r="1098" spans="4:6" ht="12.75">
      <c r="D1098" s="65" t="s">
        <v>3783</v>
      </c>
      <c r="E1098" s="66" t="s">
        <v>38</v>
      </c>
      <c r="F1098" s="67" t="s">
        <v>3784</v>
      </c>
    </row>
    <row r="1099" spans="4:6" ht="12.75">
      <c r="D1099" s="65" t="s">
        <v>3785</v>
      </c>
      <c r="E1099" s="66" t="s">
        <v>3786</v>
      </c>
      <c r="F1099" s="67" t="s">
        <v>3787</v>
      </c>
    </row>
    <row r="1100" spans="4:6" ht="12.75">
      <c r="D1100" s="53" t="s">
        <v>3788</v>
      </c>
      <c r="E1100" s="54" t="s">
        <v>3789</v>
      </c>
      <c r="F1100" s="55" t="s">
        <v>3790</v>
      </c>
    </row>
    <row r="1101" spans="4:6" ht="12.75">
      <c r="D1101" s="53" t="s">
        <v>3791</v>
      </c>
      <c r="E1101" s="54" t="s">
        <v>3792</v>
      </c>
      <c r="F1101" s="55" t="s">
        <v>3793</v>
      </c>
    </row>
    <row r="1102" spans="4:6" ht="12.75">
      <c r="D1102" s="53" t="s">
        <v>3794</v>
      </c>
      <c r="E1102" s="54" t="s">
        <v>3795</v>
      </c>
      <c r="F1102" s="55" t="s">
        <v>3796</v>
      </c>
    </row>
    <row r="1103" spans="4:6" ht="12.75">
      <c r="D1103" s="53" t="s">
        <v>3797</v>
      </c>
      <c r="E1103" s="54" t="s">
        <v>3798</v>
      </c>
      <c r="F1103" s="55" t="s">
        <v>3799</v>
      </c>
    </row>
    <row r="1104" spans="4:6" ht="12.75">
      <c r="D1104" s="53" t="s">
        <v>3800</v>
      </c>
      <c r="E1104" s="54" t="s">
        <v>3801</v>
      </c>
      <c r="F1104" s="55" t="s">
        <v>3802</v>
      </c>
    </row>
    <row r="1105" spans="4:6" ht="12.75">
      <c r="D1105" s="53" t="s">
        <v>3803</v>
      </c>
      <c r="E1105" s="54" t="s">
        <v>3804</v>
      </c>
      <c r="F1105" s="55" t="s">
        <v>3805</v>
      </c>
    </row>
    <row r="1106" spans="4:6" ht="12.75">
      <c r="D1106" s="53"/>
      <c r="E1106" s="54" t="s">
        <v>3806</v>
      </c>
      <c r="F1106" s="55" t="s">
        <v>3807</v>
      </c>
    </row>
    <row r="1107" spans="4:6" ht="12.75">
      <c r="D1107" s="53" t="s">
        <v>3808</v>
      </c>
      <c r="E1107" s="54" t="s">
        <v>3809</v>
      </c>
      <c r="F1107" s="58" t="s">
        <v>3810</v>
      </c>
    </row>
    <row r="1108" spans="4:6" ht="12.75">
      <c r="D1108" s="53" t="s">
        <v>3811</v>
      </c>
      <c r="E1108" s="54" t="s">
        <v>3812</v>
      </c>
      <c r="F1108" s="55" t="s">
        <v>3813</v>
      </c>
    </row>
    <row r="1109" spans="4:6" ht="12.75">
      <c r="D1109" s="53" t="s">
        <v>3814</v>
      </c>
      <c r="E1109" s="54" t="s">
        <v>3815</v>
      </c>
      <c r="F1109" s="55" t="s">
        <v>3816</v>
      </c>
    </row>
    <row r="1110" spans="4:6" ht="12.75">
      <c r="D1110" s="53" t="s">
        <v>3817</v>
      </c>
      <c r="E1110" s="54" t="s">
        <v>3818</v>
      </c>
      <c r="F1110" s="55" t="s">
        <v>3819</v>
      </c>
    </row>
    <row r="1111" spans="4:6" ht="12.75">
      <c r="D1111" s="53" t="s">
        <v>3820</v>
      </c>
      <c r="E1111" s="54" t="s">
        <v>3821</v>
      </c>
      <c r="F1111" s="55" t="s">
        <v>3822</v>
      </c>
    </row>
    <row r="1112" spans="4:6" ht="12.75">
      <c r="D1112" s="62" t="s">
        <v>3823</v>
      </c>
      <c r="E1112" s="63" t="s">
        <v>3824</v>
      </c>
      <c r="F1112" s="64" t="s">
        <v>3825</v>
      </c>
    </row>
    <row r="1113" spans="4:6" ht="12.75">
      <c r="D1113" s="65" t="s">
        <v>3826</v>
      </c>
      <c r="E1113" s="66" t="s">
        <v>86</v>
      </c>
      <c r="F1113" s="67" t="s">
        <v>3827</v>
      </c>
    </row>
    <row r="1114" spans="4:6" ht="12.75">
      <c r="D1114" s="65" t="s">
        <v>3828</v>
      </c>
      <c r="E1114" s="66" t="s">
        <v>3829</v>
      </c>
      <c r="F1114" s="67" t="s">
        <v>3830</v>
      </c>
    </row>
    <row r="1115" spans="4:6" ht="12.75">
      <c r="D1115" s="65" t="s">
        <v>3831</v>
      </c>
      <c r="E1115" s="66" t="s">
        <v>3832</v>
      </c>
      <c r="F1115" s="67" t="s">
        <v>3833</v>
      </c>
    </row>
    <row r="1116" spans="4:6" ht="12.75">
      <c r="D1116" s="65" t="s">
        <v>3834</v>
      </c>
      <c r="E1116" s="66" t="s">
        <v>3835</v>
      </c>
      <c r="F1116" s="67" t="s">
        <v>3836</v>
      </c>
    </row>
    <row r="1117" spans="4:6" ht="12.75">
      <c r="D1117" s="65" t="s">
        <v>3837</v>
      </c>
      <c r="E1117" s="66" t="s">
        <v>3838</v>
      </c>
      <c r="F1117" s="67" t="s">
        <v>3839</v>
      </c>
    </row>
    <row r="1118" spans="4:6" ht="12.75">
      <c r="D1118" s="65" t="s">
        <v>3840</v>
      </c>
      <c r="E1118" s="66" t="s">
        <v>3841</v>
      </c>
      <c r="F1118" s="66" t="s">
        <v>3842</v>
      </c>
    </row>
    <row r="1119" spans="4:6" ht="12.75">
      <c r="D1119" s="65" t="s">
        <v>3843</v>
      </c>
      <c r="E1119" s="66" t="s">
        <v>3844</v>
      </c>
      <c r="F1119" s="67" t="s">
        <v>3845</v>
      </c>
    </row>
    <row r="1120" spans="4:6" ht="12.75">
      <c r="D1120" s="53" t="s">
        <v>3846</v>
      </c>
      <c r="E1120" s="54" t="s">
        <v>3847</v>
      </c>
      <c r="F1120" s="55" t="s">
        <v>3848</v>
      </c>
    </row>
    <row r="1121" spans="4:6" ht="12.75">
      <c r="D1121" s="53" t="s">
        <v>3849</v>
      </c>
      <c r="E1121" s="54" t="s">
        <v>3850</v>
      </c>
      <c r="F1121" s="55" t="s">
        <v>3851</v>
      </c>
    </row>
    <row r="1122" spans="4:6" ht="12.75">
      <c r="D1122" s="53" t="s">
        <v>3852</v>
      </c>
      <c r="E1122" s="54" t="s">
        <v>3853</v>
      </c>
      <c r="F1122" s="55" t="s">
        <v>3854</v>
      </c>
    </row>
    <row r="1123" spans="4:6" ht="12.75">
      <c r="D1123" s="53" t="s">
        <v>3855</v>
      </c>
      <c r="E1123" s="54" t="s">
        <v>3856</v>
      </c>
      <c r="F1123" s="55" t="s">
        <v>3857</v>
      </c>
    </row>
    <row r="1124" spans="4:6" ht="12.75">
      <c r="D1124" s="53" t="s">
        <v>3858</v>
      </c>
      <c r="E1124" s="54" t="s">
        <v>3859</v>
      </c>
      <c r="F1124" s="58" t="s">
        <v>3860</v>
      </c>
    </row>
    <row r="1125" spans="4:6" ht="12.75">
      <c r="D1125" s="53" t="s">
        <v>3861</v>
      </c>
      <c r="E1125" s="54" t="s">
        <v>3862</v>
      </c>
      <c r="F1125" s="55" t="s">
        <v>3863</v>
      </c>
    </row>
    <row r="1126" spans="4:6" ht="12.75">
      <c r="D1126" s="62" t="s">
        <v>3864</v>
      </c>
      <c r="E1126" s="63" t="s">
        <v>3865</v>
      </c>
      <c r="F1126" s="68" t="s">
        <v>3866</v>
      </c>
    </row>
    <row r="1127" spans="4:6" ht="12.75">
      <c r="D1127" s="65" t="s">
        <v>3867</v>
      </c>
      <c r="E1127" s="66" t="s">
        <v>88</v>
      </c>
      <c r="F1127" s="67" t="s">
        <v>3868</v>
      </c>
    </row>
    <row r="1128" spans="4:6" ht="12.75">
      <c r="D1128" s="65" t="s">
        <v>3869</v>
      </c>
      <c r="E1128" s="66" t="s">
        <v>3870</v>
      </c>
      <c r="F1128" s="67" t="s">
        <v>3871</v>
      </c>
    </row>
    <row r="1129" spans="4:6" ht="12.75">
      <c r="D1129" s="65" t="s">
        <v>3872</v>
      </c>
      <c r="E1129" s="66" t="s">
        <v>3873</v>
      </c>
      <c r="F1129" s="67" t="s">
        <v>3874</v>
      </c>
    </row>
    <row r="1130" spans="4:6" ht="12.75">
      <c r="D1130" s="65" t="s">
        <v>3875</v>
      </c>
      <c r="E1130" s="66" t="s">
        <v>3876</v>
      </c>
      <c r="F1130" s="67" t="s">
        <v>3877</v>
      </c>
    </row>
    <row r="1131" spans="4:6" ht="12.75">
      <c r="D1131" s="65" t="s">
        <v>3878</v>
      </c>
      <c r="E1131" s="66" t="s">
        <v>3879</v>
      </c>
      <c r="F1131" s="67" t="s">
        <v>3880</v>
      </c>
    </row>
    <row r="1132" spans="4:6" ht="12.75">
      <c r="D1132" s="65" t="s">
        <v>3881</v>
      </c>
      <c r="E1132" s="66" t="s">
        <v>3882</v>
      </c>
      <c r="F1132" s="67" t="s">
        <v>3883</v>
      </c>
    </row>
    <row r="1133" spans="4:6" ht="12.75">
      <c r="D1133" s="65" t="s">
        <v>3884</v>
      </c>
      <c r="E1133" s="66" t="s">
        <v>32</v>
      </c>
      <c r="F1133" s="67" t="s">
        <v>3885</v>
      </c>
    </row>
    <row r="1134" spans="4:6" ht="12.75">
      <c r="D1134" s="65" t="s">
        <v>3886</v>
      </c>
      <c r="E1134" s="66" t="s">
        <v>3887</v>
      </c>
      <c r="F1134" s="67" t="s">
        <v>3888</v>
      </c>
    </row>
    <row r="1135" spans="4:6" ht="12.75">
      <c r="D1135" s="65" t="s">
        <v>3889</v>
      </c>
      <c r="E1135" s="66" t="s">
        <v>3890</v>
      </c>
      <c r="F1135" s="67" t="s">
        <v>3891</v>
      </c>
    </row>
    <row r="1136" spans="4:6" ht="12.75">
      <c r="D1136" s="65" t="s">
        <v>3892</v>
      </c>
      <c r="E1136" s="66" t="s">
        <v>3893</v>
      </c>
      <c r="F1136" s="67" t="s">
        <v>3894</v>
      </c>
    </row>
    <row r="1137" spans="4:6" ht="12.75">
      <c r="D1137" s="65" t="s">
        <v>3895</v>
      </c>
      <c r="E1137" s="66" t="s">
        <v>3896</v>
      </c>
      <c r="F1137" s="67" t="s">
        <v>3897</v>
      </c>
    </row>
    <row r="1138" spans="4:6" ht="12.75">
      <c r="D1138" s="65" t="s">
        <v>3898</v>
      </c>
      <c r="E1138" s="66" t="s">
        <v>3899</v>
      </c>
      <c r="F1138" s="67" t="s">
        <v>3900</v>
      </c>
    </row>
    <row r="1139" spans="4:6" ht="12.75">
      <c r="D1139" s="65" t="s">
        <v>3901</v>
      </c>
      <c r="E1139" s="66" t="s">
        <v>3902</v>
      </c>
      <c r="F1139" s="66" t="s">
        <v>3903</v>
      </c>
    </row>
    <row r="1140" spans="4:6" ht="12.75">
      <c r="D1140" s="65" t="s">
        <v>3904</v>
      </c>
      <c r="E1140" s="66" t="s">
        <v>3905</v>
      </c>
      <c r="F1140" s="69" t="s">
        <v>3906</v>
      </c>
    </row>
    <row r="1141" spans="4:6" ht="12.75">
      <c r="D1141" s="65" t="s">
        <v>3907</v>
      </c>
      <c r="E1141" s="66" t="s">
        <v>43</v>
      </c>
      <c r="F1141" s="67" t="s">
        <v>3908</v>
      </c>
    </row>
    <row r="1142" spans="4:6" ht="12.75">
      <c r="D1142" s="65" t="s">
        <v>3909</v>
      </c>
      <c r="E1142" s="66" t="s">
        <v>3910</v>
      </c>
      <c r="F1142" s="67" t="s">
        <v>3911</v>
      </c>
    </row>
    <row r="1143" spans="4:6" ht="12.75">
      <c r="D1143" s="65" t="s">
        <v>3912</v>
      </c>
      <c r="E1143" s="66" t="s">
        <v>3913</v>
      </c>
      <c r="F1143" s="67" t="s">
        <v>3914</v>
      </c>
    </row>
    <row r="1144" spans="4:6" ht="12.75">
      <c r="D1144" s="65" t="s">
        <v>3915</v>
      </c>
      <c r="E1144" s="66" t="s">
        <v>3916</v>
      </c>
      <c r="F1144" s="67" t="s">
        <v>3917</v>
      </c>
    </row>
    <row r="1145" spans="4:6" ht="12.75">
      <c r="D1145" s="65" t="s">
        <v>3918</v>
      </c>
      <c r="E1145" s="66" t="s">
        <v>3919</v>
      </c>
      <c r="F1145" s="67" t="s">
        <v>3920</v>
      </c>
    </row>
    <row r="1146" spans="4:6" ht="12.75">
      <c r="D1146" s="65" t="s">
        <v>3921</v>
      </c>
      <c r="E1146" s="66" t="s">
        <v>3922</v>
      </c>
      <c r="F1146" s="67" t="s">
        <v>3923</v>
      </c>
    </row>
    <row r="1147" spans="4:6" ht="12.75">
      <c r="D1147" s="65" t="s">
        <v>3924</v>
      </c>
      <c r="E1147" s="66" t="s">
        <v>3925</v>
      </c>
      <c r="F1147" s="67" t="s">
        <v>3926</v>
      </c>
    </row>
    <row r="1148" spans="4:6" ht="12.75">
      <c r="D1148" s="65" t="s">
        <v>3927</v>
      </c>
      <c r="E1148" s="66" t="s">
        <v>3928</v>
      </c>
      <c r="F1148" s="67" t="s">
        <v>3929</v>
      </c>
    </row>
    <row r="1149" spans="4:6" ht="12.75">
      <c r="D1149" s="65" t="s">
        <v>3930</v>
      </c>
      <c r="E1149" s="66" t="s">
        <v>3931</v>
      </c>
      <c r="F1149" s="67" t="s">
        <v>3932</v>
      </c>
    </row>
    <row r="1150" spans="4:6" ht="12.75">
      <c r="D1150" s="53" t="s">
        <v>3933</v>
      </c>
      <c r="E1150" s="54" t="s">
        <v>89</v>
      </c>
      <c r="F1150" s="58" t="s">
        <v>3934</v>
      </c>
    </row>
    <row r="1151" spans="4:6" ht="12.75">
      <c r="D1151" s="53" t="s">
        <v>3935</v>
      </c>
      <c r="E1151" s="54" t="s">
        <v>3936</v>
      </c>
      <c r="F1151" s="55" t="s">
        <v>3937</v>
      </c>
    </row>
    <row r="1152" spans="4:6" ht="12.75">
      <c r="D1152" s="53" t="s">
        <v>3938</v>
      </c>
      <c r="E1152" s="54" t="s">
        <v>45</v>
      </c>
      <c r="F1152" s="55" t="s">
        <v>3939</v>
      </c>
    </row>
    <row r="1153" spans="4:6" ht="12.75">
      <c r="D1153" s="53" t="s">
        <v>3940</v>
      </c>
      <c r="E1153" s="54" t="s">
        <v>3941</v>
      </c>
      <c r="F1153" s="55" t="s">
        <v>3942</v>
      </c>
    </row>
    <row r="1154" spans="4:6" ht="12.75">
      <c r="D1154" s="53" t="s">
        <v>3943</v>
      </c>
      <c r="E1154" s="54" t="s">
        <v>3944</v>
      </c>
      <c r="F1154" s="55" t="s">
        <v>3945</v>
      </c>
    </row>
    <row r="1155" spans="4:6" ht="12.75">
      <c r="D1155" s="53" t="s">
        <v>3946</v>
      </c>
      <c r="E1155" s="54" t="s">
        <v>92</v>
      </c>
      <c r="F1155" s="55" t="s">
        <v>3947</v>
      </c>
    </row>
    <row r="1156" spans="4:6" ht="12.75">
      <c r="D1156" s="53" t="s">
        <v>3948</v>
      </c>
      <c r="E1156" s="54" t="s">
        <v>3949</v>
      </c>
      <c r="F1156" s="55" t="s">
        <v>3950</v>
      </c>
    </row>
    <row r="1157" spans="4:6" ht="12.75">
      <c r="D1157" s="53" t="s">
        <v>3951</v>
      </c>
      <c r="E1157" s="54" t="s">
        <v>3952</v>
      </c>
      <c r="F1157" s="55" t="s">
        <v>3953</v>
      </c>
    </row>
    <row r="1158" spans="4:6" ht="12.75">
      <c r="D1158" s="53" t="s">
        <v>3954</v>
      </c>
      <c r="E1158" s="54" t="s">
        <v>3955</v>
      </c>
      <c r="F1158" s="55" t="s">
        <v>3956</v>
      </c>
    </row>
    <row r="1159" spans="4:6" ht="12.75">
      <c r="D1159" s="53" t="s">
        <v>3957</v>
      </c>
      <c r="E1159" s="54" t="s">
        <v>3958</v>
      </c>
      <c r="F1159" s="55" t="s">
        <v>3959</v>
      </c>
    </row>
    <row r="1160" spans="4:6" ht="12.75">
      <c r="D1160" s="53" t="s">
        <v>3960</v>
      </c>
      <c r="E1160" s="54" t="s">
        <v>3961</v>
      </c>
      <c r="F1160" s="55" t="s">
        <v>3962</v>
      </c>
    </row>
    <row r="1161" spans="4:6" ht="12.75">
      <c r="D1161" s="53" t="s">
        <v>3963</v>
      </c>
      <c r="E1161" s="54" t="s">
        <v>3964</v>
      </c>
      <c r="F1161" s="55" t="s">
        <v>3965</v>
      </c>
    </row>
    <row r="1162" spans="4:6" ht="12.75">
      <c r="D1162" s="53" t="s">
        <v>3966</v>
      </c>
      <c r="E1162" s="54" t="s">
        <v>3967</v>
      </c>
      <c r="F1162" s="55" t="s">
        <v>3968</v>
      </c>
    </row>
    <row r="1163" spans="4:6" ht="12.75">
      <c r="D1163" s="53" t="s">
        <v>3969</v>
      </c>
      <c r="E1163" s="54" t="s">
        <v>3970</v>
      </c>
      <c r="F1163" s="55" t="s">
        <v>3971</v>
      </c>
    </row>
    <row r="1164" spans="4:6" ht="12.75">
      <c r="D1164" s="53" t="s">
        <v>3972</v>
      </c>
      <c r="E1164" s="54" t="s">
        <v>3973</v>
      </c>
      <c r="F1164" s="55" t="s">
        <v>3974</v>
      </c>
    </row>
    <row r="1165" spans="4:6" ht="12.75">
      <c r="D1165" s="53" t="s">
        <v>3975</v>
      </c>
      <c r="E1165" s="54" t="s">
        <v>3976</v>
      </c>
      <c r="F1165" s="55" t="s">
        <v>3977</v>
      </c>
    </row>
    <row r="1166" spans="4:6" ht="12.75">
      <c r="D1166" s="53" t="s">
        <v>3978</v>
      </c>
      <c r="E1166" s="54" t="s">
        <v>90</v>
      </c>
      <c r="F1166" s="55" t="s">
        <v>3979</v>
      </c>
    </row>
    <row r="1167" spans="4:6" ht="12.75">
      <c r="D1167" s="53" t="s">
        <v>3980</v>
      </c>
      <c r="E1167" s="54" t="s">
        <v>3981</v>
      </c>
      <c r="F1167" s="55" t="s">
        <v>3982</v>
      </c>
    </row>
    <row r="1168" spans="4:6" ht="12.75">
      <c r="D1168" s="53" t="s">
        <v>3983</v>
      </c>
      <c r="E1168" s="54" t="s">
        <v>3984</v>
      </c>
      <c r="F1168" s="55" t="s">
        <v>3985</v>
      </c>
    </row>
    <row r="1169" spans="4:6" ht="12.75">
      <c r="D1169" s="53" t="s">
        <v>3986</v>
      </c>
      <c r="E1169" s="54" t="s">
        <v>3987</v>
      </c>
      <c r="F1169" s="55" t="s">
        <v>3988</v>
      </c>
    </row>
    <row r="1170" spans="4:6" ht="12.75">
      <c r="D1170" s="53" t="s">
        <v>3989</v>
      </c>
      <c r="E1170" s="54" t="s">
        <v>3990</v>
      </c>
      <c r="F1170" s="55" t="s">
        <v>3991</v>
      </c>
    </row>
    <row r="1171" spans="4:6" ht="12.75">
      <c r="D1171" s="53" t="s">
        <v>3992</v>
      </c>
      <c r="E1171" s="54" t="s">
        <v>3993</v>
      </c>
      <c r="F1171" s="55" t="s">
        <v>3994</v>
      </c>
    </row>
    <row r="1172" spans="4:6" ht="12.75">
      <c r="D1172" s="53" t="s">
        <v>3995</v>
      </c>
      <c r="E1172" s="54" t="s">
        <v>3996</v>
      </c>
      <c r="F1172" s="55" t="s">
        <v>3997</v>
      </c>
    </row>
    <row r="1173" spans="4:6" ht="12.75">
      <c r="D1173" s="53" t="s">
        <v>3998</v>
      </c>
      <c r="E1173" s="54" t="s">
        <v>3999</v>
      </c>
      <c r="F1173" s="58" t="s">
        <v>4000</v>
      </c>
    </row>
    <row r="1174" spans="4:6" ht="12.75">
      <c r="D1174" s="53" t="s">
        <v>4001</v>
      </c>
      <c r="E1174" s="54" t="s">
        <v>4002</v>
      </c>
      <c r="F1174" s="55" t="s">
        <v>4003</v>
      </c>
    </row>
    <row r="1175" spans="4:6" ht="12.75">
      <c r="D1175" s="53" t="s">
        <v>4004</v>
      </c>
      <c r="E1175" s="54" t="s">
        <v>4005</v>
      </c>
      <c r="F1175" s="55" t="s">
        <v>4006</v>
      </c>
    </row>
    <row r="1176" spans="4:6" ht="12.75">
      <c r="D1176" s="53" t="s">
        <v>4007</v>
      </c>
      <c r="E1176" s="54" t="s">
        <v>4008</v>
      </c>
      <c r="F1176" s="55" t="s">
        <v>4009</v>
      </c>
    </row>
    <row r="1177" spans="4:6" ht="12.75">
      <c r="D1177" s="53" t="s">
        <v>4010</v>
      </c>
      <c r="E1177" s="54" t="s">
        <v>4011</v>
      </c>
      <c r="F1177" s="55" t="s">
        <v>4012</v>
      </c>
    </row>
    <row r="1178" spans="4:6" ht="12.75">
      <c r="D1178" s="53" t="s">
        <v>4013</v>
      </c>
      <c r="E1178" s="54" t="s">
        <v>4014</v>
      </c>
      <c r="F1178" s="55" t="s">
        <v>4015</v>
      </c>
    </row>
    <row r="1179" spans="4:6" ht="12.75">
      <c r="D1179" s="53" t="s">
        <v>4016</v>
      </c>
      <c r="E1179" s="54" t="s">
        <v>4017</v>
      </c>
      <c r="F1179" s="55" t="s">
        <v>4018</v>
      </c>
    </row>
    <row r="1180" spans="4:6" ht="12.75">
      <c r="D1180" s="53" t="s">
        <v>4019</v>
      </c>
      <c r="E1180" s="54" t="s">
        <v>4020</v>
      </c>
      <c r="F1180" s="55" t="s">
        <v>4021</v>
      </c>
    </row>
    <row r="1181" spans="4:6" ht="12.75">
      <c r="D1181" s="53" t="s">
        <v>4022</v>
      </c>
      <c r="E1181" s="54" t="s">
        <v>4023</v>
      </c>
      <c r="F1181" s="55" t="s">
        <v>4024</v>
      </c>
    </row>
    <row r="1182" spans="4:6" ht="12.75">
      <c r="D1182" s="53" t="s">
        <v>4025</v>
      </c>
      <c r="E1182" s="54" t="s">
        <v>93</v>
      </c>
      <c r="F1182" s="55" t="s">
        <v>4026</v>
      </c>
    </row>
    <row r="1183" spans="4:6" ht="12.75">
      <c r="D1183" s="53" t="s">
        <v>4027</v>
      </c>
      <c r="E1183" s="54" t="s">
        <v>4028</v>
      </c>
      <c r="F1183" s="55" t="s">
        <v>4029</v>
      </c>
    </row>
    <row r="1184" spans="4:6" ht="12.75">
      <c r="D1184" s="53" t="s">
        <v>4030</v>
      </c>
      <c r="E1184" s="54" t="s">
        <v>4031</v>
      </c>
      <c r="F1184" s="55" t="s">
        <v>4032</v>
      </c>
    </row>
    <row r="1185" spans="4:6" ht="12.75">
      <c r="D1185" s="53" t="s">
        <v>4033</v>
      </c>
      <c r="E1185" s="54" t="s">
        <v>4034</v>
      </c>
      <c r="F1185" s="55" t="s">
        <v>4035</v>
      </c>
    </row>
    <row r="1186" spans="4:6" ht="12.75">
      <c r="D1186" s="53" t="s">
        <v>4036</v>
      </c>
      <c r="E1186" s="54" t="s">
        <v>4037</v>
      </c>
      <c r="F1186" s="55" t="s">
        <v>4038</v>
      </c>
    </row>
    <row r="1187" spans="4:6" ht="12.75">
      <c r="D1187" s="53" t="s">
        <v>4039</v>
      </c>
      <c r="E1187" s="54" t="s">
        <v>4040</v>
      </c>
      <c r="F1187" s="55" t="s">
        <v>4041</v>
      </c>
    </row>
    <row r="1188" spans="4:6" ht="12.75">
      <c r="D1188" s="53" t="s">
        <v>4042</v>
      </c>
      <c r="E1188" s="54" t="s">
        <v>4043</v>
      </c>
      <c r="F1188" s="55" t="s">
        <v>4044</v>
      </c>
    </row>
    <row r="1189" spans="4:6" ht="12.75">
      <c r="D1189" s="53" t="s">
        <v>4045</v>
      </c>
      <c r="E1189" s="54" t="s">
        <v>4046</v>
      </c>
      <c r="F1189" s="55" t="s">
        <v>4047</v>
      </c>
    </row>
    <row r="1190" spans="4:6" ht="12.75">
      <c r="D1190" s="53" t="s">
        <v>4048</v>
      </c>
      <c r="E1190" s="54" t="s">
        <v>4049</v>
      </c>
      <c r="F1190" s="55" t="s">
        <v>4050</v>
      </c>
    </row>
    <row r="1191" spans="4:6" ht="12.75">
      <c r="D1191" s="53" t="s">
        <v>815</v>
      </c>
      <c r="E1191" s="54"/>
      <c r="F1191" s="55"/>
    </row>
    <row r="1192" spans="4:6" ht="12.75">
      <c r="D1192" s="53" t="s">
        <v>4051</v>
      </c>
      <c r="E1192" s="54" t="s">
        <v>4052</v>
      </c>
      <c r="F1192" s="55" t="s">
        <v>4053</v>
      </c>
    </row>
    <row r="1193" spans="4:6" ht="12.75">
      <c r="D1193" s="53" t="s">
        <v>4054</v>
      </c>
      <c r="E1193" s="54" t="s">
        <v>4055</v>
      </c>
      <c r="F1193" s="55" t="s">
        <v>4056</v>
      </c>
    </row>
    <row r="1194" spans="4:6" ht="12.75">
      <c r="D1194" s="53" t="s">
        <v>815</v>
      </c>
      <c r="E1194" s="54"/>
      <c r="F1194" s="55"/>
    </row>
    <row r="1195" spans="4:6" ht="12.75">
      <c r="D1195" s="53" t="s">
        <v>4057</v>
      </c>
      <c r="E1195" s="54" t="s">
        <v>94</v>
      </c>
      <c r="F1195" s="55" t="s">
        <v>4058</v>
      </c>
    </row>
    <row r="1196" spans="4:6" ht="12.75">
      <c r="D1196" s="53" t="s">
        <v>4059</v>
      </c>
      <c r="E1196" s="54" t="s">
        <v>4060</v>
      </c>
      <c r="F1196" s="55" t="s">
        <v>4061</v>
      </c>
    </row>
    <row r="1197" spans="4:6" ht="12.75">
      <c r="D1197" s="53" t="s">
        <v>4062</v>
      </c>
      <c r="E1197" s="54" t="s">
        <v>4063</v>
      </c>
      <c r="F1197" s="55" t="s">
        <v>4064</v>
      </c>
    </row>
    <row r="1198" spans="4:6" ht="12.75">
      <c r="D1198" s="53" t="s">
        <v>4065</v>
      </c>
      <c r="E1198" s="54" t="s">
        <v>4066</v>
      </c>
      <c r="F1198" s="58" t="s">
        <v>4067</v>
      </c>
    </row>
    <row r="1199" spans="4:6" ht="12.75">
      <c r="D1199" s="53" t="s">
        <v>4068</v>
      </c>
      <c r="E1199" s="54" t="s">
        <v>4069</v>
      </c>
      <c r="F1199" s="55" t="s">
        <v>4070</v>
      </c>
    </row>
    <row r="1200" spans="4:6" ht="12.75">
      <c r="D1200" s="53" t="s">
        <v>4071</v>
      </c>
      <c r="E1200" s="54" t="s">
        <v>4072</v>
      </c>
      <c r="F1200" s="55" t="s">
        <v>4073</v>
      </c>
    </row>
    <row r="1201" spans="4:6" ht="12.75">
      <c r="D1201" s="53" t="s">
        <v>4074</v>
      </c>
      <c r="E1201" s="54" t="s">
        <v>4075</v>
      </c>
      <c r="F1201" s="55" t="s">
        <v>4076</v>
      </c>
    </row>
    <row r="1202" spans="4:6" ht="12.75">
      <c r="D1202" s="53" t="s">
        <v>4077</v>
      </c>
      <c r="E1202" s="54" t="s">
        <v>4078</v>
      </c>
      <c r="F1202" s="55" t="s">
        <v>4079</v>
      </c>
    </row>
    <row r="1203" spans="4:6" ht="12.75">
      <c r="D1203" s="53" t="s">
        <v>4080</v>
      </c>
      <c r="E1203" s="54" t="s">
        <v>4081</v>
      </c>
      <c r="F1203" s="55" t="s">
        <v>4082</v>
      </c>
    </row>
    <row r="1204" spans="4:6" ht="12.75">
      <c r="D1204" s="53" t="s">
        <v>4083</v>
      </c>
      <c r="E1204" s="54" t="s">
        <v>4084</v>
      </c>
      <c r="F1204" s="54" t="s">
        <v>4085</v>
      </c>
    </row>
    <row r="1205" spans="4:6" ht="12.75">
      <c r="D1205" s="53" t="s">
        <v>4086</v>
      </c>
      <c r="E1205" s="54" t="s">
        <v>4087</v>
      </c>
      <c r="F1205" s="55" t="s">
        <v>4088</v>
      </c>
    </row>
    <row r="1206" spans="4:6" ht="12.75">
      <c r="D1206" s="53" t="s">
        <v>4089</v>
      </c>
      <c r="E1206" s="54" t="s">
        <v>4090</v>
      </c>
      <c r="F1206" s="55" t="s">
        <v>4091</v>
      </c>
    </row>
    <row r="1207" spans="4:6" ht="12.75">
      <c r="D1207" s="53" t="s">
        <v>4092</v>
      </c>
      <c r="E1207" s="54" t="s">
        <v>4093</v>
      </c>
      <c r="F1207" s="55" t="s">
        <v>4094</v>
      </c>
    </row>
    <row r="1208" spans="4:6" ht="12.75">
      <c r="D1208" s="53" t="s">
        <v>4095</v>
      </c>
      <c r="E1208" s="54" t="s">
        <v>4096</v>
      </c>
      <c r="F1208" s="55" t="s">
        <v>4097</v>
      </c>
    </row>
    <row r="1209" spans="4:6" ht="12.75">
      <c r="D1209" s="53" t="s">
        <v>4098</v>
      </c>
      <c r="E1209" s="54" t="s">
        <v>4099</v>
      </c>
      <c r="F1209" s="55" t="s">
        <v>4100</v>
      </c>
    </row>
    <row r="1210" spans="4:6" ht="12.75">
      <c r="D1210" s="53" t="s">
        <v>4101</v>
      </c>
      <c r="E1210" s="54" t="s">
        <v>4102</v>
      </c>
      <c r="F1210" s="55" t="s">
        <v>4103</v>
      </c>
    </row>
    <row r="1211" spans="4:6" ht="12.75">
      <c r="D1211" s="53" t="s">
        <v>4104</v>
      </c>
      <c r="E1211" s="54" t="s">
        <v>4105</v>
      </c>
      <c r="F1211" s="55" t="s">
        <v>4106</v>
      </c>
    </row>
    <row r="1212" spans="4:6" ht="12.75">
      <c r="D1212" s="53" t="s">
        <v>4107</v>
      </c>
      <c r="E1212" s="54" t="s">
        <v>4108</v>
      </c>
      <c r="F1212" s="55" t="s">
        <v>4109</v>
      </c>
    </row>
    <row r="1213" spans="4:6" ht="12.75">
      <c r="D1213" s="53" t="s">
        <v>4110</v>
      </c>
      <c r="E1213" s="54" t="s">
        <v>4111</v>
      </c>
      <c r="F1213" s="55" t="s">
        <v>4112</v>
      </c>
    </row>
    <row r="1214" spans="4:6" ht="12.75">
      <c r="D1214" s="53" t="s">
        <v>4113</v>
      </c>
      <c r="E1214" s="54" t="s">
        <v>4114</v>
      </c>
      <c r="F1214" s="55"/>
    </row>
    <row r="1215" spans="4:6" ht="12.75">
      <c r="D1215" s="53" t="s">
        <v>4115</v>
      </c>
      <c r="E1215" s="54" t="s">
        <v>4116</v>
      </c>
      <c r="F1215" s="55" t="s">
        <v>4117</v>
      </c>
    </row>
    <row r="1216" spans="4:6" ht="12.75">
      <c r="D1216" s="53" t="s">
        <v>4118</v>
      </c>
      <c r="E1216" s="54" t="s">
        <v>4119</v>
      </c>
      <c r="F1216" s="55" t="s">
        <v>4120</v>
      </c>
    </row>
    <row r="1217" spans="4:6" ht="12.75">
      <c r="D1217" s="53" t="s">
        <v>4121</v>
      </c>
      <c r="E1217" s="54" t="s">
        <v>4122</v>
      </c>
      <c r="F1217" s="55" t="s">
        <v>4123</v>
      </c>
    </row>
    <row r="1218" spans="4:6" ht="12.75">
      <c r="D1218" s="53" t="s">
        <v>4124</v>
      </c>
      <c r="E1218" s="54" t="s">
        <v>4125</v>
      </c>
      <c r="F1218" s="55" t="s">
        <v>4126</v>
      </c>
    </row>
    <row r="1219" spans="4:6" ht="12.75">
      <c r="D1219" s="53" t="s">
        <v>4127</v>
      </c>
      <c r="E1219" s="54" t="s">
        <v>4128</v>
      </c>
      <c r="F1219" s="55" t="s">
        <v>4129</v>
      </c>
    </row>
    <row r="1220" spans="4:6" ht="12.75">
      <c r="D1220" s="53" t="s">
        <v>4130</v>
      </c>
      <c r="E1220" s="54" t="s">
        <v>4131</v>
      </c>
      <c r="F1220" s="55" t="s">
        <v>4132</v>
      </c>
    </row>
    <row r="1221" spans="4:6" ht="12.75">
      <c r="D1221" s="53" t="s">
        <v>4133</v>
      </c>
      <c r="E1221" s="54" t="s">
        <v>4134</v>
      </c>
      <c r="F1221" s="55" t="s">
        <v>4135</v>
      </c>
    </row>
    <row r="1222" spans="4:6" ht="12.75">
      <c r="D1222" s="53" t="s">
        <v>4136</v>
      </c>
      <c r="E1222" s="54" t="s">
        <v>4137</v>
      </c>
      <c r="F1222" s="55" t="s">
        <v>4138</v>
      </c>
    </row>
    <row r="1223" spans="4:6" ht="12.75">
      <c r="D1223" s="53" t="s">
        <v>4139</v>
      </c>
      <c r="E1223" s="54" t="s">
        <v>4140</v>
      </c>
      <c r="F1223" s="55" t="s">
        <v>4141</v>
      </c>
    </row>
    <row r="1224" spans="4:6" ht="12.75">
      <c r="D1224" s="53" t="s">
        <v>4142</v>
      </c>
      <c r="E1224" s="54" t="s">
        <v>4143</v>
      </c>
      <c r="F1224" s="55" t="s">
        <v>4144</v>
      </c>
    </row>
    <row r="1225" spans="4:6" ht="12.75">
      <c r="D1225" s="53" t="s">
        <v>4145</v>
      </c>
      <c r="E1225" s="54" t="s">
        <v>84</v>
      </c>
      <c r="F1225" s="55" t="s">
        <v>4146</v>
      </c>
    </row>
    <row r="1226" spans="4:6" ht="12.75">
      <c r="D1226" s="53" t="s">
        <v>815</v>
      </c>
      <c r="E1226" s="54"/>
      <c r="F1226" s="55"/>
    </row>
    <row r="1227" spans="4:6" ht="12.75">
      <c r="D1227" s="53" t="s">
        <v>4147</v>
      </c>
      <c r="E1227" s="54" t="s">
        <v>4148</v>
      </c>
      <c r="F1227" s="55" t="s">
        <v>4149</v>
      </c>
    </row>
    <row r="1228" spans="4:6" ht="12.75">
      <c r="D1228" s="53" t="s">
        <v>4150</v>
      </c>
      <c r="E1228" s="54" t="s">
        <v>57</v>
      </c>
      <c r="F1228" s="55" t="s">
        <v>4151</v>
      </c>
    </row>
    <row r="1229" spans="4:6" ht="12.75">
      <c r="D1229" s="53" t="s">
        <v>4152</v>
      </c>
      <c r="E1229" s="54" t="s">
        <v>4153</v>
      </c>
      <c r="F1229" s="55" t="s">
        <v>4154</v>
      </c>
    </row>
    <row r="1230" spans="4:6" ht="12.75">
      <c r="D1230" s="53" t="s">
        <v>4155</v>
      </c>
      <c r="E1230" s="54" t="s">
        <v>4156</v>
      </c>
      <c r="F1230" s="55" t="s">
        <v>4157</v>
      </c>
    </row>
    <row r="1231" spans="4:6" ht="12.75">
      <c r="D1231" s="53" t="s">
        <v>4158</v>
      </c>
      <c r="E1231" s="54" t="s">
        <v>4159</v>
      </c>
      <c r="F1231" s="55" t="s">
        <v>4160</v>
      </c>
    </row>
    <row r="1232" spans="4:6" ht="12.75">
      <c r="D1232" s="53" t="s">
        <v>4161</v>
      </c>
      <c r="E1232" s="54" t="s">
        <v>4162</v>
      </c>
      <c r="F1232" s="55" t="s">
        <v>4163</v>
      </c>
    </row>
    <row r="1233" spans="4:6" ht="12.75">
      <c r="D1233" s="53" t="s">
        <v>4164</v>
      </c>
      <c r="E1233" s="54" t="s">
        <v>4165</v>
      </c>
      <c r="F1233" s="55" t="s">
        <v>4166</v>
      </c>
    </row>
    <row r="1234" spans="4:6" ht="12.75">
      <c r="D1234" s="53" t="s">
        <v>815</v>
      </c>
      <c r="E1234" s="54"/>
      <c r="F1234" s="55"/>
    </row>
    <row r="1235" spans="4:6" ht="12.75">
      <c r="D1235" s="53" t="s">
        <v>4167</v>
      </c>
      <c r="E1235" s="54" t="s">
        <v>4168</v>
      </c>
      <c r="F1235" s="55" t="s">
        <v>4169</v>
      </c>
    </row>
    <row r="1236" spans="4:6" ht="12.75">
      <c r="D1236" s="53" t="s">
        <v>4170</v>
      </c>
      <c r="E1236" s="54" t="s">
        <v>4171</v>
      </c>
      <c r="F1236" s="55" t="s">
        <v>4172</v>
      </c>
    </row>
    <row r="1237" spans="4:6" ht="12.75">
      <c r="D1237" s="53" t="s">
        <v>4173</v>
      </c>
      <c r="E1237" s="54" t="s">
        <v>4174</v>
      </c>
      <c r="F1237" s="55" t="s">
        <v>4175</v>
      </c>
    </row>
    <row r="1238" spans="4:6" ht="12.75">
      <c r="D1238" s="53" t="s">
        <v>4176</v>
      </c>
      <c r="E1238" s="54" t="s">
        <v>4177</v>
      </c>
      <c r="F1238" s="55" t="s">
        <v>4178</v>
      </c>
    </row>
    <row r="1239" spans="4:6" ht="12.75">
      <c r="D1239" s="53" t="s">
        <v>4179</v>
      </c>
      <c r="E1239" s="54" t="s">
        <v>4180</v>
      </c>
      <c r="F1239" s="55" t="s">
        <v>4181</v>
      </c>
    </row>
    <row r="1240" spans="4:6" ht="12.75">
      <c r="D1240" s="53" t="s">
        <v>4182</v>
      </c>
      <c r="E1240" s="54" t="s">
        <v>4183</v>
      </c>
      <c r="F1240" s="55" t="s">
        <v>4184</v>
      </c>
    </row>
    <row r="1241" spans="4:6" ht="12.75">
      <c r="D1241" s="53" t="s">
        <v>4185</v>
      </c>
      <c r="E1241" s="54" t="s">
        <v>4186</v>
      </c>
      <c r="F1241" s="55" t="s">
        <v>4187</v>
      </c>
    </row>
    <row r="1242" spans="4:6" ht="12.75">
      <c r="D1242" s="53" t="s">
        <v>4188</v>
      </c>
      <c r="E1242" s="54" t="s">
        <v>4189</v>
      </c>
      <c r="F1242" s="55" t="s">
        <v>4190</v>
      </c>
    </row>
    <row r="1243" spans="4:6" ht="12.75">
      <c r="D1243" s="53" t="s">
        <v>4191</v>
      </c>
      <c r="E1243" s="54" t="s">
        <v>4192</v>
      </c>
      <c r="F1243" s="55" t="s">
        <v>4193</v>
      </c>
    </row>
    <row r="1244" spans="4:6" ht="12.75">
      <c r="D1244" s="53" t="s">
        <v>4194</v>
      </c>
      <c r="E1244" s="54" t="s">
        <v>4195</v>
      </c>
      <c r="F1244" s="55" t="s">
        <v>4196</v>
      </c>
    </row>
    <row r="1245" spans="4:6" ht="12.75">
      <c r="D1245" s="53" t="s">
        <v>4197</v>
      </c>
      <c r="E1245" s="54" t="s">
        <v>4198</v>
      </c>
      <c r="F1245" s="55" t="s">
        <v>4199</v>
      </c>
    </row>
    <row r="1246" spans="4:6" ht="12.75">
      <c r="D1246" s="53" t="s">
        <v>4200</v>
      </c>
      <c r="E1246" s="54" t="s">
        <v>4201</v>
      </c>
      <c r="F1246" s="55" t="s">
        <v>4202</v>
      </c>
    </row>
    <row r="1247" spans="4:6" ht="12.75">
      <c r="D1247" s="53" t="s">
        <v>4203</v>
      </c>
      <c r="E1247" s="54" t="s">
        <v>4204</v>
      </c>
      <c r="F1247" s="55" t="s">
        <v>4205</v>
      </c>
    </row>
    <row r="1248" spans="4:6" ht="12.75">
      <c r="D1248" s="53" t="s">
        <v>4206</v>
      </c>
      <c r="E1248" s="54" t="s">
        <v>4207</v>
      </c>
      <c r="F1248" s="55" t="s">
        <v>4208</v>
      </c>
    </row>
    <row r="1249" spans="4:6" ht="12.75">
      <c r="D1249" s="53" t="s">
        <v>815</v>
      </c>
      <c r="E1249" s="54"/>
      <c r="F1249" s="55"/>
    </row>
    <row r="1250" spans="4:6" ht="12.75">
      <c r="D1250" s="53" t="s">
        <v>4209</v>
      </c>
      <c r="E1250" s="54" t="s">
        <v>4210</v>
      </c>
      <c r="F1250" s="55" t="s">
        <v>4211</v>
      </c>
    </row>
    <row r="1251" spans="4:6" ht="12.75">
      <c r="D1251" s="53" t="s">
        <v>4212</v>
      </c>
      <c r="E1251" s="54" t="s">
        <v>4213</v>
      </c>
      <c r="F1251" s="55" t="s">
        <v>4214</v>
      </c>
    </row>
    <row r="1252" spans="4:6" ht="12.75">
      <c r="D1252" s="53" t="s">
        <v>4215</v>
      </c>
      <c r="E1252" s="54" t="s">
        <v>4216</v>
      </c>
      <c r="F1252" s="55" t="s">
        <v>4217</v>
      </c>
    </row>
    <row r="1253" spans="4:6" ht="12.75">
      <c r="D1253" s="53" t="s">
        <v>4218</v>
      </c>
      <c r="E1253" s="54" t="s">
        <v>98</v>
      </c>
      <c r="F1253" s="55" t="s">
        <v>99</v>
      </c>
    </row>
    <row r="1254" spans="4:6" ht="12.75">
      <c r="D1254" s="53" t="s">
        <v>4219</v>
      </c>
      <c r="E1254" s="54" t="s">
        <v>4220</v>
      </c>
      <c r="F1254" s="55" t="s">
        <v>4221</v>
      </c>
    </row>
    <row r="1255" spans="4:6" ht="12.75">
      <c r="D1255" s="53" t="s">
        <v>4222</v>
      </c>
      <c r="E1255" s="54" t="s">
        <v>74</v>
      </c>
      <c r="F1255" s="55" t="s">
        <v>4223</v>
      </c>
    </row>
    <row r="1256" spans="4:6" ht="12.75">
      <c r="D1256" s="53" t="s">
        <v>4224</v>
      </c>
      <c r="E1256" s="54" t="s">
        <v>4225</v>
      </c>
      <c r="F1256" s="55" t="s">
        <v>4226</v>
      </c>
    </row>
    <row r="1257" spans="4:6" ht="12.75">
      <c r="D1257" s="53" t="s">
        <v>4227</v>
      </c>
      <c r="E1257" s="54" t="s">
        <v>4228</v>
      </c>
      <c r="F1257" s="55" t="s">
        <v>4229</v>
      </c>
    </row>
    <row r="1258" spans="4:6" ht="12.75">
      <c r="D1258" s="53" t="s">
        <v>4230</v>
      </c>
      <c r="E1258" s="54" t="s">
        <v>4231</v>
      </c>
      <c r="F1258" s="54" t="s">
        <v>4232</v>
      </c>
    </row>
    <row r="1259" spans="4:6" ht="12.75">
      <c r="D1259" s="53" t="s">
        <v>4233</v>
      </c>
      <c r="E1259" s="54" t="s">
        <v>4234</v>
      </c>
      <c r="F1259" s="55" t="s">
        <v>4235</v>
      </c>
    </row>
    <row r="1260" spans="4:6" ht="12.75">
      <c r="D1260" s="53" t="s">
        <v>4236</v>
      </c>
      <c r="E1260" s="54" t="s">
        <v>4237</v>
      </c>
      <c r="F1260" s="58" t="s">
        <v>4238</v>
      </c>
    </row>
    <row r="1261" spans="4:6" ht="12.75">
      <c r="D1261" s="53" t="s">
        <v>4239</v>
      </c>
      <c r="E1261" s="54" t="s">
        <v>4240</v>
      </c>
      <c r="F1261" s="55" t="s">
        <v>4241</v>
      </c>
    </row>
    <row r="1262" spans="4:6" ht="12.75">
      <c r="D1262" s="53" t="s">
        <v>4242</v>
      </c>
      <c r="E1262" s="54" t="s">
        <v>4243</v>
      </c>
      <c r="F1262" s="55" t="s">
        <v>4244</v>
      </c>
    </row>
    <row r="1263" spans="4:6" ht="12.75">
      <c r="D1263" s="53" t="s">
        <v>4245</v>
      </c>
      <c r="E1263" s="54" t="s">
        <v>4246</v>
      </c>
      <c r="F1263" s="55" t="s">
        <v>4247</v>
      </c>
    </row>
    <row r="1264" spans="4:6" ht="12.75">
      <c r="D1264" s="53" t="s">
        <v>4248</v>
      </c>
      <c r="E1264" s="54" t="s">
        <v>4249</v>
      </c>
      <c r="F1264" s="55" t="s">
        <v>4250</v>
      </c>
    </row>
    <row r="1265" spans="4:6" ht="12.75">
      <c r="D1265" s="53" t="s">
        <v>4251</v>
      </c>
      <c r="E1265" s="54" t="s">
        <v>4252</v>
      </c>
      <c r="F1265" s="55" t="s">
        <v>4253</v>
      </c>
    </row>
    <row r="1266" spans="4:6" ht="12.75">
      <c r="D1266" s="53" t="s">
        <v>4254</v>
      </c>
      <c r="E1266" s="54" t="s">
        <v>4255</v>
      </c>
      <c r="F1266" s="55" t="s">
        <v>4256</v>
      </c>
    </row>
    <row r="1267" spans="4:6" ht="12.75">
      <c r="D1267" s="53" t="s">
        <v>4257</v>
      </c>
      <c r="E1267" s="54" t="s">
        <v>4258</v>
      </c>
      <c r="F1267" s="55" t="s">
        <v>4259</v>
      </c>
    </row>
    <row r="1268" spans="4:6" ht="12.75">
      <c r="D1268" s="53" t="s">
        <v>4260</v>
      </c>
      <c r="E1268" s="54" t="s">
        <v>4261</v>
      </c>
      <c r="F1268" s="55" t="s">
        <v>4262</v>
      </c>
    </row>
    <row r="1269" spans="4:6" ht="12.75">
      <c r="D1269" s="53" t="s">
        <v>4263</v>
      </c>
      <c r="E1269" s="54" t="s">
        <v>4264</v>
      </c>
      <c r="F1269" s="55" t="s">
        <v>4265</v>
      </c>
    </row>
    <row r="1270" spans="4:6" ht="12.75">
      <c r="D1270" s="53" t="s">
        <v>4266</v>
      </c>
      <c r="E1270" s="54" t="s">
        <v>4267</v>
      </c>
      <c r="F1270" s="55" t="s">
        <v>4268</v>
      </c>
    </row>
    <row r="1271" spans="4:6" ht="12.75">
      <c r="D1271" s="53" t="s">
        <v>4269</v>
      </c>
      <c r="E1271" s="54" t="s">
        <v>4270</v>
      </c>
      <c r="F1271" s="55" t="s">
        <v>4271</v>
      </c>
    </row>
    <row r="1272" spans="4:6" ht="12.75">
      <c r="D1272" s="53" t="s">
        <v>4272</v>
      </c>
      <c r="E1272" s="54" t="s">
        <v>4273</v>
      </c>
      <c r="F1272" s="55" t="s">
        <v>4274</v>
      </c>
    </row>
    <row r="1273" spans="4:6" ht="12.75">
      <c r="D1273" s="53" t="s">
        <v>4275</v>
      </c>
      <c r="E1273" s="54" t="s">
        <v>4276</v>
      </c>
      <c r="F1273" s="55" t="s">
        <v>4277</v>
      </c>
    </row>
    <row r="1274" spans="4:6" ht="12.75">
      <c r="D1274" s="53" t="s">
        <v>4278</v>
      </c>
      <c r="E1274" s="54" t="s">
        <v>4279</v>
      </c>
      <c r="F1274" s="55" t="s">
        <v>4280</v>
      </c>
    </row>
    <row r="1275" spans="4:6" ht="12.75">
      <c r="D1275" s="53" t="s">
        <v>4281</v>
      </c>
      <c r="E1275" s="54" t="s">
        <v>4282</v>
      </c>
      <c r="F1275" s="55" t="s">
        <v>4283</v>
      </c>
    </row>
    <row r="1276" spans="4:6" ht="12.75">
      <c r="D1276" s="53" t="s">
        <v>4284</v>
      </c>
      <c r="E1276" s="54" t="s">
        <v>4285</v>
      </c>
      <c r="F1276" s="55" t="s">
        <v>4286</v>
      </c>
    </row>
    <row r="1277" spans="4:6" ht="12.75">
      <c r="D1277" s="53" t="s">
        <v>4287</v>
      </c>
      <c r="E1277" s="54" t="s">
        <v>4288</v>
      </c>
      <c r="F1277" s="55" t="s">
        <v>4289</v>
      </c>
    </row>
    <row r="1278" spans="4:6" ht="12.75">
      <c r="D1278" s="53" t="s">
        <v>4290</v>
      </c>
      <c r="E1278" s="54" t="s">
        <v>4291</v>
      </c>
      <c r="F1278" s="55" t="s">
        <v>4292</v>
      </c>
    </row>
    <row r="1279" spans="4:6" ht="12.75">
      <c r="D1279" s="53" t="s">
        <v>4293</v>
      </c>
      <c r="E1279" s="54" t="s">
        <v>4294</v>
      </c>
      <c r="F1279" s="55" t="s">
        <v>4295</v>
      </c>
    </row>
    <row r="1280" spans="4:6" ht="12.75">
      <c r="D1280" s="53" t="s">
        <v>4296</v>
      </c>
      <c r="E1280" s="54" t="s">
        <v>4297</v>
      </c>
      <c r="F1280" s="55" t="s">
        <v>4298</v>
      </c>
    </row>
    <row r="1281" spans="4:6" ht="12.75">
      <c r="D1281" s="53" t="s">
        <v>4299</v>
      </c>
      <c r="E1281" s="54" t="s">
        <v>4300</v>
      </c>
      <c r="F1281" s="55" t="s">
        <v>4301</v>
      </c>
    </row>
    <row r="1282" spans="4:6" ht="12.75">
      <c r="D1282" s="53" t="s">
        <v>4302</v>
      </c>
      <c r="E1282" s="54" t="s">
        <v>4303</v>
      </c>
      <c r="F1282" s="55" t="s">
        <v>4304</v>
      </c>
    </row>
    <row r="1283" spans="4:6" ht="12.75">
      <c r="D1283" s="53" t="s">
        <v>4305</v>
      </c>
      <c r="E1283" s="54" t="s">
        <v>4306</v>
      </c>
      <c r="F1283" s="55" t="s">
        <v>4307</v>
      </c>
    </row>
    <row r="1284" spans="4:6" ht="12.75">
      <c r="D1284" s="53" t="s">
        <v>4308</v>
      </c>
      <c r="E1284" s="54" t="s">
        <v>4309</v>
      </c>
      <c r="F1284" s="55" t="s">
        <v>4310</v>
      </c>
    </row>
    <row r="1285" spans="4:6" ht="12.75">
      <c r="D1285" s="53" t="s">
        <v>4311</v>
      </c>
      <c r="E1285" s="54" t="s">
        <v>4312</v>
      </c>
      <c r="F1285" s="55" t="s">
        <v>4313</v>
      </c>
    </row>
    <row r="1286" spans="4:6" ht="12.75">
      <c r="D1286" s="53" t="s">
        <v>4314</v>
      </c>
      <c r="E1286" s="54" t="s">
        <v>4315</v>
      </c>
      <c r="F1286" s="55" t="s">
        <v>4316</v>
      </c>
    </row>
    <row r="1287" spans="4:6" ht="12.75">
      <c r="D1287" s="53" t="s">
        <v>4317</v>
      </c>
      <c r="E1287" s="54" t="s">
        <v>4318</v>
      </c>
      <c r="F1287" s="55" t="s">
        <v>4319</v>
      </c>
    </row>
    <row r="1288" spans="4:6" ht="12.75">
      <c r="D1288" s="53" t="s">
        <v>4320</v>
      </c>
      <c r="E1288" s="54" t="s">
        <v>4321</v>
      </c>
      <c r="F1288" s="55" t="s">
        <v>4322</v>
      </c>
    </row>
    <row r="1289" spans="4:6" ht="12.75">
      <c r="D1289" s="53" t="s">
        <v>4323</v>
      </c>
      <c r="E1289" s="54" t="s">
        <v>4324</v>
      </c>
      <c r="F1289" s="55" t="s">
        <v>4325</v>
      </c>
    </row>
    <row r="1290" spans="4:6" ht="12.75">
      <c r="D1290" s="53" t="s">
        <v>4326</v>
      </c>
      <c r="E1290" s="54" t="s">
        <v>4327</v>
      </c>
      <c r="F1290" s="55" t="s">
        <v>4328</v>
      </c>
    </row>
    <row r="1291" spans="4:6" ht="12.75">
      <c r="D1291" s="53" t="s">
        <v>4329</v>
      </c>
      <c r="E1291" s="54" t="s">
        <v>4330</v>
      </c>
      <c r="F1291" s="55" t="s">
        <v>4331</v>
      </c>
    </row>
    <row r="1292" spans="4:6" ht="12.75">
      <c r="D1292" s="53" t="s">
        <v>4332</v>
      </c>
      <c r="E1292" s="54" t="s">
        <v>4333</v>
      </c>
      <c r="F1292" s="55" t="s">
        <v>4334</v>
      </c>
    </row>
    <row r="1293" spans="4:6" ht="12.75">
      <c r="D1293" s="53" t="s">
        <v>4335</v>
      </c>
      <c r="E1293" s="54" t="s">
        <v>4336</v>
      </c>
      <c r="F1293" s="55" t="s">
        <v>4337</v>
      </c>
    </row>
    <row r="1294" spans="4:6" ht="12.75">
      <c r="D1294" s="53" t="s">
        <v>4338</v>
      </c>
      <c r="E1294" s="54" t="s">
        <v>4339</v>
      </c>
      <c r="F1294" s="55" t="s">
        <v>4340</v>
      </c>
    </row>
    <row r="1295" spans="4:6" ht="12.75">
      <c r="D1295" s="53" t="s">
        <v>4341</v>
      </c>
      <c r="E1295" s="54" t="s">
        <v>4342</v>
      </c>
      <c r="F1295" s="55" t="s">
        <v>4343</v>
      </c>
    </row>
    <row r="1296" spans="4:6" ht="12.75">
      <c r="D1296" s="53" t="s">
        <v>4344</v>
      </c>
      <c r="E1296" s="54" t="s">
        <v>4345</v>
      </c>
      <c r="F1296" s="55" t="s">
        <v>4346</v>
      </c>
    </row>
    <row r="1297" spans="4:6" ht="12.75">
      <c r="D1297" s="53" t="s">
        <v>4347</v>
      </c>
      <c r="E1297" s="54" t="s">
        <v>4348</v>
      </c>
      <c r="F1297" s="55" t="s">
        <v>4349</v>
      </c>
    </row>
    <row r="1298" spans="4:6" ht="12.75">
      <c r="D1298" s="53" t="s">
        <v>4350</v>
      </c>
      <c r="E1298" s="54" t="s">
        <v>4351</v>
      </c>
      <c r="F1298" s="55" t="s">
        <v>4352</v>
      </c>
    </row>
    <row r="1299" spans="4:6" ht="12.75">
      <c r="D1299" s="53" t="s">
        <v>4353</v>
      </c>
      <c r="E1299" s="54" t="s">
        <v>4354</v>
      </c>
      <c r="F1299" s="55" t="s">
        <v>4355</v>
      </c>
    </row>
    <row r="1300" spans="4:6" ht="12.75">
      <c r="D1300" s="53" t="s">
        <v>4356</v>
      </c>
      <c r="E1300" s="54" t="s">
        <v>4357</v>
      </c>
      <c r="F1300" s="55" t="s">
        <v>4358</v>
      </c>
    </row>
    <row r="1301" spans="4:6" ht="12.75">
      <c r="D1301" s="53" t="s">
        <v>4359</v>
      </c>
      <c r="E1301" s="54" t="s">
        <v>4360</v>
      </c>
      <c r="F1301" s="55" t="s">
        <v>4361</v>
      </c>
    </row>
    <row r="1302" spans="4:6" ht="12.75">
      <c r="D1302" s="53" t="s">
        <v>4362</v>
      </c>
      <c r="E1302" s="54" t="s">
        <v>4363</v>
      </c>
      <c r="F1302" s="55" t="s">
        <v>4364</v>
      </c>
    </row>
    <row r="1303" spans="4:6" ht="12.75">
      <c r="D1303" s="53" t="s">
        <v>4365</v>
      </c>
      <c r="E1303" s="54" t="s">
        <v>4366</v>
      </c>
      <c r="F1303" s="55" t="s">
        <v>4367</v>
      </c>
    </row>
    <row r="1304" spans="4:6" ht="12.75">
      <c r="D1304" s="53" t="s">
        <v>4368</v>
      </c>
      <c r="E1304" s="54" t="s">
        <v>4369</v>
      </c>
      <c r="F1304" s="55" t="s">
        <v>4370</v>
      </c>
    </row>
    <row r="1305" spans="4:6" ht="12.75">
      <c r="D1305" s="53" t="s">
        <v>4371</v>
      </c>
      <c r="E1305" s="54" t="s">
        <v>4372</v>
      </c>
      <c r="F1305" s="55" t="s">
        <v>4373</v>
      </c>
    </row>
    <row r="1306" spans="4:6" ht="12.75">
      <c r="D1306" s="53" t="s">
        <v>4374</v>
      </c>
      <c r="E1306" s="54" t="s">
        <v>4375</v>
      </c>
      <c r="F1306" s="55" t="s">
        <v>4376</v>
      </c>
    </row>
    <row r="1307" spans="4:6" ht="12.75">
      <c r="D1307" s="53" t="s">
        <v>4377</v>
      </c>
      <c r="E1307" s="54" t="s">
        <v>4378</v>
      </c>
      <c r="F1307" s="55" t="s">
        <v>4379</v>
      </c>
    </row>
    <row r="1308" spans="4:6" ht="12.75">
      <c r="D1308" s="53" t="s">
        <v>4380</v>
      </c>
      <c r="E1308" s="54" t="s">
        <v>4381</v>
      </c>
      <c r="F1308" s="55" t="s">
        <v>4382</v>
      </c>
    </row>
    <row r="1309" spans="4:6" ht="12.75">
      <c r="D1309" s="53" t="s">
        <v>4383</v>
      </c>
      <c r="E1309" s="54" t="s">
        <v>4384</v>
      </c>
      <c r="F1309" s="55" t="s">
        <v>4385</v>
      </c>
    </row>
    <row r="1310" spans="4:6" ht="12.75">
      <c r="D1310" s="53" t="s">
        <v>4386</v>
      </c>
      <c r="E1310" s="54" t="s">
        <v>4387</v>
      </c>
      <c r="F1310" s="55" t="s">
        <v>4388</v>
      </c>
    </row>
    <row r="1311" spans="4:6" ht="12.75">
      <c r="D1311" s="53" t="s">
        <v>4389</v>
      </c>
      <c r="E1311" s="54" t="s">
        <v>4390</v>
      </c>
      <c r="F1311" s="55" t="s">
        <v>4391</v>
      </c>
    </row>
    <row r="1312" spans="4:6" ht="12.75">
      <c r="D1312" s="53" t="s">
        <v>4392</v>
      </c>
      <c r="E1312" s="54" t="s">
        <v>4393</v>
      </c>
      <c r="F1312" s="55" t="s">
        <v>4394</v>
      </c>
    </row>
    <row r="1313" spans="4:6" ht="12.75">
      <c r="D1313" s="53" t="s">
        <v>4395</v>
      </c>
      <c r="E1313" s="54" t="s">
        <v>4396</v>
      </c>
      <c r="F1313" s="55" t="s">
        <v>4397</v>
      </c>
    </row>
    <row r="1314" spans="4:6" ht="12.75">
      <c r="D1314" s="53" t="s">
        <v>4398</v>
      </c>
      <c r="E1314" s="54" t="s">
        <v>4399</v>
      </c>
      <c r="F1314" s="55" t="s">
        <v>4400</v>
      </c>
    </row>
    <row r="1315" spans="4:6" ht="12.75">
      <c r="D1315" s="53" t="s">
        <v>4401</v>
      </c>
      <c r="E1315" s="54" t="s">
        <v>4402</v>
      </c>
      <c r="F1315" s="55" t="s">
        <v>4403</v>
      </c>
    </row>
    <row r="1316" spans="4:6" ht="12.75">
      <c r="D1316" s="53" t="s">
        <v>4404</v>
      </c>
      <c r="E1316" s="54" t="s">
        <v>4405</v>
      </c>
      <c r="F1316" s="55" t="s">
        <v>4406</v>
      </c>
    </row>
    <row r="1317" spans="4:6" ht="12.75">
      <c r="D1317" s="53" t="s">
        <v>4407</v>
      </c>
      <c r="E1317" s="54" t="s">
        <v>4408</v>
      </c>
      <c r="F1317" s="55" t="s">
        <v>4409</v>
      </c>
    </row>
    <row r="1318" spans="4:6" ht="12.75">
      <c r="D1318" s="53" t="s">
        <v>4410</v>
      </c>
      <c r="E1318" s="54" t="s">
        <v>4411</v>
      </c>
      <c r="F1318" s="55" t="s">
        <v>4412</v>
      </c>
    </row>
    <row r="1319" spans="4:6" ht="12.75">
      <c r="D1319" s="53" t="s">
        <v>4413</v>
      </c>
      <c r="E1319" s="54" t="s">
        <v>4414</v>
      </c>
      <c r="F1319" s="55" t="s">
        <v>4415</v>
      </c>
    </row>
    <row r="1320" spans="4:6" ht="12.75">
      <c r="D1320" s="53" t="s">
        <v>4416</v>
      </c>
      <c r="E1320" s="54" t="s">
        <v>4417</v>
      </c>
      <c r="F1320" s="55" t="s">
        <v>4418</v>
      </c>
    </row>
    <row r="1321" spans="4:6" ht="12.75">
      <c r="D1321" s="53" t="s">
        <v>4419</v>
      </c>
      <c r="E1321" s="54" t="s">
        <v>4420</v>
      </c>
      <c r="F1321" s="55" t="s">
        <v>4421</v>
      </c>
    </row>
    <row r="1322" spans="4:6" ht="12.75">
      <c r="D1322" s="53" t="s">
        <v>4422</v>
      </c>
      <c r="E1322" s="54" t="s">
        <v>4423</v>
      </c>
      <c r="F1322" s="55" t="s">
        <v>4424</v>
      </c>
    </row>
    <row r="1323" spans="4:6" ht="12.75">
      <c r="D1323" s="53" t="s">
        <v>4425</v>
      </c>
      <c r="E1323" s="54" t="s">
        <v>4426</v>
      </c>
      <c r="F1323" s="55" t="s">
        <v>4427</v>
      </c>
    </row>
    <row r="1324" spans="4:6" ht="12.75">
      <c r="D1324" s="53" t="s">
        <v>4428</v>
      </c>
      <c r="E1324" s="54" t="s">
        <v>4429</v>
      </c>
      <c r="F1324" s="54" t="s">
        <v>4430</v>
      </c>
    </row>
    <row r="1325" spans="4:6" ht="12.75">
      <c r="D1325" s="53" t="s">
        <v>4431</v>
      </c>
      <c r="E1325" s="54" t="s">
        <v>4432</v>
      </c>
      <c r="F1325" s="55" t="s">
        <v>4433</v>
      </c>
    </row>
    <row r="1326" spans="4:6" ht="12.75">
      <c r="D1326" s="53" t="s">
        <v>4434</v>
      </c>
      <c r="E1326" s="54" t="s">
        <v>4435</v>
      </c>
      <c r="F1326" s="55" t="s">
        <v>4436</v>
      </c>
    </row>
    <row r="1327" spans="4:6" ht="12.75">
      <c r="D1327" s="53" t="s">
        <v>4437</v>
      </c>
      <c r="E1327" s="54" t="s">
        <v>4438</v>
      </c>
      <c r="F1327" s="55" t="s">
        <v>4439</v>
      </c>
    </row>
    <row r="1328" spans="4:6" ht="12.75">
      <c r="D1328" s="53" t="s">
        <v>4440</v>
      </c>
      <c r="E1328" s="54" t="s">
        <v>4441</v>
      </c>
      <c r="F1328" s="55" t="s">
        <v>4442</v>
      </c>
    </row>
    <row r="1329" spans="4:6" ht="12.75">
      <c r="D1329" s="53" t="s">
        <v>4443</v>
      </c>
      <c r="E1329" s="54" t="s">
        <v>4444</v>
      </c>
      <c r="F1329" s="55" t="s">
        <v>4445</v>
      </c>
    </row>
    <row r="1330" spans="4:6" ht="12.75">
      <c r="D1330" s="53" t="s">
        <v>4446</v>
      </c>
      <c r="E1330" s="54" t="s">
        <v>4447</v>
      </c>
      <c r="F1330" s="55" t="s">
        <v>4448</v>
      </c>
    </row>
    <row r="1331" spans="4:6" ht="12.75">
      <c r="D1331" s="53" t="s">
        <v>4449</v>
      </c>
      <c r="E1331" s="54" t="s">
        <v>4450</v>
      </c>
      <c r="F1331" s="55" t="s">
        <v>4451</v>
      </c>
    </row>
    <row r="1332" spans="4:6" ht="12.75">
      <c r="D1332" s="53" t="s">
        <v>4452</v>
      </c>
      <c r="E1332" s="54" t="s">
        <v>4453</v>
      </c>
      <c r="F1332" s="54" t="s">
        <v>4454</v>
      </c>
    </row>
    <row r="1333" spans="4:6" ht="12.75">
      <c r="D1333" s="53" t="s">
        <v>4455</v>
      </c>
      <c r="E1333" s="54" t="s">
        <v>4456</v>
      </c>
      <c r="F1333" s="55" t="s">
        <v>4457</v>
      </c>
    </row>
    <row r="1334" spans="4:6" ht="12.75">
      <c r="D1334" s="53" t="s">
        <v>4458</v>
      </c>
      <c r="E1334" s="54" t="s">
        <v>4459</v>
      </c>
      <c r="F1334" s="55" t="s">
        <v>4460</v>
      </c>
    </row>
    <row r="1335" spans="4:6" ht="12.75">
      <c r="D1335" s="53" t="s">
        <v>4461</v>
      </c>
      <c r="E1335" s="54" t="s">
        <v>4462</v>
      </c>
      <c r="F1335" s="55" t="s">
        <v>4463</v>
      </c>
    </row>
    <row r="1336" spans="4:6" ht="12.75">
      <c r="D1336" s="53" t="s">
        <v>4464</v>
      </c>
      <c r="E1336" s="54" t="s">
        <v>4465</v>
      </c>
      <c r="F1336" s="55" t="s">
        <v>4466</v>
      </c>
    </row>
    <row r="1337" spans="4:6" ht="12.75">
      <c r="D1337" s="53" t="s">
        <v>4467</v>
      </c>
      <c r="E1337" s="54" t="s">
        <v>4468</v>
      </c>
      <c r="F1337" s="55" t="s">
        <v>4469</v>
      </c>
    </row>
    <row r="1338" spans="4:6" ht="12.75">
      <c r="D1338" s="53" t="s">
        <v>4470</v>
      </c>
      <c r="E1338" s="54" t="s">
        <v>4471</v>
      </c>
      <c r="F1338" s="55" t="s">
        <v>4472</v>
      </c>
    </row>
    <row r="1339" spans="4:6" ht="12.75">
      <c r="D1339" s="53" t="s">
        <v>4473</v>
      </c>
      <c r="E1339" s="54" t="s">
        <v>4474</v>
      </c>
      <c r="F1339" s="55" t="s">
        <v>4475</v>
      </c>
    </row>
    <row r="1340" spans="4:6" ht="12.75">
      <c r="D1340" s="53" t="s">
        <v>4476</v>
      </c>
      <c r="E1340" s="54" t="s">
        <v>4477</v>
      </c>
      <c r="F1340" s="55" t="s">
        <v>4478</v>
      </c>
    </row>
    <row r="1341" spans="4:6" ht="12.75">
      <c r="D1341" s="53" t="s">
        <v>4479</v>
      </c>
      <c r="E1341" s="54" t="s">
        <v>4480</v>
      </c>
      <c r="F1341" s="55" t="s">
        <v>4481</v>
      </c>
    </row>
    <row r="1342" spans="4:6" ht="12.75">
      <c r="D1342" s="53" t="s">
        <v>4482</v>
      </c>
      <c r="E1342" s="54" t="s">
        <v>4483</v>
      </c>
      <c r="F1342" s="55" t="s">
        <v>4484</v>
      </c>
    </row>
    <row r="1343" spans="4:6" ht="12.75">
      <c r="D1343" s="53" t="s">
        <v>815</v>
      </c>
      <c r="E1343" s="54"/>
      <c r="F1343" s="55"/>
    </row>
    <row r="1344" spans="4:6" ht="12.75">
      <c r="D1344" s="53" t="s">
        <v>4485</v>
      </c>
      <c r="E1344" s="54" t="s">
        <v>4486</v>
      </c>
      <c r="F1344" s="55" t="s">
        <v>4487</v>
      </c>
    </row>
    <row r="1345" spans="4:6" ht="12.75">
      <c r="D1345" s="53" t="s">
        <v>4488</v>
      </c>
      <c r="E1345" s="54" t="s">
        <v>4489</v>
      </c>
      <c r="F1345" s="55" t="s">
        <v>4490</v>
      </c>
    </row>
    <row r="1346" spans="4:6" ht="12.75">
      <c r="D1346" s="53" t="s">
        <v>4491</v>
      </c>
      <c r="E1346" s="54" t="s">
        <v>4492</v>
      </c>
      <c r="F1346" s="55" t="s">
        <v>4493</v>
      </c>
    </row>
    <row r="1347" spans="4:6" ht="12.75">
      <c r="D1347" s="53" t="s">
        <v>4494</v>
      </c>
      <c r="E1347" s="54" t="s">
        <v>4495</v>
      </c>
      <c r="F1347" s="55" t="s">
        <v>4496</v>
      </c>
    </row>
    <row r="1348" spans="4:6" ht="12.75">
      <c r="D1348" s="53" t="s">
        <v>4497</v>
      </c>
      <c r="E1348" s="54" t="s">
        <v>4498</v>
      </c>
      <c r="F1348" s="55" t="s">
        <v>4499</v>
      </c>
    </row>
    <row r="1349" spans="4:6" ht="12.75">
      <c r="D1349" s="53" t="s">
        <v>4500</v>
      </c>
      <c r="E1349" s="54" t="s">
        <v>4501</v>
      </c>
      <c r="F1349" s="55" t="s">
        <v>4502</v>
      </c>
    </row>
    <row r="1350" spans="4:6" ht="12.75">
      <c r="D1350" s="53" t="s">
        <v>4503</v>
      </c>
      <c r="E1350" s="54" t="s">
        <v>4504</v>
      </c>
      <c r="F1350" s="55" t="s">
        <v>4505</v>
      </c>
    </row>
    <row r="1351" spans="4:6" ht="12.75">
      <c r="D1351" s="53" t="s">
        <v>4506</v>
      </c>
      <c r="E1351" s="54" t="s">
        <v>4507</v>
      </c>
      <c r="F1351" s="55" t="s">
        <v>4508</v>
      </c>
    </row>
    <row r="1352" spans="4:6" ht="12.75">
      <c r="D1352" s="53" t="s">
        <v>4509</v>
      </c>
      <c r="E1352" s="54" t="s">
        <v>4510</v>
      </c>
      <c r="F1352" s="55" t="s">
        <v>4511</v>
      </c>
    </row>
    <row r="1353" spans="4:6" ht="12.75">
      <c r="D1353" s="53" t="s">
        <v>4512</v>
      </c>
      <c r="E1353" s="54" t="s">
        <v>4513</v>
      </c>
      <c r="F1353" s="55" t="s">
        <v>4514</v>
      </c>
    </row>
    <row r="1354" spans="4:6" ht="12.75">
      <c r="D1354" s="53" t="s">
        <v>4515</v>
      </c>
      <c r="E1354" s="54" t="s">
        <v>4516</v>
      </c>
      <c r="F1354" s="55" t="s">
        <v>4517</v>
      </c>
    </row>
    <row r="1355" spans="4:6" ht="12.75">
      <c r="D1355" s="53" t="s">
        <v>4518</v>
      </c>
      <c r="E1355" s="54" t="s">
        <v>4519</v>
      </c>
      <c r="F1355" s="55" t="s">
        <v>4520</v>
      </c>
    </row>
    <row r="1356" spans="4:6" ht="12.75">
      <c r="D1356" s="53" t="s">
        <v>4521</v>
      </c>
      <c r="E1356" s="54" t="s">
        <v>4522</v>
      </c>
      <c r="F1356" s="55" t="s">
        <v>4523</v>
      </c>
    </row>
    <row r="1357" spans="4:6" ht="12.75">
      <c r="D1357" s="53" t="s">
        <v>4524</v>
      </c>
      <c r="E1357" s="54" t="s">
        <v>4525</v>
      </c>
      <c r="F1357" s="55" t="s">
        <v>4526</v>
      </c>
    </row>
    <row r="1358" spans="4:6" ht="12.75">
      <c r="D1358" s="53" t="s">
        <v>4527</v>
      </c>
      <c r="E1358" s="54" t="s">
        <v>4528</v>
      </c>
      <c r="F1358" s="55" t="s">
        <v>4529</v>
      </c>
    </row>
    <row r="1359" spans="4:6" ht="12.75">
      <c r="D1359" s="53" t="s">
        <v>4530</v>
      </c>
      <c r="E1359" s="54" t="s">
        <v>4531</v>
      </c>
      <c r="F1359" s="55" t="s">
        <v>4532</v>
      </c>
    </row>
    <row r="1360" spans="4:6" ht="12.75">
      <c r="D1360" s="53" t="s">
        <v>4533</v>
      </c>
      <c r="E1360" s="54" t="s">
        <v>4534</v>
      </c>
      <c r="F1360" s="55" t="s">
        <v>4535</v>
      </c>
    </row>
    <row r="1361" spans="4:6" ht="12.75">
      <c r="D1361" s="53" t="s">
        <v>4536</v>
      </c>
      <c r="E1361" s="54" t="s">
        <v>4537</v>
      </c>
      <c r="F1361" s="55" t="s">
        <v>4538</v>
      </c>
    </row>
    <row r="1362" spans="4:6" ht="12.75">
      <c r="D1362" s="53" t="s">
        <v>4539</v>
      </c>
      <c r="E1362" s="54" t="s">
        <v>4540</v>
      </c>
      <c r="F1362" s="55" t="s">
        <v>4541</v>
      </c>
    </row>
    <row r="1363" spans="4:6" ht="12.75">
      <c r="D1363" s="53" t="s">
        <v>4542</v>
      </c>
      <c r="E1363" s="54" t="s">
        <v>4543</v>
      </c>
      <c r="F1363" s="55" t="s">
        <v>4544</v>
      </c>
    </row>
    <row r="1364" spans="4:6" ht="12.75">
      <c r="D1364" s="53" t="s">
        <v>4545</v>
      </c>
      <c r="E1364" s="54" t="s">
        <v>4546</v>
      </c>
      <c r="F1364" s="55" t="s">
        <v>4547</v>
      </c>
    </row>
    <row r="1365" spans="4:6" ht="12.75">
      <c r="D1365" s="53" t="s">
        <v>4548</v>
      </c>
      <c r="E1365" s="54" t="s">
        <v>4549</v>
      </c>
      <c r="F1365" s="55"/>
    </row>
    <row r="1366" spans="4:6" ht="12.75">
      <c r="D1366" s="53" t="s">
        <v>4550</v>
      </c>
      <c r="E1366" s="54" t="s">
        <v>4551</v>
      </c>
      <c r="F1366" s="55" t="s">
        <v>4552</v>
      </c>
    </row>
    <row r="1367" spans="4:6" ht="12.75">
      <c r="D1367" s="53" t="s">
        <v>4553</v>
      </c>
      <c r="E1367" s="54" t="s">
        <v>4554</v>
      </c>
      <c r="F1367" s="55" t="s">
        <v>4555</v>
      </c>
    </row>
    <row r="1368" spans="4:6" ht="12.75">
      <c r="D1368" s="53" t="s">
        <v>4556</v>
      </c>
      <c r="E1368" s="54" t="s">
        <v>4557</v>
      </c>
      <c r="F1368" s="55" t="s">
        <v>4558</v>
      </c>
    </row>
    <row r="1369" spans="4:6" ht="12.75">
      <c r="D1369" s="53" t="s">
        <v>4559</v>
      </c>
      <c r="E1369" s="54" t="s">
        <v>4560</v>
      </c>
      <c r="F1369" s="55" t="s">
        <v>4561</v>
      </c>
    </row>
    <row r="1370" spans="4:6" ht="12.75">
      <c r="D1370" s="53" t="s">
        <v>4562</v>
      </c>
      <c r="E1370" s="54" t="s">
        <v>4563</v>
      </c>
      <c r="F1370" s="55" t="s">
        <v>4564</v>
      </c>
    </row>
    <row r="1371" spans="4:6" ht="12.75">
      <c r="D1371" s="53" t="s">
        <v>4565</v>
      </c>
      <c r="E1371" s="54" t="s">
        <v>4566</v>
      </c>
      <c r="F1371" s="55" t="s">
        <v>4567</v>
      </c>
    </row>
    <row r="1372" spans="4:6" ht="12.75">
      <c r="D1372" s="53" t="s">
        <v>4568</v>
      </c>
      <c r="E1372" s="54" t="s">
        <v>4569</v>
      </c>
      <c r="F1372" s="55" t="s">
        <v>4570</v>
      </c>
    </row>
    <row r="1373" spans="4:6" ht="12.75">
      <c r="D1373" s="53" t="s">
        <v>4571</v>
      </c>
      <c r="E1373" s="54" t="s">
        <v>4572</v>
      </c>
      <c r="F1373" s="55" t="s">
        <v>4573</v>
      </c>
    </row>
    <row r="1374" spans="4:6" ht="12.75">
      <c r="D1374" s="53" t="s">
        <v>4574</v>
      </c>
      <c r="E1374" s="54" t="s">
        <v>100</v>
      </c>
      <c r="F1374" s="55" t="s">
        <v>4575</v>
      </c>
    </row>
    <row r="1375" spans="4:6" ht="12.75">
      <c r="D1375" s="53" t="s">
        <v>4576</v>
      </c>
      <c r="E1375" s="54" t="s">
        <v>4577</v>
      </c>
      <c r="F1375" s="55" t="s">
        <v>4578</v>
      </c>
    </row>
    <row r="1376" spans="4:6" ht="12.75">
      <c r="D1376" s="53" t="s">
        <v>4579</v>
      </c>
      <c r="E1376" s="54" t="s">
        <v>4580</v>
      </c>
      <c r="F1376" s="54" t="s">
        <v>4581</v>
      </c>
    </row>
    <row r="1377" spans="4:6" ht="12.75">
      <c r="D1377" s="53" t="s">
        <v>4582</v>
      </c>
      <c r="E1377" s="54" t="s">
        <v>4583</v>
      </c>
      <c r="F1377" s="55" t="s">
        <v>4584</v>
      </c>
    </row>
    <row r="1378" spans="4:6" ht="12.75">
      <c r="D1378" s="53" t="s">
        <v>4585</v>
      </c>
      <c r="E1378" s="54" t="s">
        <v>4586</v>
      </c>
      <c r="F1378" s="55" t="s">
        <v>4587</v>
      </c>
    </row>
    <row r="1379" spans="4:6" ht="12.75">
      <c r="D1379" s="53" t="s">
        <v>4588</v>
      </c>
      <c r="E1379" s="54" t="s">
        <v>4589</v>
      </c>
      <c r="F1379" s="54" t="s">
        <v>4590</v>
      </c>
    </row>
    <row r="1380" spans="4:6" ht="12.75">
      <c r="D1380" s="53" t="s">
        <v>4591</v>
      </c>
      <c r="E1380" s="54" t="s">
        <v>4592</v>
      </c>
      <c r="F1380" s="55" t="s">
        <v>4593</v>
      </c>
    </row>
    <row r="1381" spans="4:6" ht="12.75">
      <c r="D1381" s="53" t="s">
        <v>4594</v>
      </c>
      <c r="E1381" s="54" t="s">
        <v>4595</v>
      </c>
      <c r="F1381" s="55" t="s">
        <v>4596</v>
      </c>
    </row>
    <row r="1382" spans="4:6" ht="12.75">
      <c r="D1382" s="53" t="s">
        <v>4597</v>
      </c>
      <c r="E1382" s="54" t="s">
        <v>4598</v>
      </c>
      <c r="F1382" s="55" t="s">
        <v>4599</v>
      </c>
    </row>
    <row r="1383" spans="4:6" ht="12.75">
      <c r="D1383" s="53" t="s">
        <v>4600</v>
      </c>
      <c r="E1383" s="54" t="s">
        <v>4601</v>
      </c>
      <c r="F1383" s="55" t="s">
        <v>4602</v>
      </c>
    </row>
    <row r="1384" spans="4:6" ht="12.75">
      <c r="D1384" s="53" t="s">
        <v>4603</v>
      </c>
      <c r="E1384" s="54" t="s">
        <v>4604</v>
      </c>
      <c r="F1384" s="55" t="s">
        <v>4605</v>
      </c>
    </row>
    <row r="1385" spans="4:6" ht="12.75">
      <c r="D1385" s="53" t="s">
        <v>4606</v>
      </c>
      <c r="E1385" s="54" t="s">
        <v>4607</v>
      </c>
      <c r="F1385" s="55" t="s">
        <v>4608</v>
      </c>
    </row>
    <row r="1386" spans="4:6" ht="12.75">
      <c r="D1386" s="53" t="s">
        <v>815</v>
      </c>
      <c r="E1386" s="54"/>
      <c r="F1386" s="55"/>
    </row>
    <row r="1387" spans="4:6" ht="12.75">
      <c r="D1387" s="53" t="s">
        <v>4609</v>
      </c>
      <c r="E1387" s="54" t="s">
        <v>4610</v>
      </c>
      <c r="F1387" s="55" t="s">
        <v>4611</v>
      </c>
    </row>
    <row r="1388" spans="4:6" ht="12.75">
      <c r="D1388" s="53" t="s">
        <v>4612</v>
      </c>
      <c r="E1388" s="54" t="s">
        <v>4613</v>
      </c>
      <c r="F1388" s="55" t="s">
        <v>4614</v>
      </c>
    </row>
    <row r="1389" spans="4:6" ht="12.75">
      <c r="D1389" s="53" t="s">
        <v>4615</v>
      </c>
      <c r="E1389" s="54" t="s">
        <v>4616</v>
      </c>
      <c r="F1389" s="55" t="s">
        <v>4617</v>
      </c>
    </row>
    <row r="1390" spans="4:6" ht="12.75">
      <c r="D1390" s="53" t="s">
        <v>4618</v>
      </c>
      <c r="E1390" s="54" t="s">
        <v>4619</v>
      </c>
      <c r="F1390" s="55" t="s">
        <v>4620</v>
      </c>
    </row>
    <row r="1391" spans="4:6" ht="12.75">
      <c r="D1391" s="53" t="s">
        <v>4621</v>
      </c>
      <c r="E1391" s="54" t="s">
        <v>4622</v>
      </c>
      <c r="F1391" s="55" t="s">
        <v>4623</v>
      </c>
    </row>
    <row r="1392" spans="4:6" ht="12.75">
      <c r="D1392" s="53" t="s">
        <v>4624</v>
      </c>
      <c r="E1392" s="54" t="s">
        <v>4625</v>
      </c>
      <c r="F1392" s="55" t="s">
        <v>4626</v>
      </c>
    </row>
    <row r="1393" spans="4:6" ht="12.75">
      <c r="D1393" s="53" t="s">
        <v>4627</v>
      </c>
      <c r="E1393" s="54" t="s">
        <v>4628</v>
      </c>
      <c r="F1393" s="55" t="s">
        <v>4629</v>
      </c>
    </row>
    <row r="1394" spans="4:6" ht="12.75">
      <c r="D1394" s="53" t="s">
        <v>4630</v>
      </c>
      <c r="E1394" s="54" t="s">
        <v>4631</v>
      </c>
      <c r="F1394" s="55" t="s">
        <v>4632</v>
      </c>
    </row>
    <row r="1395" spans="4:6" ht="12.75">
      <c r="D1395" s="53" t="s">
        <v>4633</v>
      </c>
      <c r="E1395" s="54" t="s">
        <v>4634</v>
      </c>
      <c r="F1395" s="55" t="s">
        <v>4635</v>
      </c>
    </row>
    <row r="1396" spans="4:6" ht="12.75">
      <c r="D1396" s="53" t="s">
        <v>4636</v>
      </c>
      <c r="E1396" s="54" t="s">
        <v>4637</v>
      </c>
      <c r="F1396" s="55" t="s">
        <v>4638</v>
      </c>
    </row>
    <row r="1397" spans="4:6" ht="12.75">
      <c r="D1397" s="53" t="s">
        <v>4639</v>
      </c>
      <c r="E1397" s="54" t="s">
        <v>4640</v>
      </c>
      <c r="F1397" s="55" t="s">
        <v>4641</v>
      </c>
    </row>
    <row r="1398" spans="4:6" ht="12.75">
      <c r="D1398" s="53" t="s">
        <v>4642</v>
      </c>
      <c r="E1398" s="54" t="s">
        <v>187</v>
      </c>
      <c r="F1398" s="55" t="s">
        <v>4643</v>
      </c>
    </row>
    <row r="1399" spans="4:6" ht="12.75">
      <c r="D1399" s="53" t="s">
        <v>4644</v>
      </c>
      <c r="E1399" s="54" t="s">
        <v>4645</v>
      </c>
      <c r="F1399" s="55" t="s">
        <v>4646</v>
      </c>
    </row>
    <row r="1400" spans="4:6" ht="12.75">
      <c r="D1400" s="53" t="s">
        <v>4647</v>
      </c>
      <c r="E1400" s="54" t="s">
        <v>4648</v>
      </c>
      <c r="F1400" s="55" t="s">
        <v>4649</v>
      </c>
    </row>
    <row r="1401" spans="4:6" ht="12.75">
      <c r="D1401" s="53" t="s">
        <v>815</v>
      </c>
      <c r="E1401" s="54"/>
      <c r="F1401" s="55"/>
    </row>
    <row r="1402" spans="4:6" ht="12.75">
      <c r="D1402" s="53" t="s">
        <v>4650</v>
      </c>
      <c r="E1402" s="54" t="s">
        <v>4651</v>
      </c>
      <c r="F1402" s="55" t="s">
        <v>4652</v>
      </c>
    </row>
    <row r="1403" spans="4:6" ht="12.75">
      <c r="D1403" s="53" t="s">
        <v>4653</v>
      </c>
      <c r="E1403" s="54" t="s">
        <v>4654</v>
      </c>
      <c r="F1403" s="55" t="s">
        <v>4655</v>
      </c>
    </row>
    <row r="1404" spans="4:6" ht="12.75">
      <c r="D1404" s="53" t="s">
        <v>4656</v>
      </c>
      <c r="E1404" s="54" t="s">
        <v>4657</v>
      </c>
      <c r="F1404" s="55" t="s">
        <v>4658</v>
      </c>
    </row>
    <row r="1405" spans="4:6" ht="12.75">
      <c r="D1405" s="53" t="s">
        <v>4659</v>
      </c>
      <c r="E1405" s="54" t="s">
        <v>4660</v>
      </c>
      <c r="F1405" s="55" t="s">
        <v>4661</v>
      </c>
    </row>
    <row r="1406" spans="4:6" ht="12.75">
      <c r="D1406" s="53" t="s">
        <v>4662</v>
      </c>
      <c r="E1406" s="54" t="s">
        <v>4663</v>
      </c>
      <c r="F1406" s="55" t="s">
        <v>4664</v>
      </c>
    </row>
    <row r="1407" spans="4:6" ht="12.75">
      <c r="D1407" s="53" t="s">
        <v>4665</v>
      </c>
      <c r="E1407" s="54" t="s">
        <v>4666</v>
      </c>
      <c r="F1407" s="55" t="s">
        <v>4667</v>
      </c>
    </row>
    <row r="1408" spans="4:6" ht="12.75">
      <c r="D1408" s="53" t="s">
        <v>4668</v>
      </c>
      <c r="E1408" s="54" t="s">
        <v>4669</v>
      </c>
      <c r="F1408" s="55" t="s">
        <v>4670</v>
      </c>
    </row>
    <row r="1409" spans="4:6" ht="12.75">
      <c r="D1409" s="53" t="s">
        <v>815</v>
      </c>
      <c r="E1409" s="54"/>
      <c r="F1409" s="55"/>
    </row>
    <row r="1410" spans="4:6" ht="12.75">
      <c r="D1410" s="53" t="s">
        <v>815</v>
      </c>
      <c r="E1410" s="54"/>
      <c r="F1410" s="55"/>
    </row>
    <row r="1411" spans="4:6" ht="12.75">
      <c r="D1411" s="53" t="s">
        <v>4671</v>
      </c>
      <c r="E1411" s="54" t="s">
        <v>4672</v>
      </c>
      <c r="F1411" s="55" t="s">
        <v>4673</v>
      </c>
    </row>
    <row r="1412" spans="4:6" ht="12.75">
      <c r="D1412" s="53" t="s">
        <v>4674</v>
      </c>
      <c r="E1412" s="54" t="s">
        <v>4675</v>
      </c>
      <c r="F1412" s="55" t="s">
        <v>4676</v>
      </c>
    </row>
    <row r="1413" spans="4:6" ht="12.75">
      <c r="D1413" s="53" t="s">
        <v>4677</v>
      </c>
      <c r="E1413" s="54" t="s">
        <v>4678</v>
      </c>
      <c r="F1413" s="55" t="s">
        <v>4679</v>
      </c>
    </row>
    <row r="1414" spans="4:6" ht="12.75">
      <c r="D1414" s="53" t="s">
        <v>4680</v>
      </c>
      <c r="E1414" s="54" t="s">
        <v>4681</v>
      </c>
      <c r="F1414" s="55" t="s">
        <v>4682</v>
      </c>
    </row>
    <row r="1415" spans="4:6" ht="12.75">
      <c r="D1415" s="53" t="s">
        <v>4683</v>
      </c>
      <c r="E1415" s="54" t="s">
        <v>4684</v>
      </c>
      <c r="F1415" s="55" t="s">
        <v>4685</v>
      </c>
    </row>
    <row r="1416" spans="4:6" ht="12.75">
      <c r="D1416" s="53" t="s">
        <v>4686</v>
      </c>
      <c r="E1416" s="54" t="s">
        <v>4687</v>
      </c>
      <c r="F1416" s="55" t="s">
        <v>4688</v>
      </c>
    </row>
    <row r="1417" spans="4:6" ht="12.75">
      <c r="D1417" s="53" t="s">
        <v>4689</v>
      </c>
      <c r="E1417" s="54" t="s">
        <v>4690</v>
      </c>
      <c r="F1417" s="55" t="s">
        <v>4691</v>
      </c>
    </row>
    <row r="1418" spans="4:6" ht="12.75">
      <c r="D1418" s="53" t="s">
        <v>4692</v>
      </c>
      <c r="E1418" s="54" t="s">
        <v>4693</v>
      </c>
      <c r="F1418" s="55" t="s">
        <v>4694</v>
      </c>
    </row>
    <row r="1419" spans="4:6" ht="12.75">
      <c r="D1419" s="53" t="s">
        <v>4695</v>
      </c>
      <c r="E1419" s="54" t="s">
        <v>4696</v>
      </c>
      <c r="F1419" s="55" t="s">
        <v>4697</v>
      </c>
    </row>
    <row r="1420" spans="4:6" ht="12.75">
      <c r="D1420" s="53" t="s">
        <v>4698</v>
      </c>
      <c r="E1420" s="54" t="s">
        <v>4699</v>
      </c>
      <c r="F1420" s="55" t="s">
        <v>4700</v>
      </c>
    </row>
    <row r="1421" spans="4:6" ht="12.75">
      <c r="D1421" s="53" t="s">
        <v>4701</v>
      </c>
      <c r="E1421" s="54" t="s">
        <v>4702</v>
      </c>
      <c r="F1421" s="55" t="s">
        <v>4703</v>
      </c>
    </row>
    <row r="1422" spans="4:6" ht="12.75">
      <c r="D1422" s="53" t="s">
        <v>4704</v>
      </c>
      <c r="E1422" s="54" t="s">
        <v>4705</v>
      </c>
      <c r="F1422" s="55" t="s">
        <v>4706</v>
      </c>
    </row>
    <row r="1423" spans="4:6" ht="12.75">
      <c r="D1423" s="53" t="s">
        <v>4707</v>
      </c>
      <c r="E1423" s="54" t="s">
        <v>4708</v>
      </c>
      <c r="F1423" s="55" t="s">
        <v>4709</v>
      </c>
    </row>
    <row r="1424" spans="4:6" ht="12.75">
      <c r="D1424" s="53" t="s">
        <v>4710</v>
      </c>
      <c r="E1424" s="54" t="s">
        <v>4711</v>
      </c>
      <c r="F1424" s="55" t="s">
        <v>4712</v>
      </c>
    </row>
    <row r="1425" spans="4:6" ht="12.75">
      <c r="D1425" s="53" t="s">
        <v>4713</v>
      </c>
      <c r="E1425" s="54" t="s">
        <v>4714</v>
      </c>
      <c r="F1425" s="55" t="s">
        <v>4715</v>
      </c>
    </row>
    <row r="1426" spans="4:6" ht="12.75">
      <c r="D1426" s="53" t="s">
        <v>815</v>
      </c>
      <c r="E1426" s="54"/>
      <c r="F1426" s="55"/>
    </row>
    <row r="1427" spans="4:6" ht="12.75">
      <c r="D1427" s="53" t="s">
        <v>4716</v>
      </c>
      <c r="E1427" s="54" t="s">
        <v>75</v>
      </c>
      <c r="F1427" s="55" t="s">
        <v>4717</v>
      </c>
    </row>
    <row r="1428" spans="4:6" ht="12.75">
      <c r="D1428" s="53" t="s">
        <v>4718</v>
      </c>
      <c r="E1428" s="54" t="s">
        <v>4719</v>
      </c>
      <c r="F1428" s="55" t="s">
        <v>4720</v>
      </c>
    </row>
    <row r="1429" spans="4:6" ht="12.75">
      <c r="D1429" s="53" t="s">
        <v>4721</v>
      </c>
      <c r="E1429" s="54" t="s">
        <v>4722</v>
      </c>
      <c r="F1429" s="55" t="s">
        <v>4723</v>
      </c>
    </row>
    <row r="1430" spans="4:6" ht="12.75">
      <c r="D1430" s="53" t="s">
        <v>4724</v>
      </c>
      <c r="E1430" s="54" t="s">
        <v>4725</v>
      </c>
      <c r="F1430" s="55" t="s">
        <v>4726</v>
      </c>
    </row>
    <row r="1431" spans="4:6" ht="12.75">
      <c r="D1431" s="53" t="s">
        <v>4727</v>
      </c>
      <c r="E1431" s="54" t="s">
        <v>4728</v>
      </c>
      <c r="F1431" s="55"/>
    </row>
    <row r="1432" spans="4:6" ht="12.75">
      <c r="D1432" s="53" t="s">
        <v>4729</v>
      </c>
      <c r="E1432" s="54" t="s">
        <v>4730</v>
      </c>
      <c r="F1432" s="55" t="s">
        <v>4731</v>
      </c>
    </row>
    <row r="1433" spans="4:6" ht="12.75">
      <c r="D1433" s="53" t="s">
        <v>4732</v>
      </c>
      <c r="E1433" s="54" t="s">
        <v>4733</v>
      </c>
      <c r="F1433" s="55" t="s">
        <v>4734</v>
      </c>
    </row>
    <row r="1434" spans="4:6" ht="12.75">
      <c r="D1434" s="53" t="s">
        <v>4735</v>
      </c>
      <c r="E1434" s="54" t="s">
        <v>4736</v>
      </c>
      <c r="F1434" s="55" t="s">
        <v>4737</v>
      </c>
    </row>
    <row r="1435" spans="4:6" ht="12.75">
      <c r="D1435" s="53" t="s">
        <v>4738</v>
      </c>
      <c r="E1435" s="54" t="s">
        <v>4739</v>
      </c>
      <c r="F1435" s="55" t="s">
        <v>4740</v>
      </c>
    </row>
    <row r="1436" spans="4:6" ht="12.75">
      <c r="D1436" s="53" t="s">
        <v>4741</v>
      </c>
      <c r="E1436" s="54" t="s">
        <v>4742</v>
      </c>
      <c r="F1436" s="55" t="s">
        <v>4743</v>
      </c>
    </row>
    <row r="1437" spans="4:6" ht="12.75">
      <c r="D1437" s="53" t="s">
        <v>4744</v>
      </c>
      <c r="E1437" s="54" t="s">
        <v>49</v>
      </c>
      <c r="F1437" s="55" t="s">
        <v>4745</v>
      </c>
    </row>
    <row r="1438" spans="4:6" ht="12.75">
      <c r="D1438" s="53" t="s">
        <v>4746</v>
      </c>
      <c r="E1438" s="54" t="s">
        <v>4747</v>
      </c>
      <c r="F1438" s="55" t="s">
        <v>4748</v>
      </c>
    </row>
    <row r="1439" spans="4:6" ht="12.75">
      <c r="D1439" s="53" t="s">
        <v>4749</v>
      </c>
      <c r="E1439" s="54" t="s">
        <v>4750</v>
      </c>
      <c r="F1439" s="55"/>
    </row>
    <row r="1440" spans="4:6" ht="12.75">
      <c r="D1440" s="53" t="s">
        <v>4751</v>
      </c>
      <c r="E1440" s="54" t="s">
        <v>4752</v>
      </c>
      <c r="F1440" s="55" t="s">
        <v>4753</v>
      </c>
    </row>
    <row r="1441" spans="4:6" ht="12.75">
      <c r="D1441" s="53" t="s">
        <v>4754</v>
      </c>
      <c r="E1441" s="54" t="s">
        <v>4755</v>
      </c>
      <c r="F1441" s="55" t="s">
        <v>4756</v>
      </c>
    </row>
    <row r="1442" spans="4:6" ht="12.75">
      <c r="D1442" s="53" t="s">
        <v>4757</v>
      </c>
      <c r="E1442" s="54" t="s">
        <v>4758</v>
      </c>
      <c r="F1442" s="55" t="s">
        <v>4759</v>
      </c>
    </row>
    <row r="1443" spans="4:6" ht="12.75">
      <c r="D1443" s="53" t="s">
        <v>4760</v>
      </c>
      <c r="E1443" s="54" t="s">
        <v>4761</v>
      </c>
      <c r="F1443" s="55" t="s">
        <v>4762</v>
      </c>
    </row>
    <row r="1444" spans="4:6" ht="12.75">
      <c r="D1444" s="53" t="s">
        <v>4763</v>
      </c>
      <c r="E1444" s="54" t="s">
        <v>4764</v>
      </c>
      <c r="F1444" s="55" t="s">
        <v>4765</v>
      </c>
    </row>
    <row r="1445" spans="4:6" ht="12.75">
      <c r="D1445" s="53" t="s">
        <v>4766</v>
      </c>
      <c r="E1445" s="54" t="s">
        <v>4767</v>
      </c>
      <c r="F1445" s="55" t="s">
        <v>4768</v>
      </c>
    </row>
    <row r="1446" spans="4:6" ht="12.75">
      <c r="D1446" s="53" t="s">
        <v>815</v>
      </c>
      <c r="E1446" s="54"/>
      <c r="F1446" s="55"/>
    </row>
    <row r="1447" spans="4:6" ht="12.75">
      <c r="D1447" s="53" t="s">
        <v>4769</v>
      </c>
      <c r="E1447" s="54" t="s">
        <v>4770</v>
      </c>
      <c r="F1447" s="55" t="s">
        <v>4771</v>
      </c>
    </row>
    <row r="1448" spans="4:6" ht="12.75">
      <c r="D1448" s="53" t="s">
        <v>4772</v>
      </c>
      <c r="E1448" s="54" t="s">
        <v>4773</v>
      </c>
      <c r="F1448" s="55" t="s">
        <v>4774</v>
      </c>
    </row>
    <row r="1449" spans="4:6" ht="12.75">
      <c r="D1449" s="53" t="s">
        <v>4775</v>
      </c>
      <c r="E1449" s="54" t="s">
        <v>4776</v>
      </c>
      <c r="F1449" s="55" t="s">
        <v>4777</v>
      </c>
    </row>
    <row r="1450" spans="4:6" ht="12.75">
      <c r="D1450" s="53" t="s">
        <v>4778</v>
      </c>
      <c r="E1450" s="54" t="s">
        <v>4779</v>
      </c>
      <c r="F1450" s="55" t="s">
        <v>4780</v>
      </c>
    </row>
    <row r="1451" spans="4:6" ht="12.75">
      <c r="D1451" s="53" t="s">
        <v>4781</v>
      </c>
      <c r="E1451" s="54" t="s">
        <v>4782</v>
      </c>
      <c r="F1451" s="55" t="s">
        <v>4783</v>
      </c>
    </row>
    <row r="1452" spans="4:6" ht="12.75">
      <c r="D1452" s="53" t="s">
        <v>4784</v>
      </c>
      <c r="E1452" s="54" t="s">
        <v>4785</v>
      </c>
      <c r="F1452" s="55" t="s">
        <v>4786</v>
      </c>
    </row>
    <row r="1453" spans="4:6" ht="12.75">
      <c r="D1453" s="53" t="s">
        <v>4787</v>
      </c>
      <c r="E1453" s="54" t="s">
        <v>4788</v>
      </c>
      <c r="F1453" s="55" t="s">
        <v>4789</v>
      </c>
    </row>
    <row r="1454" spans="4:6" ht="12.75">
      <c r="D1454" s="53" t="s">
        <v>4790</v>
      </c>
      <c r="E1454" s="54" t="s">
        <v>4791</v>
      </c>
      <c r="F1454" s="55"/>
    </row>
    <row r="1455" spans="4:6" ht="12.75">
      <c r="D1455" s="53" t="s">
        <v>4792</v>
      </c>
      <c r="E1455" s="54" t="s">
        <v>4793</v>
      </c>
      <c r="F1455" s="55" t="s">
        <v>4794</v>
      </c>
    </row>
    <row r="1456" spans="4:6" ht="12.75">
      <c r="D1456" s="53" t="s">
        <v>815</v>
      </c>
      <c r="E1456" s="54"/>
      <c r="F1456" s="55"/>
    </row>
    <row r="1457" spans="4:6" ht="12.75">
      <c r="D1457" s="53" t="s">
        <v>4795</v>
      </c>
      <c r="E1457" s="54" t="s">
        <v>4796</v>
      </c>
      <c r="F1457" s="55" t="s">
        <v>4797</v>
      </c>
    </row>
    <row r="1458" spans="4:6" ht="12.75">
      <c r="D1458" s="53" t="s">
        <v>4798</v>
      </c>
      <c r="E1458" s="54" t="s">
        <v>4799</v>
      </c>
      <c r="F1458" s="55" t="s">
        <v>4800</v>
      </c>
    </row>
    <row r="1459" spans="4:6" ht="12.75">
      <c r="D1459" s="53" t="s">
        <v>4801</v>
      </c>
      <c r="E1459" s="54" t="s">
        <v>4802</v>
      </c>
      <c r="F1459" s="55" t="s">
        <v>4803</v>
      </c>
    </row>
    <row r="1460" spans="4:6" ht="12.75">
      <c r="D1460" s="53" t="s">
        <v>4804</v>
      </c>
      <c r="E1460" s="54" t="s">
        <v>4805</v>
      </c>
      <c r="F1460" s="55" t="s">
        <v>4806</v>
      </c>
    </row>
    <row r="1461" spans="4:6" ht="12.75">
      <c r="D1461" s="53" t="s">
        <v>4807</v>
      </c>
      <c r="E1461" s="54" t="s">
        <v>4808</v>
      </c>
      <c r="F1461" s="55"/>
    </row>
    <row r="1462" spans="4:6" ht="12.75">
      <c r="D1462" s="53" t="s">
        <v>4809</v>
      </c>
      <c r="E1462" s="54" t="s">
        <v>4810</v>
      </c>
      <c r="F1462" s="55" t="s">
        <v>4811</v>
      </c>
    </row>
    <row r="1463" spans="4:6" ht="12.75">
      <c r="D1463" s="53" t="s">
        <v>4812</v>
      </c>
      <c r="E1463" s="54" t="s">
        <v>4813</v>
      </c>
      <c r="F1463" s="55" t="s">
        <v>4814</v>
      </c>
    </row>
    <row r="1464" spans="4:6" ht="12.75">
      <c r="D1464" s="53" t="s">
        <v>4815</v>
      </c>
      <c r="E1464" s="54" t="s">
        <v>4816</v>
      </c>
      <c r="F1464" s="55" t="s">
        <v>4817</v>
      </c>
    </row>
    <row r="1465" spans="4:6" ht="12.75">
      <c r="D1465" s="53" t="s">
        <v>4818</v>
      </c>
      <c r="E1465" s="54" t="s">
        <v>4819</v>
      </c>
      <c r="F1465" s="55" t="s">
        <v>4820</v>
      </c>
    </row>
    <row r="1466" spans="4:6" ht="12.75">
      <c r="D1466" s="53" t="s">
        <v>4821</v>
      </c>
      <c r="E1466" s="54" t="s">
        <v>4822</v>
      </c>
      <c r="F1466" s="55"/>
    </row>
    <row r="1467" spans="4:6" ht="12.75">
      <c r="D1467" s="53" t="s">
        <v>4823</v>
      </c>
      <c r="E1467" s="54" t="s">
        <v>4824</v>
      </c>
      <c r="F1467" s="55" t="s">
        <v>4825</v>
      </c>
    </row>
    <row r="1468" spans="4:6" ht="12.75">
      <c r="D1468" s="53" t="s">
        <v>4826</v>
      </c>
      <c r="E1468" s="54" t="s">
        <v>4827</v>
      </c>
      <c r="F1468" s="55" t="s">
        <v>4828</v>
      </c>
    </row>
    <row r="1469" spans="4:6" ht="12.75">
      <c r="D1469" s="53" t="s">
        <v>815</v>
      </c>
      <c r="E1469" s="54"/>
      <c r="F1469" s="55"/>
    </row>
    <row r="1470" spans="4:6" ht="12.75">
      <c r="D1470" s="53" t="s">
        <v>4829</v>
      </c>
      <c r="E1470" s="54" t="s">
        <v>4830</v>
      </c>
      <c r="F1470" s="55" t="s">
        <v>4831</v>
      </c>
    </row>
    <row r="1471" spans="4:6" ht="12.75">
      <c r="D1471" s="53" t="s">
        <v>4832</v>
      </c>
      <c r="E1471" s="54" t="s">
        <v>4833</v>
      </c>
      <c r="F1471" s="55" t="s">
        <v>4834</v>
      </c>
    </row>
    <row r="1472" spans="4:6" ht="12.75">
      <c r="D1472" s="53" t="s">
        <v>4835</v>
      </c>
      <c r="E1472" s="54" t="s">
        <v>4836</v>
      </c>
      <c r="F1472" s="55" t="s">
        <v>4837</v>
      </c>
    </row>
    <row r="1473" spans="4:6" ht="12.75">
      <c r="D1473" s="53" t="s">
        <v>4838</v>
      </c>
      <c r="E1473" s="54" t="s">
        <v>4839</v>
      </c>
      <c r="F1473" s="55" t="s">
        <v>4840</v>
      </c>
    </row>
    <row r="1474" spans="4:6" ht="12.75">
      <c r="D1474" s="53" t="s">
        <v>4841</v>
      </c>
      <c r="E1474" s="54" t="s">
        <v>4842</v>
      </c>
      <c r="F1474" s="55" t="s">
        <v>4843</v>
      </c>
    </row>
    <row r="1475" spans="4:6" ht="12.75">
      <c r="D1475" s="53" t="s">
        <v>4844</v>
      </c>
      <c r="E1475" s="54" t="s">
        <v>4845</v>
      </c>
      <c r="F1475" s="55" t="s">
        <v>4846</v>
      </c>
    </row>
    <row r="1476" spans="4:6" ht="12.75">
      <c r="D1476" s="53" t="s">
        <v>815</v>
      </c>
      <c r="E1476" s="54"/>
      <c r="F1476" s="55"/>
    </row>
    <row r="1477" spans="4:6" ht="12.75">
      <c r="D1477" s="53" t="s">
        <v>4847</v>
      </c>
      <c r="E1477" s="54" t="s">
        <v>4848</v>
      </c>
      <c r="F1477" s="55" t="s">
        <v>4849</v>
      </c>
    </row>
    <row r="1478" spans="4:6" ht="12.75">
      <c r="D1478" s="53" t="s">
        <v>4850</v>
      </c>
      <c r="E1478" s="54" t="s">
        <v>4851</v>
      </c>
      <c r="F1478" s="55" t="s">
        <v>4852</v>
      </c>
    </row>
    <row r="1479" spans="4:6" ht="12.75">
      <c r="D1479" s="53" t="s">
        <v>4853</v>
      </c>
      <c r="E1479" s="54" t="s">
        <v>4854</v>
      </c>
      <c r="F1479" s="55" t="s">
        <v>4855</v>
      </c>
    </row>
    <row r="1480" spans="4:6" ht="12.75">
      <c r="D1480" s="53" t="s">
        <v>4856</v>
      </c>
      <c r="E1480" s="54" t="s">
        <v>4857</v>
      </c>
      <c r="F1480" s="55" t="s">
        <v>4858</v>
      </c>
    </row>
    <row r="1481" spans="4:6" ht="12.75">
      <c r="D1481" s="53" t="s">
        <v>4859</v>
      </c>
      <c r="E1481" s="54" t="s">
        <v>4860</v>
      </c>
      <c r="F1481" s="55" t="s">
        <v>4861</v>
      </c>
    </row>
    <row r="1482" spans="4:6" ht="12.75">
      <c r="D1482" s="53" t="s">
        <v>4862</v>
      </c>
      <c r="E1482" s="54" t="s">
        <v>4863</v>
      </c>
      <c r="F1482" s="55" t="s">
        <v>4864</v>
      </c>
    </row>
    <row r="1483" spans="4:6" ht="12.75">
      <c r="D1483" s="53" t="s">
        <v>4865</v>
      </c>
      <c r="E1483" s="54" t="s">
        <v>4866</v>
      </c>
      <c r="F1483" s="55" t="s">
        <v>4867</v>
      </c>
    </row>
    <row r="1484" spans="4:6" ht="12.75">
      <c r="D1484" s="53" t="s">
        <v>4868</v>
      </c>
      <c r="E1484" s="54" t="s">
        <v>4869</v>
      </c>
      <c r="F1484" s="55" t="s">
        <v>4870</v>
      </c>
    </row>
    <row r="1485" spans="4:6" ht="12.75">
      <c r="D1485" s="53" t="s">
        <v>4871</v>
      </c>
      <c r="E1485" s="54" t="s">
        <v>4872</v>
      </c>
      <c r="F1485" s="55" t="s">
        <v>4873</v>
      </c>
    </row>
    <row r="1486" spans="4:6" ht="12.75">
      <c r="D1486" s="53" t="s">
        <v>4874</v>
      </c>
      <c r="E1486" s="55" t="s">
        <v>4875</v>
      </c>
      <c r="F1486" s="55" t="s">
        <v>4876</v>
      </c>
    </row>
    <row r="1487" spans="4:6" ht="12.75">
      <c r="D1487" s="53" t="s">
        <v>4877</v>
      </c>
      <c r="E1487" s="54" t="s">
        <v>4878</v>
      </c>
      <c r="F1487" s="55" t="s">
        <v>4879</v>
      </c>
    </row>
    <row r="1488" spans="4:6" ht="12.75">
      <c r="D1488" s="53" t="s">
        <v>4880</v>
      </c>
      <c r="E1488" s="54" t="s">
        <v>4881</v>
      </c>
      <c r="F1488" s="55" t="s">
        <v>4882</v>
      </c>
    </row>
    <row r="1489" spans="4:6" ht="12.75">
      <c r="D1489" s="53" t="s">
        <v>4883</v>
      </c>
      <c r="E1489" s="54" t="s">
        <v>4884</v>
      </c>
      <c r="F1489" s="55" t="s">
        <v>4885</v>
      </c>
    </row>
    <row r="1490" spans="4:6" ht="12.75">
      <c r="D1490" s="53" t="s">
        <v>4886</v>
      </c>
      <c r="E1490" s="54" t="s">
        <v>4887</v>
      </c>
      <c r="F1490" s="55" t="s">
        <v>4888</v>
      </c>
    </row>
    <row r="1491" spans="4:6" ht="12.75">
      <c r="D1491" s="53" t="s">
        <v>4889</v>
      </c>
      <c r="E1491" s="54" t="s">
        <v>4890</v>
      </c>
      <c r="F1491" s="55" t="s">
        <v>4891</v>
      </c>
    </row>
    <row r="1492" spans="4:6" ht="12.75">
      <c r="D1492" s="53" t="s">
        <v>4892</v>
      </c>
      <c r="E1492" s="54" t="s">
        <v>4893</v>
      </c>
      <c r="F1492" s="55" t="s">
        <v>4894</v>
      </c>
    </row>
    <row r="1493" spans="4:6" ht="12.75">
      <c r="D1493" s="53" t="s">
        <v>4895</v>
      </c>
      <c r="E1493" s="54" t="s">
        <v>4896</v>
      </c>
      <c r="F1493" s="55" t="s">
        <v>4897</v>
      </c>
    </row>
    <row r="1494" spans="4:6" ht="12.75">
      <c r="D1494" s="53" t="s">
        <v>4898</v>
      </c>
      <c r="E1494" s="54" t="s">
        <v>4899</v>
      </c>
      <c r="F1494" s="55" t="s">
        <v>4900</v>
      </c>
    </row>
    <row r="1495" spans="4:6" ht="12.75">
      <c r="D1495" s="53" t="s">
        <v>4901</v>
      </c>
      <c r="E1495" s="54" t="s">
        <v>4902</v>
      </c>
      <c r="F1495" s="55" t="s">
        <v>4903</v>
      </c>
    </row>
    <row r="1496" spans="4:6" ht="12.75">
      <c r="D1496" s="53" t="s">
        <v>4904</v>
      </c>
      <c r="E1496" s="54" t="s">
        <v>4905</v>
      </c>
      <c r="F1496" s="55" t="s">
        <v>4906</v>
      </c>
    </row>
    <row r="1497" spans="4:6" ht="12.75">
      <c r="D1497" s="53" t="s">
        <v>4907</v>
      </c>
      <c r="E1497" s="54" t="s">
        <v>4908</v>
      </c>
      <c r="F1497" s="55" t="s">
        <v>4909</v>
      </c>
    </row>
    <row r="1498" spans="4:6" ht="12.75">
      <c r="D1498" s="53" t="s">
        <v>4910</v>
      </c>
      <c r="E1498" s="54" t="s">
        <v>4911</v>
      </c>
      <c r="F1498" s="55" t="s">
        <v>4912</v>
      </c>
    </row>
    <row r="1499" spans="4:6" ht="12.75">
      <c r="D1499" s="53" t="s">
        <v>4913</v>
      </c>
      <c r="E1499" s="54" t="s">
        <v>4914</v>
      </c>
      <c r="F1499" s="55" t="s">
        <v>4915</v>
      </c>
    </row>
    <row r="1500" spans="4:6" ht="12.75">
      <c r="D1500" s="53" t="s">
        <v>4916</v>
      </c>
      <c r="E1500" s="54" t="s">
        <v>4917</v>
      </c>
      <c r="F1500" s="55" t="s">
        <v>4918</v>
      </c>
    </row>
    <row r="1501" spans="4:6" ht="12.75">
      <c r="D1501" s="53" t="s">
        <v>4919</v>
      </c>
      <c r="E1501" s="54" t="s">
        <v>4920</v>
      </c>
      <c r="F1501" s="55" t="s">
        <v>4921</v>
      </c>
    </row>
    <row r="1502" spans="4:6" ht="12.75">
      <c r="D1502" s="53" t="s">
        <v>4922</v>
      </c>
      <c r="E1502" s="54" t="s">
        <v>4923</v>
      </c>
      <c r="F1502" s="55" t="s">
        <v>4924</v>
      </c>
    </row>
    <row r="1503" spans="4:6" ht="12.75">
      <c r="D1503" s="53" t="s">
        <v>4925</v>
      </c>
      <c r="E1503" s="54" t="s">
        <v>4926</v>
      </c>
      <c r="F1503" s="55" t="s">
        <v>4927</v>
      </c>
    </row>
    <row r="1504" spans="4:6" ht="12.75">
      <c r="D1504" s="53" t="s">
        <v>4928</v>
      </c>
      <c r="E1504" s="54" t="s">
        <v>4929</v>
      </c>
      <c r="F1504" s="55" t="s">
        <v>4930</v>
      </c>
    </row>
    <row r="1505" spans="4:6" ht="12.75">
      <c r="D1505" s="53" t="s">
        <v>4931</v>
      </c>
      <c r="E1505" s="54" t="s">
        <v>4932</v>
      </c>
      <c r="F1505" s="55" t="s">
        <v>4933</v>
      </c>
    </row>
    <row r="1506" spans="4:6" ht="12.75">
      <c r="D1506" s="53" t="s">
        <v>815</v>
      </c>
      <c r="E1506" s="54"/>
      <c r="F1506" s="55"/>
    </row>
    <row r="1507" spans="4:6" ht="12.75">
      <c r="D1507" s="53" t="s">
        <v>4934</v>
      </c>
      <c r="E1507" s="54" t="s">
        <v>4935</v>
      </c>
      <c r="F1507" s="55" t="s">
        <v>4936</v>
      </c>
    </row>
    <row r="1508" spans="4:6" ht="12.75">
      <c r="D1508" s="53" t="s">
        <v>4937</v>
      </c>
      <c r="E1508" s="54" t="s">
        <v>4938</v>
      </c>
      <c r="F1508" s="55" t="s">
        <v>4939</v>
      </c>
    </row>
    <row r="1509" spans="4:6" ht="12.75">
      <c r="D1509" s="53" t="s">
        <v>4940</v>
      </c>
      <c r="E1509" s="54" t="s">
        <v>4941</v>
      </c>
      <c r="F1509" s="55" t="s">
        <v>4942</v>
      </c>
    </row>
    <row r="1510" spans="4:6" ht="12.75">
      <c r="D1510" s="53" t="s">
        <v>4943</v>
      </c>
      <c r="E1510" s="54" t="s">
        <v>4944</v>
      </c>
      <c r="F1510" s="55" t="s">
        <v>4945</v>
      </c>
    </row>
    <row r="1511" spans="4:6" ht="12.75">
      <c r="D1511" s="53" t="s">
        <v>4946</v>
      </c>
      <c r="E1511" s="54" t="s">
        <v>4947</v>
      </c>
      <c r="F1511" s="55" t="s">
        <v>4948</v>
      </c>
    </row>
    <row r="1512" spans="4:6" ht="12.75">
      <c r="D1512" s="53" t="s">
        <v>4949</v>
      </c>
      <c r="E1512" s="54" t="s">
        <v>4950</v>
      </c>
      <c r="F1512" s="55" t="s">
        <v>4951</v>
      </c>
    </row>
    <row r="1513" spans="4:6" ht="12.75">
      <c r="D1513" s="53" t="s">
        <v>4952</v>
      </c>
      <c r="E1513" s="54" t="s">
        <v>4953</v>
      </c>
      <c r="F1513" s="55" t="s">
        <v>4954</v>
      </c>
    </row>
    <row r="1514" spans="4:6" ht="12.75">
      <c r="D1514" s="53" t="s">
        <v>4955</v>
      </c>
      <c r="E1514" s="54" t="s">
        <v>4956</v>
      </c>
      <c r="F1514" s="55" t="s">
        <v>4957</v>
      </c>
    </row>
    <row r="1515" spans="4:6" ht="12.75">
      <c r="D1515" s="53" t="s">
        <v>4958</v>
      </c>
      <c r="E1515" s="54" t="s">
        <v>4959</v>
      </c>
      <c r="F1515" s="55" t="s">
        <v>4960</v>
      </c>
    </row>
    <row r="1516" spans="4:6" ht="12.75">
      <c r="D1516" s="53" t="s">
        <v>4961</v>
      </c>
      <c r="E1516" s="54" t="s">
        <v>4962</v>
      </c>
      <c r="F1516" s="55" t="s">
        <v>4963</v>
      </c>
    </row>
    <row r="1517" spans="4:6" ht="12.75">
      <c r="D1517" s="53" t="s">
        <v>4964</v>
      </c>
      <c r="E1517" s="54" t="s">
        <v>4965</v>
      </c>
      <c r="F1517" s="55" t="s">
        <v>4966</v>
      </c>
    </row>
    <row r="1518" spans="4:6" ht="12.75">
      <c r="D1518" s="53" t="s">
        <v>4967</v>
      </c>
      <c r="E1518" s="54" t="s">
        <v>4968</v>
      </c>
      <c r="F1518" s="55" t="s">
        <v>4969</v>
      </c>
    </row>
    <row r="1519" spans="4:6" ht="12.75">
      <c r="D1519" s="53" t="s">
        <v>4970</v>
      </c>
      <c r="E1519" s="54" t="s">
        <v>4971</v>
      </c>
      <c r="F1519" s="55" t="s">
        <v>4972</v>
      </c>
    </row>
    <row r="1520" spans="4:6" ht="12.75">
      <c r="D1520" s="53" t="s">
        <v>4973</v>
      </c>
      <c r="E1520" s="54" t="s">
        <v>4974</v>
      </c>
      <c r="F1520" s="55" t="s">
        <v>4975</v>
      </c>
    </row>
    <row r="1521" spans="4:6" ht="12.75">
      <c r="D1521" s="53" t="s">
        <v>4976</v>
      </c>
      <c r="E1521" s="54" t="s">
        <v>4977</v>
      </c>
      <c r="F1521" s="55" t="s">
        <v>4978</v>
      </c>
    </row>
    <row r="1522" spans="4:6" ht="12.75">
      <c r="D1522" s="53" t="s">
        <v>4979</v>
      </c>
      <c r="E1522" s="54" t="s">
        <v>4980</v>
      </c>
      <c r="F1522" s="55" t="s">
        <v>4981</v>
      </c>
    </row>
    <row r="1523" spans="4:6" ht="12.75">
      <c r="D1523" s="53" t="s">
        <v>4982</v>
      </c>
      <c r="E1523" s="54" t="s">
        <v>4983</v>
      </c>
      <c r="F1523" s="55" t="s">
        <v>4984</v>
      </c>
    </row>
    <row r="1524" spans="4:6" ht="12.75">
      <c r="D1524" s="53" t="s">
        <v>4985</v>
      </c>
      <c r="E1524" s="54" t="s">
        <v>85</v>
      </c>
      <c r="F1524" s="55" t="s">
        <v>4986</v>
      </c>
    </row>
    <row r="1525" spans="4:6" ht="12.75">
      <c r="D1525" s="53" t="s">
        <v>4987</v>
      </c>
      <c r="E1525" s="54" t="s">
        <v>4988</v>
      </c>
      <c r="F1525" s="55" t="s">
        <v>4989</v>
      </c>
    </row>
    <row r="1526" spans="4:6" ht="12.75">
      <c r="D1526" s="53" t="s">
        <v>4990</v>
      </c>
      <c r="E1526" s="54" t="s">
        <v>4991</v>
      </c>
      <c r="F1526" s="55" t="s">
        <v>4992</v>
      </c>
    </row>
    <row r="1527" spans="4:6" ht="12.75">
      <c r="D1527" s="53" t="s">
        <v>4993</v>
      </c>
      <c r="E1527" s="54" t="s">
        <v>4994</v>
      </c>
      <c r="F1527" s="55" t="s">
        <v>4995</v>
      </c>
    </row>
    <row r="1528" spans="4:6" ht="12.75">
      <c r="D1528" s="53" t="s">
        <v>4996</v>
      </c>
      <c r="E1528" s="54" t="s">
        <v>4997</v>
      </c>
      <c r="F1528" s="55" t="s">
        <v>4998</v>
      </c>
    </row>
    <row r="1529" spans="4:6" ht="12.75">
      <c r="D1529" s="53" t="s">
        <v>4999</v>
      </c>
      <c r="E1529" s="54" t="s">
        <v>5000</v>
      </c>
      <c r="F1529" s="55" t="s">
        <v>5001</v>
      </c>
    </row>
    <row r="1530" spans="4:6" ht="12.75">
      <c r="D1530" s="53" t="s">
        <v>5002</v>
      </c>
      <c r="E1530" s="54" t="s">
        <v>5003</v>
      </c>
      <c r="F1530" s="55" t="s">
        <v>5004</v>
      </c>
    </row>
    <row r="1531" spans="4:6" ht="12.75">
      <c r="D1531" s="53" t="s">
        <v>5005</v>
      </c>
      <c r="E1531" s="54" t="s">
        <v>5006</v>
      </c>
      <c r="F1531" s="55" t="s">
        <v>5007</v>
      </c>
    </row>
    <row r="1532" spans="4:6" ht="12.75">
      <c r="D1532" s="53" t="s">
        <v>5008</v>
      </c>
      <c r="E1532" s="54" t="s">
        <v>5009</v>
      </c>
      <c r="F1532" s="55" t="s">
        <v>5010</v>
      </c>
    </row>
    <row r="1533" spans="4:6" ht="12.75">
      <c r="D1533" s="53" t="s">
        <v>5011</v>
      </c>
      <c r="E1533" s="54" t="s">
        <v>5012</v>
      </c>
      <c r="F1533" s="55" t="s">
        <v>5013</v>
      </c>
    </row>
    <row r="1534" spans="4:6" ht="12.75">
      <c r="D1534" s="53" t="s">
        <v>5014</v>
      </c>
      <c r="E1534" s="54" t="s">
        <v>5015</v>
      </c>
      <c r="F1534" s="55" t="s">
        <v>5016</v>
      </c>
    </row>
    <row r="1535" spans="4:6" ht="12.75">
      <c r="D1535" s="53" t="s">
        <v>5017</v>
      </c>
      <c r="E1535" s="54" t="s">
        <v>5018</v>
      </c>
      <c r="F1535" s="55" t="s">
        <v>5019</v>
      </c>
    </row>
    <row r="1536" spans="4:6" ht="12.75">
      <c r="D1536" s="53" t="s">
        <v>5020</v>
      </c>
      <c r="E1536" s="54" t="s">
        <v>5021</v>
      </c>
      <c r="F1536" s="55" t="s">
        <v>5022</v>
      </c>
    </row>
    <row r="1537" spans="4:6" ht="12.75">
      <c r="D1537" s="53" t="s">
        <v>5023</v>
      </c>
      <c r="E1537" s="54" t="s">
        <v>5024</v>
      </c>
      <c r="F1537" s="55" t="s">
        <v>5025</v>
      </c>
    </row>
    <row r="1538" spans="4:6" ht="12.75">
      <c r="D1538" s="53" t="s">
        <v>5026</v>
      </c>
      <c r="E1538" s="54" t="s">
        <v>5027</v>
      </c>
      <c r="F1538" s="55" t="s">
        <v>5028</v>
      </c>
    </row>
    <row r="1539" spans="4:6" ht="12.75">
      <c r="D1539" s="53" t="s">
        <v>5029</v>
      </c>
      <c r="E1539" s="54" t="s">
        <v>5030</v>
      </c>
      <c r="F1539" s="55" t="s">
        <v>5031</v>
      </c>
    </row>
    <row r="1540" spans="4:6" ht="12.75">
      <c r="D1540" s="53" t="s">
        <v>5032</v>
      </c>
      <c r="E1540" s="54" t="s">
        <v>5033</v>
      </c>
      <c r="F1540" s="55" t="s">
        <v>5034</v>
      </c>
    </row>
    <row r="1541" spans="4:6" ht="12.75">
      <c r="D1541" s="53" t="s">
        <v>5035</v>
      </c>
      <c r="E1541" s="54" t="s">
        <v>5036</v>
      </c>
      <c r="F1541" s="55" t="s">
        <v>5037</v>
      </c>
    </row>
    <row r="1542" spans="4:6" ht="12.75">
      <c r="D1542" s="53" t="s">
        <v>5038</v>
      </c>
      <c r="E1542" s="54" t="s">
        <v>5039</v>
      </c>
      <c r="F1542" s="55" t="s">
        <v>5040</v>
      </c>
    </row>
    <row r="1543" spans="4:6" ht="12.75">
      <c r="D1543" s="53" t="s">
        <v>5041</v>
      </c>
      <c r="E1543" s="54" t="s">
        <v>5042</v>
      </c>
      <c r="F1543" s="55" t="s">
        <v>5043</v>
      </c>
    </row>
    <row r="1544" spans="4:6" ht="12.75">
      <c r="D1544" s="53" t="s">
        <v>5044</v>
      </c>
      <c r="E1544" s="54" t="s">
        <v>5045</v>
      </c>
      <c r="F1544" s="55" t="s">
        <v>5046</v>
      </c>
    </row>
    <row r="1545" spans="4:6" ht="12.75">
      <c r="D1545" s="53" t="s">
        <v>5047</v>
      </c>
      <c r="E1545" s="54" t="s">
        <v>5048</v>
      </c>
      <c r="F1545" s="55" t="s">
        <v>5049</v>
      </c>
    </row>
    <row r="1546" spans="4:6" ht="12.75">
      <c r="D1546" s="53" t="s">
        <v>5050</v>
      </c>
      <c r="E1546" s="54" t="s">
        <v>5051</v>
      </c>
      <c r="F1546" s="55" t="s">
        <v>5052</v>
      </c>
    </row>
    <row r="1547" spans="4:6" ht="12.75">
      <c r="D1547" s="53" t="s">
        <v>5053</v>
      </c>
      <c r="E1547" s="54" t="s">
        <v>5054</v>
      </c>
      <c r="F1547" s="55" t="s">
        <v>5055</v>
      </c>
    </row>
    <row r="1548" spans="4:6" ht="12.75">
      <c r="D1548" s="53" t="s">
        <v>5056</v>
      </c>
      <c r="E1548" s="54" t="s">
        <v>5057</v>
      </c>
      <c r="F1548" s="55" t="s">
        <v>5058</v>
      </c>
    </row>
    <row r="1549" spans="4:6" ht="12.75">
      <c r="D1549" s="53" t="s">
        <v>5059</v>
      </c>
      <c r="E1549" s="54" t="s">
        <v>5060</v>
      </c>
      <c r="F1549" s="55" t="s">
        <v>5061</v>
      </c>
    </row>
    <row r="1550" spans="4:6" ht="12.75">
      <c r="D1550" s="53" t="s">
        <v>5062</v>
      </c>
      <c r="E1550" s="54" t="s">
        <v>5063</v>
      </c>
      <c r="F1550" s="55" t="s">
        <v>5064</v>
      </c>
    </row>
    <row r="1551" spans="4:6" ht="12.75">
      <c r="D1551" s="53" t="s">
        <v>5065</v>
      </c>
      <c r="E1551" s="54" t="s">
        <v>5066</v>
      </c>
      <c r="F1551" s="55" t="s">
        <v>5067</v>
      </c>
    </row>
    <row r="1552" spans="4:6" ht="12.75">
      <c r="D1552" s="53" t="s">
        <v>5068</v>
      </c>
      <c r="E1552" s="54" t="s">
        <v>5069</v>
      </c>
      <c r="F1552" s="55" t="s">
        <v>5070</v>
      </c>
    </row>
    <row r="1553" spans="4:6" ht="12.75">
      <c r="D1553" s="53" t="s">
        <v>5071</v>
      </c>
      <c r="E1553" s="54" t="s">
        <v>5072</v>
      </c>
      <c r="F1553" s="55" t="s">
        <v>5073</v>
      </c>
    </row>
    <row r="1554" spans="4:6" ht="12.75">
      <c r="D1554" s="53" t="s">
        <v>5074</v>
      </c>
      <c r="E1554" s="54" t="s">
        <v>5075</v>
      </c>
      <c r="F1554" s="55" t="s">
        <v>5076</v>
      </c>
    </row>
    <row r="1555" spans="4:6" ht="12.75">
      <c r="D1555" s="53" t="s">
        <v>5077</v>
      </c>
      <c r="E1555" s="54" t="s">
        <v>5078</v>
      </c>
      <c r="F1555" s="55" t="s">
        <v>5079</v>
      </c>
    </row>
    <row r="1556" spans="4:6" ht="12.75">
      <c r="D1556" s="53" t="s">
        <v>5080</v>
      </c>
      <c r="E1556" s="54" t="s">
        <v>5081</v>
      </c>
      <c r="F1556" s="55" t="s">
        <v>5082</v>
      </c>
    </row>
    <row r="1557" spans="4:6" ht="12.75">
      <c r="D1557" s="53" t="s">
        <v>5083</v>
      </c>
      <c r="E1557" s="54" t="s">
        <v>5084</v>
      </c>
      <c r="F1557" s="55" t="s">
        <v>5085</v>
      </c>
    </row>
    <row r="1558" spans="4:6" ht="12.75">
      <c r="D1558" s="53" t="s">
        <v>5086</v>
      </c>
      <c r="E1558" s="54" t="s">
        <v>5087</v>
      </c>
      <c r="F1558" s="55" t="s">
        <v>5088</v>
      </c>
    </row>
    <row r="1559" spans="4:6" ht="12.75">
      <c r="D1559" s="53" t="s">
        <v>5089</v>
      </c>
      <c r="E1559" s="54" t="s">
        <v>5090</v>
      </c>
      <c r="F1559" s="55" t="s">
        <v>5091</v>
      </c>
    </row>
    <row r="1560" spans="4:6" ht="12.75">
      <c r="D1560" s="53" t="s">
        <v>5092</v>
      </c>
      <c r="E1560" s="54" t="s">
        <v>5093</v>
      </c>
      <c r="F1560" s="55" t="s">
        <v>5094</v>
      </c>
    </row>
    <row r="1561" spans="4:6" ht="12.75">
      <c r="D1561" s="53" t="s">
        <v>5095</v>
      </c>
      <c r="E1561" s="54" t="s">
        <v>5096</v>
      </c>
      <c r="F1561" s="55" t="s">
        <v>5097</v>
      </c>
    </row>
    <row r="1562" spans="4:6" ht="12.75">
      <c r="D1562" s="53" t="s">
        <v>5098</v>
      </c>
      <c r="E1562" s="54" t="s">
        <v>5099</v>
      </c>
      <c r="F1562" s="55" t="s">
        <v>5100</v>
      </c>
    </row>
    <row r="1563" spans="4:6" ht="12.75">
      <c r="D1563" s="53" t="s">
        <v>5101</v>
      </c>
      <c r="E1563" s="54" t="s">
        <v>5102</v>
      </c>
      <c r="F1563" s="55" t="s">
        <v>5103</v>
      </c>
    </row>
    <row r="1564" spans="4:6" ht="12.75">
      <c r="D1564" s="53" t="s">
        <v>5104</v>
      </c>
      <c r="E1564" s="54" t="s">
        <v>5105</v>
      </c>
      <c r="F1564" s="55" t="s">
        <v>5106</v>
      </c>
    </row>
    <row r="1565" spans="4:6" ht="12.75">
      <c r="D1565" s="53" t="s">
        <v>5107</v>
      </c>
      <c r="E1565" s="54" t="s">
        <v>5108</v>
      </c>
      <c r="F1565" s="55" t="s">
        <v>5109</v>
      </c>
    </row>
    <row r="1566" spans="4:6" ht="12.75">
      <c r="D1566" s="53" t="s">
        <v>5110</v>
      </c>
      <c r="E1566" s="54" t="s">
        <v>5111</v>
      </c>
      <c r="F1566" s="55" t="s">
        <v>5112</v>
      </c>
    </row>
    <row r="1567" spans="4:6" ht="12.75">
      <c r="D1567" s="53" t="s">
        <v>5113</v>
      </c>
      <c r="E1567" s="54" t="s">
        <v>5114</v>
      </c>
      <c r="F1567" s="55" t="s">
        <v>5115</v>
      </c>
    </row>
    <row r="1568" spans="4:6" ht="12.75">
      <c r="D1568" s="53" t="s">
        <v>5116</v>
      </c>
      <c r="E1568" s="54" t="s">
        <v>5117</v>
      </c>
      <c r="F1568" s="55" t="s">
        <v>5118</v>
      </c>
    </row>
    <row r="1569" spans="4:6" ht="12.75">
      <c r="D1569" s="53" t="s">
        <v>5119</v>
      </c>
      <c r="E1569" s="54" t="s">
        <v>5120</v>
      </c>
      <c r="F1569" s="55" t="s">
        <v>5121</v>
      </c>
    </row>
    <row r="1570" spans="4:6" ht="12.75">
      <c r="D1570" s="53" t="s">
        <v>5122</v>
      </c>
      <c r="E1570" s="54" t="s">
        <v>5123</v>
      </c>
      <c r="F1570" s="55" t="s">
        <v>5124</v>
      </c>
    </row>
    <row r="1571" spans="4:6" ht="12.75">
      <c r="D1571" s="53" t="s">
        <v>5125</v>
      </c>
      <c r="E1571" s="54" t="s">
        <v>5126</v>
      </c>
      <c r="F1571" s="55" t="s">
        <v>5127</v>
      </c>
    </row>
    <row r="1572" spans="4:6" ht="12.75">
      <c r="D1572" s="53" t="s">
        <v>5128</v>
      </c>
      <c r="E1572" s="54" t="s">
        <v>5129</v>
      </c>
      <c r="F1572" s="55" t="s">
        <v>5130</v>
      </c>
    </row>
    <row r="1573" spans="4:6" ht="12.75">
      <c r="D1573" s="53" t="s">
        <v>5131</v>
      </c>
      <c r="E1573" s="54" t="s">
        <v>5132</v>
      </c>
      <c r="F1573" s="55" t="s">
        <v>5133</v>
      </c>
    </row>
    <row r="1574" spans="4:6" ht="12.75">
      <c r="D1574" s="53" t="s">
        <v>5134</v>
      </c>
      <c r="E1574" s="54" t="s">
        <v>5135</v>
      </c>
      <c r="F1574" s="55" t="s">
        <v>5136</v>
      </c>
    </row>
    <row r="1575" spans="4:6" ht="12.75">
      <c r="D1575" s="53" t="s">
        <v>5137</v>
      </c>
      <c r="E1575" s="54" t="s">
        <v>5138</v>
      </c>
      <c r="F1575" s="55" t="s">
        <v>5139</v>
      </c>
    </row>
    <row r="1576" spans="4:6" ht="12.75">
      <c r="D1576" s="53" t="s">
        <v>5140</v>
      </c>
      <c r="E1576" s="54" t="s">
        <v>5141</v>
      </c>
      <c r="F1576" s="55" t="s">
        <v>5142</v>
      </c>
    </row>
    <row r="1577" spans="4:6" ht="12.75">
      <c r="D1577" s="53" t="s">
        <v>5143</v>
      </c>
      <c r="E1577" s="54" t="s">
        <v>5144</v>
      </c>
      <c r="F1577" s="55" t="s">
        <v>5145</v>
      </c>
    </row>
    <row r="1578" spans="4:6" ht="12.75">
      <c r="D1578" s="53" t="s">
        <v>5146</v>
      </c>
      <c r="E1578" s="54" t="s">
        <v>5147</v>
      </c>
      <c r="F1578" s="55" t="s">
        <v>5148</v>
      </c>
    </row>
    <row r="1579" spans="4:6" ht="12.75">
      <c r="D1579" s="53" t="s">
        <v>5149</v>
      </c>
      <c r="E1579" s="54" t="s">
        <v>5150</v>
      </c>
      <c r="F1579" s="55" t="s">
        <v>5151</v>
      </c>
    </row>
    <row r="1580" spans="4:6" ht="12.75">
      <c r="D1580" s="53" t="s">
        <v>5152</v>
      </c>
      <c r="E1580" s="54" t="s">
        <v>5153</v>
      </c>
      <c r="F1580" s="55" t="s">
        <v>5154</v>
      </c>
    </row>
    <row r="1581" spans="4:6" ht="12.75">
      <c r="D1581" s="53" t="s">
        <v>5155</v>
      </c>
      <c r="E1581" s="54" t="s">
        <v>5156</v>
      </c>
      <c r="F1581" s="55" t="s">
        <v>5157</v>
      </c>
    </row>
    <row r="1582" spans="4:6" ht="12.75">
      <c r="D1582" s="53" t="s">
        <v>5158</v>
      </c>
      <c r="E1582" s="54" t="s">
        <v>5159</v>
      </c>
      <c r="F1582" s="55" t="s">
        <v>5160</v>
      </c>
    </row>
    <row r="1583" spans="4:6" ht="12.75">
      <c r="D1583" s="53" t="s">
        <v>5161</v>
      </c>
      <c r="E1583" s="54" t="s">
        <v>5162</v>
      </c>
      <c r="F1583" s="55" t="s">
        <v>5163</v>
      </c>
    </row>
    <row r="1584" spans="4:6" ht="12.75">
      <c r="D1584" s="53" t="s">
        <v>5164</v>
      </c>
      <c r="E1584" s="54" t="s">
        <v>5165</v>
      </c>
      <c r="F1584" s="55" t="s">
        <v>5166</v>
      </c>
    </row>
    <row r="1585" spans="4:6" ht="12.75">
      <c r="D1585" s="53" t="s">
        <v>5167</v>
      </c>
      <c r="E1585" s="54" t="s">
        <v>5168</v>
      </c>
      <c r="F1585" s="55" t="s">
        <v>5169</v>
      </c>
    </row>
    <row r="1586" spans="4:6" ht="12.75">
      <c r="D1586" s="53" t="s">
        <v>5170</v>
      </c>
      <c r="E1586" s="54" t="s">
        <v>5171</v>
      </c>
      <c r="F1586" s="55" t="s">
        <v>5172</v>
      </c>
    </row>
    <row r="1587" spans="4:6" ht="12.75">
      <c r="D1587" s="53" t="s">
        <v>5173</v>
      </c>
      <c r="E1587" s="54" t="s">
        <v>5174</v>
      </c>
      <c r="F1587" s="55" t="s">
        <v>5175</v>
      </c>
    </row>
    <row r="1588" spans="4:6" ht="12.75">
      <c r="D1588" s="53" t="s">
        <v>5176</v>
      </c>
      <c r="E1588" s="54" t="s">
        <v>5177</v>
      </c>
      <c r="F1588" s="55" t="s">
        <v>5178</v>
      </c>
    </row>
    <row r="1589" spans="4:6" ht="12.75">
      <c r="D1589" s="53" t="s">
        <v>5179</v>
      </c>
      <c r="E1589" s="54" t="s">
        <v>5180</v>
      </c>
      <c r="F1589" s="55" t="s">
        <v>5181</v>
      </c>
    </row>
    <row r="1590" spans="4:6" ht="12.75">
      <c r="D1590" s="53" t="s">
        <v>5182</v>
      </c>
      <c r="E1590" s="54" t="s">
        <v>5183</v>
      </c>
      <c r="F1590" s="55" t="s">
        <v>5184</v>
      </c>
    </row>
    <row r="1591" spans="4:6" ht="12.75">
      <c r="D1591" s="53" t="s">
        <v>5185</v>
      </c>
      <c r="E1591" s="54" t="s">
        <v>5186</v>
      </c>
      <c r="F1591" s="55" t="s">
        <v>5187</v>
      </c>
    </row>
    <row r="1592" spans="4:6" ht="12.75">
      <c r="D1592" s="53" t="s">
        <v>5188</v>
      </c>
      <c r="E1592" s="54" t="s">
        <v>5189</v>
      </c>
      <c r="F1592" s="55" t="s">
        <v>5190</v>
      </c>
    </row>
    <row r="1593" spans="4:6" ht="12.75">
      <c r="D1593" s="53" t="s">
        <v>5191</v>
      </c>
      <c r="E1593" s="54" t="s">
        <v>5192</v>
      </c>
      <c r="F1593" s="55" t="s">
        <v>5193</v>
      </c>
    </row>
    <row r="1594" spans="4:6" ht="12.75">
      <c r="D1594" s="53" t="s">
        <v>5194</v>
      </c>
      <c r="E1594" s="54" t="s">
        <v>5195</v>
      </c>
      <c r="F1594" s="55" t="s">
        <v>5196</v>
      </c>
    </row>
    <row r="1595" spans="4:6" ht="12.75">
      <c r="D1595" s="53" t="s">
        <v>5197</v>
      </c>
      <c r="E1595" s="54" t="s">
        <v>5198</v>
      </c>
      <c r="F1595" s="55" t="s">
        <v>5199</v>
      </c>
    </row>
    <row r="1596" spans="4:6" ht="12.75">
      <c r="D1596" s="53" t="s">
        <v>5200</v>
      </c>
      <c r="E1596" s="54" t="s">
        <v>5201</v>
      </c>
      <c r="F1596" s="55" t="s">
        <v>5202</v>
      </c>
    </row>
    <row r="1597" spans="4:6" ht="12.75">
      <c r="D1597" s="53" t="s">
        <v>5203</v>
      </c>
      <c r="E1597" s="54" t="s">
        <v>5204</v>
      </c>
      <c r="F1597" s="55" t="s">
        <v>5205</v>
      </c>
    </row>
    <row r="1598" spans="4:6" ht="12.75">
      <c r="D1598" s="53" t="s">
        <v>5206</v>
      </c>
      <c r="E1598" s="54" t="s">
        <v>5207</v>
      </c>
      <c r="F1598" s="55" t="s">
        <v>5208</v>
      </c>
    </row>
    <row r="1599" spans="4:6" ht="12.75">
      <c r="D1599" s="53" t="s">
        <v>5209</v>
      </c>
      <c r="E1599" s="54" t="s">
        <v>5210</v>
      </c>
      <c r="F1599" s="58" t="s">
        <v>5211</v>
      </c>
    </row>
    <row r="1600" spans="4:6" ht="12.75">
      <c r="D1600" s="53" t="s">
        <v>5212</v>
      </c>
      <c r="E1600" s="54" t="s">
        <v>5213</v>
      </c>
      <c r="F1600" s="55" t="s">
        <v>5214</v>
      </c>
    </row>
    <row r="1601" spans="4:6" ht="12.75">
      <c r="D1601" s="53" t="s">
        <v>5215</v>
      </c>
      <c r="E1601" s="54" t="s">
        <v>101</v>
      </c>
      <c r="F1601" s="55" t="s">
        <v>5216</v>
      </c>
    </row>
    <row r="1602" spans="4:6" ht="12.75">
      <c r="D1602" s="53" t="s">
        <v>5217</v>
      </c>
      <c r="E1602" s="54" t="s">
        <v>44</v>
      </c>
      <c r="F1602" s="55" t="s">
        <v>5218</v>
      </c>
    </row>
    <row r="1603" spans="4:6" ht="12.75">
      <c r="D1603" s="53" t="s">
        <v>5219</v>
      </c>
      <c r="E1603" s="54" t="s">
        <v>5220</v>
      </c>
      <c r="F1603" s="55" t="s">
        <v>5221</v>
      </c>
    </row>
    <row r="1604" spans="4:6" ht="12.75">
      <c r="D1604" s="53" t="s">
        <v>5222</v>
      </c>
      <c r="E1604" s="54" t="s">
        <v>5223</v>
      </c>
      <c r="F1604" s="55" t="s">
        <v>5224</v>
      </c>
    </row>
    <row r="1605" spans="4:6" ht="12.75">
      <c r="D1605" s="53" t="s">
        <v>5225</v>
      </c>
      <c r="E1605" s="54" t="s">
        <v>5226</v>
      </c>
      <c r="F1605" s="55" t="s">
        <v>5227</v>
      </c>
    </row>
    <row r="1606" spans="4:6" ht="12.75">
      <c r="D1606" s="53" t="s">
        <v>5228</v>
      </c>
      <c r="E1606" s="54" t="s">
        <v>5229</v>
      </c>
      <c r="F1606" s="55" t="s">
        <v>5230</v>
      </c>
    </row>
    <row r="1607" spans="4:6" ht="12.75">
      <c r="D1607" s="53" t="s">
        <v>5231</v>
      </c>
      <c r="E1607" s="54" t="s">
        <v>5232</v>
      </c>
      <c r="F1607" s="55" t="s">
        <v>5233</v>
      </c>
    </row>
    <row r="1608" spans="4:6" ht="12.75">
      <c r="D1608" s="53" t="s">
        <v>5234</v>
      </c>
      <c r="E1608" s="54" t="s">
        <v>5235</v>
      </c>
      <c r="F1608" s="54" t="s">
        <v>5236</v>
      </c>
    </row>
    <row r="1609" spans="4:6" ht="12.75">
      <c r="D1609" s="53" t="s">
        <v>5237</v>
      </c>
      <c r="E1609" s="54" t="s">
        <v>5238</v>
      </c>
      <c r="F1609" s="55" t="s">
        <v>5239</v>
      </c>
    </row>
    <row r="1610" spans="4:6" ht="12.75">
      <c r="D1610" s="53" t="s">
        <v>5240</v>
      </c>
      <c r="E1610" s="54" t="s">
        <v>5241</v>
      </c>
      <c r="F1610" s="55" t="s">
        <v>5242</v>
      </c>
    </row>
    <row r="1611" spans="4:6" ht="12.75">
      <c r="D1611" s="53" t="s">
        <v>5243</v>
      </c>
      <c r="E1611" s="54" t="s">
        <v>5244</v>
      </c>
      <c r="F1611" s="55" t="s">
        <v>5245</v>
      </c>
    </row>
    <row r="1612" spans="4:6" ht="12.75">
      <c r="D1612" s="53" t="s">
        <v>5246</v>
      </c>
      <c r="E1612" s="54" t="s">
        <v>5247</v>
      </c>
      <c r="F1612" s="54" t="s">
        <v>5248</v>
      </c>
    </row>
    <row r="1613" spans="4:6" ht="12.75">
      <c r="D1613" s="53" t="s">
        <v>5249</v>
      </c>
      <c r="E1613" s="54" t="s">
        <v>5250</v>
      </c>
      <c r="F1613" s="55" t="s">
        <v>5251</v>
      </c>
    </row>
    <row r="1614" spans="4:6" ht="12.75">
      <c r="D1614" s="53" t="s">
        <v>5252</v>
      </c>
      <c r="E1614" s="54" t="s">
        <v>5253</v>
      </c>
      <c r="F1614" s="55" t="s">
        <v>5254</v>
      </c>
    </row>
    <row r="1615" spans="4:6" ht="12.75">
      <c r="D1615" s="53" t="s">
        <v>5255</v>
      </c>
      <c r="E1615" s="54" t="s">
        <v>5256</v>
      </c>
      <c r="F1615" s="55" t="s">
        <v>5257</v>
      </c>
    </row>
    <row r="1616" spans="4:6" ht="12.75">
      <c r="D1616" s="53" t="s">
        <v>5258</v>
      </c>
      <c r="E1616" s="54" t="s">
        <v>5259</v>
      </c>
      <c r="F1616" s="55" t="s">
        <v>5260</v>
      </c>
    </row>
    <row r="1617" spans="4:6" ht="12.75">
      <c r="D1617" s="53" t="s">
        <v>5261</v>
      </c>
      <c r="E1617" s="54" t="s">
        <v>5262</v>
      </c>
      <c r="F1617" s="55" t="s">
        <v>5263</v>
      </c>
    </row>
    <row r="1618" spans="4:6" ht="12.75">
      <c r="D1618" s="53" t="s">
        <v>5264</v>
      </c>
      <c r="E1618" s="54" t="s">
        <v>5265</v>
      </c>
      <c r="F1618" s="55" t="s">
        <v>5266</v>
      </c>
    </row>
  </sheetData>
  <hyperlinks>
    <hyperlink ref="F222" r:id="rId1" xr:uid="{00000000-0004-0000-0800-000000000000}"/>
    <hyperlink ref="F233" r:id="rId2" xr:uid="{00000000-0004-0000-0800-000001000000}"/>
    <hyperlink ref="F235" r:id="rId3" xr:uid="{00000000-0004-0000-0800-000002000000}"/>
    <hyperlink ref="F299" r:id="rId4" xr:uid="{00000000-0004-0000-0800-000003000000}"/>
    <hyperlink ref="F367" r:id="rId5" xr:uid="{00000000-0004-0000-0800-000004000000}"/>
    <hyperlink ref="F394" r:id="rId6" xr:uid="{00000000-0004-0000-0800-000005000000}"/>
    <hyperlink ref="F715" r:id="rId7" xr:uid="{00000000-0004-0000-0800-000006000000}"/>
    <hyperlink ref="F839" r:id="rId8" xr:uid="{00000000-0004-0000-0800-000007000000}"/>
    <hyperlink ref="F899" r:id="rId9" xr:uid="{00000000-0004-0000-0800-000008000000}"/>
    <hyperlink ref="F931" r:id="rId10" xr:uid="{00000000-0004-0000-0800-000009000000}"/>
    <hyperlink ref="F948" r:id="rId11" xr:uid="{00000000-0004-0000-0800-00000A000000}"/>
    <hyperlink ref="F1002" r:id="rId12" xr:uid="{00000000-0004-0000-0800-00000B000000}"/>
    <hyperlink ref="F1046" r:id="rId13" xr:uid="{00000000-0004-0000-0800-00000C000000}"/>
    <hyperlink ref="F1061" r:id="rId14" xr:uid="{00000000-0004-0000-0800-00000D000000}"/>
    <hyperlink ref="F1069" r:id="rId15" xr:uid="{00000000-0004-0000-0800-00000E000000}"/>
    <hyperlink ref="F1075" r:id="rId16" xr:uid="{00000000-0004-0000-0800-00000F000000}"/>
    <hyperlink ref="F1107" r:id="rId17" xr:uid="{00000000-0004-0000-0800-000010000000}"/>
    <hyperlink ref="F1124" r:id="rId18" xr:uid="{00000000-0004-0000-0800-000011000000}"/>
    <hyperlink ref="F1140" r:id="rId19" xr:uid="{00000000-0004-0000-0800-000012000000}"/>
    <hyperlink ref="F1150" r:id="rId20" xr:uid="{00000000-0004-0000-0800-000013000000}"/>
    <hyperlink ref="F1173" r:id="rId21" xr:uid="{00000000-0004-0000-0800-000014000000}"/>
    <hyperlink ref="F1198" r:id="rId22" xr:uid="{00000000-0004-0000-0800-000015000000}"/>
    <hyperlink ref="F1260" r:id="rId23" xr:uid="{00000000-0004-0000-0800-000016000000}"/>
    <hyperlink ref="F1599" r:id="rId24" xr:uid="{00000000-0004-0000-0800-000017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Preguntas 3 tests FINAL_v1</vt:lpstr>
      <vt:lpstr>Tema 1</vt:lpstr>
      <vt:lpstr>Tema 2</vt:lpstr>
      <vt:lpstr>Tema 3</vt:lpstr>
      <vt:lpstr>Tema 4</vt:lpstr>
      <vt:lpstr>Tema 5</vt:lpstr>
      <vt:lpstr>Eval Domain Owner</vt:lpstr>
      <vt:lpstr>Eval SubDomain  SMEs</vt:lpstr>
      <vt:lpstr>NO SE QUE ES ESTE TAB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Carrandi Esmenjaud Marcelo</dc:creator>
  <cp:lastModifiedBy>Lenovo T480</cp:lastModifiedBy>
  <dcterms:created xsi:type="dcterms:W3CDTF">2019-05-28T18:39:45Z</dcterms:created>
  <dcterms:modified xsi:type="dcterms:W3CDTF">2019-07-25T19:03:12Z</dcterms:modified>
</cp:coreProperties>
</file>