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Lenovo\Downloads\"/>
    </mc:Choice>
  </mc:AlternateContent>
  <xr:revisionPtr revIDLastSave="0" documentId="13_ncr:1_{81675BAC-0848-4BF5-9E22-381D8EB0183E}" xr6:coauthVersionLast="46" xr6:coauthVersionMax="46" xr10:uidLastSave="{00000000-0000-0000-0000-000000000000}"/>
  <bookViews>
    <workbookView xWindow="-120" yWindow="-120" windowWidth="20730" windowHeight="11160" xr2:uid="{00000000-000D-0000-FFFF-FFFF00000000}"/>
  </bookViews>
  <sheets>
    <sheet name="Preguntas 3 tests FINAL_v1" sheetId="9" r:id="rId1"/>
    <sheet name="Eval Domain Owner" sheetId="13" state="hidden" r:id="rId2"/>
    <sheet name="Eval SubDomain  SMEs" sheetId="14" state="hidden" r:id="rId3"/>
    <sheet name="NO SE QUE ES ESTE TAB" sheetId="15" state="hidden" r:id="rId4"/>
  </sheets>
  <functionGroups builtInGroupCount="19"/>
  <definedNames>
    <definedName name="_xlnm._FilterDatabase" localSheetId="0" hidden="1">'Preguntas 3 tests FINAL_v1'!$A$2:$M$18</definedName>
    <definedName name="Z_E79D1D05_9F65_4414_A4D1_ED3DAE422003_.wvu.FilterData" localSheetId="1" hidden="1">'Eval Domain Owner'!$A$1:$I$129</definedName>
    <definedName name="Z_E79D1D05_9F65_4414_A4D1_ED3DAE422003_.wvu.FilterData" localSheetId="2" hidden="1">'Eval SubDomain  SMEs'!$A$1:$M$159</definedName>
  </definedNames>
  <calcPr calcId="191029"/>
  <customWorkbookViews>
    <customWorkbookView name="Filtro 4" guid="{3445A2BE-16C2-44C6-BCA5-EEFCD91AFF21}" maximized="1" windowWidth="0" windowHeight="0" activeSheetId="0"/>
    <customWorkbookView name="Filtro 5" guid="{4E17505F-4C12-47D2-B639-F1C412C1B6BB}" maximized="1" windowWidth="0" windowHeight="0" activeSheetId="0"/>
    <customWorkbookView name="Filtro 6" guid="{E8EDA9C7-A2B3-4824-A830-79912FE78799}" maximized="1" windowWidth="0" windowHeight="0" activeSheetId="0"/>
    <customWorkbookView name="Filtro 7" guid="{50E3FB63-9058-4352-8E6E-647301CD34DC}" maximized="1" windowWidth="0" windowHeight="0" activeSheetId="0"/>
    <customWorkbookView name="Filtro 1" guid="{E79D1D05-9F65-4414-A4D1-ED3DAE422003}" maximized="1" windowWidth="0" windowHeight="0" activeSheetId="0"/>
    <customWorkbookView name="Filtro 2" guid="{A8439AD7-E020-4935-9927-AAA8CB2EAD3D}" maximized="1" windowWidth="0" windowHeight="0" activeSheetId="0"/>
    <customWorkbookView name="Filtro 3" guid="{8C2621F3-E9CA-4D7E-B34D-A7272AD52BD6}"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K38" i="9" l="1"/>
  <c r="L38" i="9"/>
  <c r="K39" i="9"/>
  <c r="L39" i="9"/>
  <c r="K40" i="9"/>
  <c r="L40" i="9"/>
  <c r="K41" i="9"/>
  <c r="L41" i="9"/>
  <c r="K42" i="9"/>
  <c r="L42" i="9"/>
  <c r="K43" i="9"/>
  <c r="L43" i="9"/>
  <c r="K44" i="9"/>
  <c r="L44" i="9"/>
  <c r="K45" i="9"/>
  <c r="L45" i="9"/>
  <c r="K46" i="9"/>
  <c r="L46" i="9"/>
  <c r="K47" i="9"/>
  <c r="L47" i="9"/>
  <c r="K48" i="9"/>
  <c r="L48" i="9"/>
  <c r="K49" i="9"/>
  <c r="L49" i="9"/>
  <c r="K50" i="9"/>
  <c r="L50" i="9"/>
  <c r="K51" i="9"/>
  <c r="L51" i="9"/>
  <c r="K52" i="9"/>
  <c r="L52" i="9"/>
  <c r="K53" i="9"/>
  <c r="L53" i="9"/>
  <c r="K54" i="9"/>
  <c r="L54" i="9"/>
  <c r="K55" i="9"/>
  <c r="L55" i="9"/>
  <c r="K56" i="9"/>
  <c r="L56" i="9"/>
  <c r="K57" i="9"/>
  <c r="L57" i="9"/>
  <c r="K58" i="9"/>
  <c r="L58" i="9"/>
  <c r="K59" i="9"/>
  <c r="L59" i="9"/>
  <c r="K60" i="9"/>
  <c r="L60" i="9"/>
  <c r="K61" i="9"/>
  <c r="L61" i="9"/>
  <c r="K62" i="9"/>
  <c r="L62" i="9"/>
  <c r="K63" i="9"/>
  <c r="L63" i="9"/>
  <c r="K64" i="9"/>
  <c r="L64" i="9"/>
  <c r="K65" i="9"/>
  <c r="L65" i="9"/>
  <c r="K66" i="9"/>
  <c r="L66" i="9"/>
  <c r="K67" i="9"/>
  <c r="L67" i="9"/>
  <c r="K68" i="9"/>
  <c r="L68" i="9"/>
  <c r="L37" i="9"/>
  <c r="K37" i="9"/>
  <c r="E38" i="9"/>
  <c r="F38" i="9"/>
  <c r="G38" i="9"/>
  <c r="E39" i="9"/>
  <c r="F39" i="9"/>
  <c r="G39" i="9"/>
  <c r="E40" i="9"/>
  <c r="F40" i="9"/>
  <c r="G40" i="9"/>
  <c r="E41" i="9"/>
  <c r="F41" i="9"/>
  <c r="G41" i="9"/>
  <c r="E42" i="9"/>
  <c r="F42" i="9"/>
  <c r="G42" i="9"/>
  <c r="E43" i="9"/>
  <c r="F43" i="9"/>
  <c r="G43" i="9"/>
  <c r="E44" i="9"/>
  <c r="F44" i="9"/>
  <c r="G44" i="9"/>
  <c r="E45" i="9"/>
  <c r="F45" i="9"/>
  <c r="G45" i="9"/>
  <c r="E46" i="9"/>
  <c r="F46" i="9"/>
  <c r="G46" i="9"/>
  <c r="E47" i="9"/>
  <c r="F47" i="9"/>
  <c r="G47" i="9"/>
  <c r="E48" i="9"/>
  <c r="F48" i="9"/>
  <c r="G48" i="9"/>
  <c r="E49" i="9"/>
  <c r="F49" i="9"/>
  <c r="G49" i="9"/>
  <c r="E50" i="9"/>
  <c r="F50" i="9"/>
  <c r="G50" i="9"/>
  <c r="E51" i="9"/>
  <c r="F51" i="9"/>
  <c r="G51" i="9"/>
  <c r="E52" i="9"/>
  <c r="F52" i="9"/>
  <c r="G52" i="9"/>
  <c r="E53" i="9"/>
  <c r="F53" i="9"/>
  <c r="G53" i="9"/>
  <c r="E54" i="9"/>
  <c r="F54" i="9"/>
  <c r="G54" i="9"/>
  <c r="E55" i="9"/>
  <c r="F55" i="9"/>
  <c r="G55" i="9"/>
  <c r="E56" i="9"/>
  <c r="F56" i="9"/>
  <c r="G56" i="9"/>
  <c r="E57" i="9"/>
  <c r="F57" i="9"/>
  <c r="G57" i="9"/>
  <c r="E58" i="9"/>
  <c r="F58" i="9"/>
  <c r="G58" i="9"/>
  <c r="E59" i="9"/>
  <c r="F59" i="9"/>
  <c r="G59" i="9"/>
  <c r="E60" i="9"/>
  <c r="F60" i="9"/>
  <c r="G60" i="9"/>
  <c r="E61" i="9"/>
  <c r="F61" i="9"/>
  <c r="G61" i="9"/>
  <c r="E62" i="9"/>
  <c r="F62" i="9"/>
  <c r="G62" i="9"/>
  <c r="E63" i="9"/>
  <c r="F63" i="9"/>
  <c r="G63" i="9"/>
  <c r="E64" i="9"/>
  <c r="F64" i="9"/>
  <c r="G64" i="9"/>
  <c r="E65" i="9"/>
  <c r="F65" i="9"/>
  <c r="G65" i="9"/>
  <c r="E66" i="9"/>
  <c r="F66" i="9"/>
  <c r="G66" i="9"/>
  <c r="E67" i="9"/>
  <c r="F67" i="9"/>
  <c r="G67" i="9"/>
  <c r="E68" i="9"/>
  <c r="F68" i="9"/>
  <c r="G68" i="9"/>
  <c r="G37" i="9"/>
  <c r="F37" i="9"/>
  <c r="E37" i="9"/>
  <c r="D44" i="9"/>
  <c r="D45" i="9"/>
  <c r="D46" i="9"/>
  <c r="D47" i="9"/>
  <c r="D48" i="9"/>
  <c r="D49" i="9"/>
  <c r="D50" i="9"/>
  <c r="D51" i="9"/>
  <c r="D52" i="9"/>
  <c r="D53" i="9"/>
  <c r="D54" i="9"/>
  <c r="D55" i="9"/>
  <c r="D56" i="9"/>
  <c r="D57" i="9"/>
  <c r="D58" i="9"/>
  <c r="D59" i="9"/>
  <c r="D60" i="9"/>
  <c r="D61" i="9"/>
  <c r="D62" i="9"/>
  <c r="D63" i="9"/>
  <c r="D64" i="9"/>
  <c r="D65" i="9"/>
  <c r="D66" i="9"/>
  <c r="D67" i="9"/>
  <c r="D68"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37" i="9"/>
  <c r="D38" i="9"/>
  <c r="D39" i="9"/>
  <c r="D40" i="9"/>
  <c r="D41" i="9"/>
  <c r="D42" i="9"/>
  <c r="D43" i="9"/>
  <c r="D37" i="9"/>
  <c r="L70" i="9" l="1"/>
  <c r="K70" i="9"/>
  <c r="E70" i="9"/>
  <c r="F70" i="9"/>
  <c r="G70" i="9"/>
  <c r="D70" i="9"/>
  <c r="C70" i="9"/>
  <c r="M159" i="14"/>
  <c r="J159" i="14"/>
  <c r="E159" i="14"/>
  <c r="M158" i="14"/>
  <c r="J158" i="14"/>
  <c r="E158" i="14"/>
  <c r="M157" i="14"/>
  <c r="J157" i="14"/>
  <c r="E157" i="14"/>
  <c r="M156" i="14"/>
  <c r="J156" i="14"/>
  <c r="E156" i="14"/>
  <c r="M155" i="14"/>
  <c r="J155" i="14"/>
  <c r="E155" i="14"/>
  <c r="M154" i="14"/>
  <c r="J154" i="14"/>
  <c r="E154" i="14"/>
  <c r="M153" i="14"/>
  <c r="J153" i="14"/>
  <c r="E153" i="14"/>
  <c r="M152" i="14"/>
  <c r="J152" i="14"/>
  <c r="E152" i="14"/>
  <c r="M151" i="14"/>
  <c r="J151" i="14"/>
  <c r="E151" i="14"/>
  <c r="M150" i="14"/>
  <c r="J150" i="14"/>
  <c r="E150" i="14"/>
  <c r="M149" i="14"/>
  <c r="J149" i="14"/>
  <c r="E149" i="14"/>
  <c r="M148" i="14"/>
  <c r="J148" i="14"/>
  <c r="E148" i="14"/>
  <c r="M147" i="14"/>
  <c r="J147" i="14"/>
  <c r="E147" i="14"/>
  <c r="M146" i="14"/>
  <c r="J146" i="14"/>
  <c r="E146" i="14"/>
  <c r="M145" i="14"/>
  <c r="J145" i="14"/>
  <c r="E145" i="14"/>
  <c r="M144" i="14"/>
  <c r="J144" i="14"/>
  <c r="E144" i="14"/>
  <c r="M143" i="14"/>
  <c r="J143" i="14"/>
  <c r="E143" i="14"/>
  <c r="M142" i="14"/>
  <c r="J142" i="14"/>
  <c r="E142" i="14"/>
  <c r="M141" i="14"/>
  <c r="J141" i="14"/>
  <c r="E141" i="14"/>
  <c r="M140" i="14"/>
  <c r="J140" i="14"/>
  <c r="E140" i="14"/>
  <c r="M139" i="14"/>
  <c r="J139" i="14"/>
  <c r="E139" i="14"/>
  <c r="M138" i="14"/>
  <c r="J138" i="14"/>
  <c r="E138" i="14"/>
  <c r="M137" i="14"/>
  <c r="J137" i="14"/>
  <c r="E137" i="14"/>
  <c r="M136" i="14"/>
  <c r="J136" i="14"/>
  <c r="E136" i="14"/>
  <c r="M135" i="14"/>
  <c r="J135" i="14"/>
  <c r="E135" i="14"/>
  <c r="M134" i="14"/>
  <c r="J134" i="14"/>
  <c r="E134" i="14"/>
  <c r="M133" i="14"/>
  <c r="J133" i="14"/>
  <c r="E133" i="14"/>
  <c r="M132" i="14"/>
  <c r="J132" i="14"/>
  <c r="E132" i="14"/>
  <c r="M131" i="14"/>
  <c r="J131" i="14"/>
  <c r="E131" i="14"/>
  <c r="M130" i="14"/>
  <c r="J130" i="14"/>
  <c r="E130" i="14"/>
  <c r="M129" i="14"/>
  <c r="J129" i="14"/>
  <c r="E129" i="14"/>
  <c r="M128" i="14"/>
  <c r="J128" i="14"/>
  <c r="E128" i="14"/>
  <c r="M127" i="14"/>
  <c r="J127" i="14"/>
  <c r="E127" i="14"/>
  <c r="M126" i="14"/>
  <c r="J126" i="14"/>
  <c r="E126" i="14"/>
  <c r="M125" i="14"/>
  <c r="J125" i="14"/>
  <c r="E125" i="14"/>
  <c r="M124" i="14"/>
  <c r="J124" i="14"/>
  <c r="E124" i="14"/>
  <c r="M123" i="14"/>
  <c r="J123" i="14"/>
  <c r="E123" i="14"/>
  <c r="M122" i="14"/>
  <c r="J122" i="14"/>
  <c r="E122" i="14"/>
  <c r="M121" i="14"/>
  <c r="J121" i="14"/>
  <c r="E121" i="14"/>
  <c r="M120" i="14"/>
  <c r="J120" i="14"/>
  <c r="E120" i="14"/>
  <c r="M119" i="14"/>
  <c r="J119" i="14"/>
  <c r="E119" i="14"/>
  <c r="M118" i="14"/>
  <c r="J118" i="14"/>
  <c r="E118" i="14"/>
  <c r="M117" i="14"/>
  <c r="J117" i="14"/>
  <c r="E117" i="14"/>
  <c r="M116" i="14"/>
  <c r="J116" i="14"/>
  <c r="E116" i="14"/>
  <c r="M115" i="14"/>
  <c r="J115" i="14"/>
  <c r="E115" i="14"/>
  <c r="M114" i="14"/>
  <c r="J114" i="14"/>
  <c r="E114" i="14"/>
  <c r="M113" i="14"/>
  <c r="J113" i="14"/>
  <c r="E113" i="14"/>
  <c r="M112" i="14"/>
  <c r="J112" i="14"/>
  <c r="E112" i="14"/>
  <c r="M111" i="14"/>
  <c r="J111" i="14"/>
  <c r="E111" i="14"/>
  <c r="M110" i="14"/>
  <c r="J110" i="14"/>
  <c r="E110" i="14"/>
  <c r="M109" i="14"/>
  <c r="J109" i="14"/>
  <c r="E109" i="14"/>
  <c r="M108" i="14"/>
  <c r="J108" i="14"/>
  <c r="E108" i="14"/>
  <c r="M107" i="14"/>
  <c r="J107" i="14"/>
  <c r="E107" i="14"/>
  <c r="M106" i="14"/>
  <c r="J106" i="14"/>
  <c r="E106" i="14"/>
  <c r="M105" i="14"/>
  <c r="J105" i="14"/>
  <c r="E105" i="14"/>
  <c r="M104" i="14"/>
  <c r="J104" i="14"/>
  <c r="E104" i="14"/>
  <c r="M103" i="14"/>
  <c r="J103" i="14"/>
  <c r="E103" i="14"/>
  <c r="M102" i="14"/>
  <c r="J102" i="14"/>
  <c r="E102" i="14"/>
  <c r="M101" i="14"/>
  <c r="J101" i="14"/>
  <c r="E101" i="14"/>
  <c r="M100" i="14"/>
  <c r="J100" i="14"/>
  <c r="E100" i="14"/>
  <c r="M99" i="14"/>
  <c r="J99" i="14"/>
  <c r="E99" i="14"/>
  <c r="M98" i="14"/>
  <c r="J98" i="14"/>
  <c r="E98" i="14"/>
  <c r="M97" i="14"/>
  <c r="J97" i="14"/>
  <c r="E97" i="14"/>
  <c r="M96" i="14"/>
  <c r="J96" i="14"/>
  <c r="E96" i="14"/>
  <c r="M95" i="14"/>
  <c r="J95" i="14"/>
  <c r="E95" i="14"/>
  <c r="M94" i="14"/>
  <c r="J94" i="14"/>
  <c r="E94" i="14"/>
  <c r="M93" i="14"/>
  <c r="J93" i="14"/>
  <c r="E93" i="14"/>
  <c r="M92" i="14"/>
  <c r="J92" i="14"/>
  <c r="E92" i="14"/>
  <c r="M91" i="14"/>
  <c r="J91" i="14"/>
  <c r="E91" i="14"/>
  <c r="M90" i="14"/>
  <c r="J90" i="14"/>
  <c r="E90" i="14"/>
  <c r="M89" i="14"/>
  <c r="J89" i="14"/>
  <c r="E89" i="14"/>
  <c r="M88" i="14"/>
  <c r="J88" i="14"/>
  <c r="E88" i="14"/>
  <c r="M87" i="14"/>
  <c r="J87" i="14"/>
  <c r="E87" i="14"/>
  <c r="M86" i="14"/>
  <c r="J86" i="14"/>
  <c r="E86" i="14"/>
  <c r="M85" i="14"/>
  <c r="J85" i="14"/>
  <c r="E85" i="14"/>
  <c r="M84" i="14"/>
  <c r="J84" i="14"/>
  <c r="E84" i="14"/>
  <c r="M83" i="14"/>
  <c r="J83" i="14"/>
  <c r="E83" i="14"/>
  <c r="M82" i="14"/>
  <c r="J82" i="14"/>
  <c r="E82" i="14"/>
  <c r="M81" i="14"/>
  <c r="J81" i="14"/>
  <c r="E81" i="14"/>
  <c r="M80" i="14"/>
  <c r="J80" i="14"/>
  <c r="E80" i="14"/>
  <c r="M79" i="14"/>
  <c r="J79" i="14"/>
  <c r="E79" i="14"/>
  <c r="M78" i="14"/>
  <c r="J78" i="14"/>
  <c r="E78" i="14"/>
  <c r="M77" i="14"/>
  <c r="J77" i="14"/>
  <c r="E77" i="14"/>
  <c r="M76" i="14"/>
  <c r="J76" i="14"/>
  <c r="E76" i="14"/>
  <c r="M75" i="14"/>
  <c r="J75" i="14"/>
  <c r="E75" i="14"/>
  <c r="M74" i="14"/>
  <c r="J74" i="14"/>
  <c r="E74" i="14"/>
  <c r="M73" i="14"/>
  <c r="J73" i="14"/>
  <c r="E73" i="14"/>
  <c r="M72" i="14"/>
  <c r="J72" i="14"/>
  <c r="E72" i="14"/>
  <c r="M71" i="14"/>
  <c r="J71" i="14"/>
  <c r="E71" i="14"/>
  <c r="M70" i="14"/>
  <c r="J70" i="14"/>
  <c r="E70" i="14"/>
  <c r="M69" i="14"/>
  <c r="J69" i="14"/>
  <c r="E69" i="14"/>
  <c r="M68" i="14"/>
  <c r="J68" i="14"/>
  <c r="E68" i="14"/>
  <c r="M67" i="14"/>
  <c r="J67" i="14"/>
  <c r="E67" i="14"/>
  <c r="M66" i="14"/>
  <c r="J66" i="14"/>
  <c r="E66" i="14"/>
  <c r="M65" i="14"/>
  <c r="J65" i="14"/>
  <c r="E65" i="14"/>
  <c r="M64" i="14"/>
  <c r="J64" i="14"/>
  <c r="E64" i="14"/>
  <c r="M63" i="14"/>
  <c r="J63" i="14"/>
  <c r="E63" i="14"/>
  <c r="M62" i="14"/>
  <c r="J62" i="14"/>
  <c r="E62" i="14"/>
  <c r="M61" i="14"/>
  <c r="J61" i="14"/>
  <c r="E61" i="14"/>
  <c r="M60" i="14"/>
  <c r="J60" i="14"/>
  <c r="E60" i="14"/>
  <c r="M59" i="14"/>
  <c r="J59" i="14"/>
  <c r="E59" i="14"/>
  <c r="M58" i="14"/>
  <c r="J58" i="14"/>
  <c r="E58" i="14"/>
  <c r="M57" i="14"/>
  <c r="J57" i="14"/>
  <c r="E57" i="14"/>
  <c r="M56" i="14"/>
  <c r="J56" i="14"/>
  <c r="E56" i="14"/>
  <c r="M55" i="14"/>
  <c r="J55" i="14"/>
  <c r="E55" i="14"/>
  <c r="M54" i="14"/>
  <c r="J54" i="14"/>
  <c r="E54" i="14"/>
  <c r="M53" i="14"/>
  <c r="J53" i="14"/>
  <c r="E53" i="14"/>
  <c r="M52" i="14"/>
  <c r="J52" i="14"/>
  <c r="E52" i="14"/>
  <c r="M51" i="14"/>
  <c r="J51" i="14"/>
  <c r="E51" i="14"/>
  <c r="M50" i="14"/>
  <c r="J50" i="14"/>
  <c r="E50" i="14"/>
  <c r="M49" i="14"/>
  <c r="J49" i="14"/>
  <c r="E49" i="14"/>
  <c r="M48" i="14"/>
  <c r="J48" i="14"/>
  <c r="E48" i="14"/>
  <c r="M47" i="14"/>
  <c r="J47" i="14"/>
  <c r="E47" i="14"/>
  <c r="M46" i="14"/>
  <c r="J46" i="14"/>
  <c r="E46" i="14"/>
  <c r="M45" i="14"/>
  <c r="J45" i="14"/>
  <c r="E45" i="14"/>
  <c r="M44" i="14"/>
  <c r="J44" i="14"/>
  <c r="E44" i="14"/>
  <c r="M43" i="14"/>
  <c r="J43" i="14"/>
  <c r="E43" i="14"/>
  <c r="M42" i="14"/>
  <c r="J42" i="14"/>
  <c r="E42" i="14"/>
  <c r="M41" i="14"/>
  <c r="J41" i="14"/>
  <c r="E41" i="14"/>
  <c r="M40" i="14"/>
  <c r="J40" i="14"/>
  <c r="E40" i="14"/>
  <c r="M39" i="14"/>
  <c r="J39" i="14"/>
  <c r="E39" i="14"/>
  <c r="M38" i="14"/>
  <c r="J38" i="14"/>
  <c r="E38" i="14"/>
  <c r="M37" i="14"/>
  <c r="J37" i="14"/>
  <c r="E37" i="14"/>
  <c r="M36" i="14"/>
  <c r="J36" i="14"/>
  <c r="E36" i="14"/>
  <c r="M35" i="14"/>
  <c r="J35" i="14"/>
  <c r="E35" i="14"/>
  <c r="M34" i="14"/>
  <c r="J34" i="14"/>
  <c r="E34" i="14"/>
  <c r="M33" i="14"/>
  <c r="J33" i="14"/>
  <c r="E33" i="14"/>
  <c r="M32" i="14"/>
  <c r="J32" i="14"/>
  <c r="E32" i="14"/>
  <c r="M31" i="14"/>
  <c r="J31" i="14"/>
  <c r="E31" i="14"/>
  <c r="M30" i="14"/>
  <c r="J30" i="14"/>
  <c r="E30" i="14"/>
  <c r="M29" i="14"/>
  <c r="J29" i="14"/>
  <c r="E29" i="14"/>
  <c r="M28" i="14"/>
  <c r="J28" i="14"/>
  <c r="E28" i="14"/>
  <c r="M27" i="14"/>
  <c r="J27" i="14"/>
  <c r="E27" i="14"/>
  <c r="M26" i="14"/>
  <c r="J26" i="14"/>
  <c r="E26" i="14"/>
  <c r="M25" i="14"/>
  <c r="J25" i="14"/>
  <c r="E25" i="14"/>
  <c r="M24" i="14"/>
  <c r="J24" i="14"/>
  <c r="E24" i="14"/>
  <c r="M23" i="14"/>
  <c r="J23" i="14"/>
  <c r="E23" i="14"/>
  <c r="M22" i="14"/>
  <c r="J22" i="14"/>
  <c r="E22" i="14"/>
  <c r="M21" i="14"/>
  <c r="J21" i="14"/>
  <c r="E21" i="14"/>
  <c r="M20" i="14"/>
  <c r="J20" i="14"/>
  <c r="E20" i="14"/>
  <c r="M19" i="14"/>
  <c r="J19" i="14"/>
  <c r="E19" i="14"/>
  <c r="M18" i="14"/>
  <c r="J18" i="14"/>
  <c r="E18" i="14"/>
  <c r="M17" i="14"/>
  <c r="J17" i="14"/>
  <c r="E17" i="14"/>
  <c r="M16" i="14"/>
  <c r="J16" i="14"/>
  <c r="E16" i="14"/>
  <c r="M15" i="14"/>
  <c r="J15" i="14"/>
  <c r="E15" i="14"/>
  <c r="M14" i="14"/>
  <c r="J14" i="14"/>
  <c r="E14" i="14"/>
  <c r="M13" i="14"/>
  <c r="J13" i="14"/>
  <c r="E13" i="14"/>
  <c r="M12" i="14"/>
  <c r="J12" i="14"/>
  <c r="E12" i="14"/>
  <c r="M11" i="14"/>
  <c r="J11" i="14"/>
  <c r="E11" i="14"/>
  <c r="M10" i="14"/>
  <c r="J10" i="14"/>
  <c r="E10" i="14"/>
  <c r="M9" i="14"/>
  <c r="J9" i="14"/>
  <c r="E9" i="14"/>
  <c r="M8" i="14"/>
  <c r="J8" i="14"/>
  <c r="E8" i="14"/>
  <c r="M7" i="14"/>
  <c r="J7" i="14"/>
  <c r="E7" i="14"/>
  <c r="M6" i="14"/>
  <c r="J6" i="14"/>
  <c r="E6" i="14"/>
  <c r="M5" i="14"/>
  <c r="J5" i="14"/>
  <c r="E5" i="14"/>
  <c r="M4" i="14"/>
  <c r="J4" i="14"/>
  <c r="E4" i="14"/>
  <c r="M3" i="14"/>
  <c r="J3" i="14"/>
  <c r="E3" i="14"/>
  <c r="M2" i="14"/>
  <c r="J2" i="14"/>
  <c r="E2" i="14"/>
  <c r="I129" i="13"/>
  <c r="E129" i="13"/>
  <c r="I128" i="13"/>
  <c r="E128" i="13"/>
  <c r="I127" i="13"/>
  <c r="E127" i="13"/>
  <c r="I126" i="13"/>
  <c r="E126" i="13"/>
  <c r="I125" i="13"/>
  <c r="E125" i="13"/>
  <c r="I124" i="13"/>
  <c r="E124" i="13"/>
  <c r="I123" i="13"/>
  <c r="E123" i="13"/>
  <c r="I122" i="13"/>
  <c r="E122" i="13"/>
  <c r="I121" i="13"/>
  <c r="E121" i="13"/>
  <c r="I120" i="13"/>
  <c r="E120" i="13"/>
  <c r="I119" i="13"/>
  <c r="E119" i="13"/>
  <c r="I118" i="13"/>
  <c r="E118" i="13"/>
  <c r="I117" i="13"/>
  <c r="E117" i="13"/>
  <c r="I116" i="13"/>
  <c r="E116" i="13"/>
  <c r="I115" i="13"/>
  <c r="E115" i="13"/>
  <c r="I114" i="13"/>
  <c r="E114" i="13"/>
  <c r="I113" i="13"/>
  <c r="E113" i="13"/>
  <c r="I112" i="13"/>
  <c r="E112" i="13"/>
  <c r="I111" i="13"/>
  <c r="E111" i="13"/>
  <c r="I110" i="13"/>
  <c r="E110" i="13"/>
  <c r="I109" i="13"/>
  <c r="E109" i="13"/>
  <c r="I108" i="13"/>
  <c r="E108" i="13"/>
  <c r="I107" i="13"/>
  <c r="E107" i="13"/>
  <c r="I106" i="13"/>
  <c r="E106" i="13"/>
  <c r="I105" i="13"/>
  <c r="E105" i="13"/>
  <c r="I104" i="13"/>
  <c r="E104" i="13"/>
  <c r="I103" i="13"/>
  <c r="E103" i="13"/>
  <c r="I102" i="13"/>
  <c r="E102" i="13"/>
  <c r="I101" i="13"/>
  <c r="E101" i="13"/>
  <c r="I100" i="13"/>
  <c r="E100" i="13"/>
  <c r="I99" i="13"/>
  <c r="E99" i="13"/>
  <c r="I98" i="13"/>
  <c r="E98" i="13"/>
  <c r="I97" i="13"/>
  <c r="E97" i="13"/>
  <c r="I96" i="13"/>
  <c r="E96" i="13"/>
  <c r="I95" i="13"/>
  <c r="E95" i="13"/>
  <c r="I94" i="13"/>
  <c r="E94" i="13"/>
  <c r="I93" i="13"/>
  <c r="E93" i="13"/>
  <c r="I92" i="13"/>
  <c r="E92" i="13"/>
  <c r="I91" i="13"/>
  <c r="E91" i="13"/>
  <c r="I90" i="13"/>
  <c r="E90" i="13"/>
  <c r="I89" i="13"/>
  <c r="E89" i="13"/>
  <c r="I88" i="13"/>
  <c r="E88" i="13"/>
  <c r="I87" i="13"/>
  <c r="E87" i="13"/>
  <c r="I86" i="13"/>
  <c r="E86" i="13"/>
  <c r="I85" i="13"/>
  <c r="E85" i="13"/>
  <c r="I84" i="13"/>
  <c r="E84" i="13"/>
  <c r="I83" i="13"/>
  <c r="E83" i="13"/>
  <c r="I82" i="13"/>
  <c r="E82" i="13"/>
  <c r="I81" i="13"/>
  <c r="E81" i="13"/>
  <c r="I80" i="13"/>
  <c r="E80" i="13"/>
  <c r="I79" i="13"/>
  <c r="E79" i="13"/>
  <c r="I78" i="13"/>
  <c r="E78" i="13"/>
  <c r="I77" i="13"/>
  <c r="E77" i="13"/>
  <c r="I76" i="13"/>
  <c r="E76" i="13"/>
  <c r="I75" i="13"/>
  <c r="E75" i="13"/>
  <c r="I74" i="13"/>
  <c r="E74" i="13"/>
  <c r="I73" i="13"/>
  <c r="E73" i="13"/>
  <c r="I72" i="13"/>
  <c r="E72" i="13"/>
  <c r="I71" i="13"/>
  <c r="E71" i="13"/>
  <c r="I70" i="13"/>
  <c r="E70" i="13"/>
  <c r="I69" i="13"/>
  <c r="E69" i="13"/>
  <c r="I68" i="13"/>
  <c r="E68" i="13"/>
  <c r="I67" i="13"/>
  <c r="E67" i="13"/>
  <c r="I66" i="13"/>
  <c r="E66" i="13"/>
  <c r="I65" i="13"/>
  <c r="E65" i="13"/>
  <c r="I64" i="13"/>
  <c r="E64" i="13"/>
  <c r="I63" i="13"/>
  <c r="E63" i="13"/>
  <c r="I62" i="13"/>
  <c r="E62" i="13"/>
  <c r="I61" i="13"/>
  <c r="E61" i="13"/>
  <c r="I60" i="13"/>
  <c r="E60" i="13"/>
  <c r="I59" i="13"/>
  <c r="E59" i="13"/>
  <c r="I58" i="13"/>
  <c r="E58" i="13"/>
  <c r="I57" i="13"/>
  <c r="E57" i="13"/>
  <c r="I56" i="13"/>
  <c r="E56" i="13"/>
  <c r="I55" i="13"/>
  <c r="E55" i="13"/>
  <c r="I54" i="13"/>
  <c r="E54" i="13"/>
  <c r="I53" i="13"/>
  <c r="E53" i="13"/>
  <c r="I52" i="13"/>
  <c r="E52" i="13"/>
  <c r="I51" i="13"/>
  <c r="E51" i="13"/>
  <c r="I50" i="13"/>
  <c r="E50" i="13"/>
  <c r="I49" i="13"/>
  <c r="E49" i="13"/>
  <c r="I48" i="13"/>
  <c r="E48" i="13"/>
  <c r="I47" i="13"/>
  <c r="E47" i="13"/>
  <c r="I46" i="13"/>
  <c r="E46" i="13"/>
  <c r="I45" i="13"/>
  <c r="E45" i="13"/>
  <c r="I44" i="13"/>
  <c r="E44" i="13"/>
  <c r="I43" i="13"/>
  <c r="E43" i="13"/>
  <c r="I42" i="13"/>
  <c r="E42" i="13"/>
  <c r="I41" i="13"/>
  <c r="E41" i="13"/>
  <c r="I40" i="13"/>
  <c r="E40" i="13"/>
  <c r="I39" i="13"/>
  <c r="E39" i="13"/>
  <c r="I38" i="13"/>
  <c r="E38" i="13"/>
  <c r="I37" i="13"/>
  <c r="E37" i="13"/>
  <c r="I36" i="13"/>
  <c r="E36" i="13"/>
  <c r="I35" i="13"/>
  <c r="E35" i="13"/>
  <c r="I34" i="13"/>
  <c r="E34" i="13"/>
  <c r="I33" i="13"/>
  <c r="E33" i="13"/>
  <c r="I32" i="13"/>
  <c r="E32" i="13"/>
  <c r="I31" i="13"/>
  <c r="E31" i="13"/>
  <c r="I30" i="13"/>
  <c r="E30" i="13"/>
  <c r="I29" i="13"/>
  <c r="E29" i="13"/>
  <c r="I28" i="13"/>
  <c r="E28" i="13"/>
  <c r="I27" i="13"/>
  <c r="E27" i="13"/>
  <c r="I26" i="13"/>
  <c r="E26" i="13"/>
  <c r="I25" i="13"/>
  <c r="E25" i="13"/>
  <c r="I24" i="13"/>
  <c r="E24" i="13"/>
  <c r="I23" i="13"/>
  <c r="E23" i="13"/>
  <c r="I22" i="13"/>
  <c r="E22" i="13"/>
  <c r="I21" i="13"/>
  <c r="E21" i="13"/>
  <c r="I20" i="13"/>
  <c r="E20" i="13"/>
  <c r="I19" i="13"/>
  <c r="E19" i="13"/>
  <c r="I18" i="13"/>
  <c r="E18" i="13"/>
  <c r="I17" i="13"/>
  <c r="E17" i="13"/>
  <c r="I16" i="13"/>
  <c r="E16" i="13"/>
  <c r="I15" i="13"/>
  <c r="E15" i="13"/>
  <c r="I14" i="13"/>
  <c r="E14" i="13"/>
  <c r="I13" i="13"/>
  <c r="E13" i="13"/>
  <c r="I12" i="13"/>
  <c r="E12" i="13"/>
  <c r="I11" i="13"/>
  <c r="E11" i="13"/>
  <c r="I10" i="13"/>
  <c r="E10" i="13"/>
  <c r="I9" i="13"/>
  <c r="E9" i="13"/>
  <c r="I8" i="13"/>
  <c r="E8" i="13"/>
  <c r="I7" i="13"/>
  <c r="E7" i="13"/>
  <c r="I6" i="13"/>
  <c r="E6" i="13"/>
  <c r="I5" i="13"/>
  <c r="E5" i="13"/>
  <c r="I4" i="13"/>
  <c r="E4" i="13"/>
  <c r="I3" i="13"/>
  <c r="E3" i="13"/>
  <c r="I2" i="13"/>
  <c r="E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7" authorId="0" shapeId="0" xr:uid="{00000000-0006-0000-0700-000001000000}">
      <text>
        <r>
          <rPr>
            <sz val="10"/>
            <color rgb="FF000000"/>
            <rFont val="Arial"/>
            <family val="2"/>
          </rPr>
          <t>que se pide identificar. las entidades de explotacion y las dimensiones de explotación
	-luisa.prieto
una u otra en el ejercicio
	-MARCELO CARRANDI ESMENJAUD</t>
        </r>
      </text>
    </comment>
    <comment ref="D29" authorId="0" shapeId="0" xr:uid="{00000000-0006-0000-0700-000002000000}">
      <text>
        <r>
          <rPr>
            <sz val="10"/>
            <color rgb="FF000000"/>
            <rFont val="Arial"/>
            <family val="2"/>
          </rPr>
          <t>estas preguntas de "a que principio corresponde este tipo de regla" - pudieran ser de relacionar columnas Relaciona el tipo de regla a su principio
	-luisa.prieto</t>
        </r>
      </text>
    </comment>
    <comment ref="D64" authorId="0" shapeId="0" xr:uid="{00000000-0006-0000-0700-000003000000}">
      <text>
        <r>
          <rPr>
            <sz val="10"/>
            <color rgb="FF000000"/>
            <rFont val="Arial"/>
            <family val="2"/>
          </rPr>
          <t>los verbos será - ponerlos como en presente "tipo es el responsable"...
	-luisa.prieto</t>
        </r>
      </text>
    </comment>
    <comment ref="D69" authorId="0" shapeId="0" xr:uid="{00000000-0006-0000-0700-000004000000}">
      <text>
        <r>
          <rPr>
            <sz val="10"/>
            <color rgb="FF000000"/>
            <rFont val="Arial"/>
            <family val="2"/>
          </rPr>
          <t>puedes elegir 2 opciones - yo pondría - seleccionar 2 opciones.. para uqe sepan que son hasta 2 opciones la respuesta correcta..
	-luisa.prieto</t>
        </r>
      </text>
    </comment>
    <comment ref="D75" authorId="0" shapeId="0" xr:uid="{00000000-0006-0000-0700-000005000000}">
      <text>
        <r>
          <rPr>
            <sz val="10"/>
            <color rgb="FF000000"/>
            <rFont val="Arial"/>
            <family val="2"/>
          </rPr>
          <t>falta la pregunta como es responsabilidad de _____ fomentar la cultura etc.
	-luisa.prieto
o es "fomenta la cultura...
	-luisa.prieto</t>
        </r>
      </text>
    </comment>
    <comment ref="D79" authorId="0" shapeId="0" xr:uid="{00000000-0006-0000-0700-000006000000}">
      <text>
        <r>
          <rPr>
            <sz val="10"/>
            <color rgb="FF000000"/>
            <rFont val="Arial"/>
            <family val="2"/>
          </rPr>
          <t>idem la de arriba - fomenta la cultura
	-luisa.prieto</t>
        </r>
      </text>
    </comment>
    <comment ref="D80" authorId="0" shapeId="0" xr:uid="{00000000-0006-0000-0700-000007000000}">
      <text>
        <r>
          <rPr>
            <sz val="10"/>
            <color rgb="FF000000"/>
            <rFont val="Arial"/>
            <family val="2"/>
          </rPr>
          <t>pondría el "En caso de que el Data Owner cambiara"...
	-luisa.prieto</t>
        </r>
      </text>
    </comment>
    <comment ref="D81" authorId="0" shapeId="0" xr:uid="{00000000-0006-0000-0700-000008000000}">
      <text>
        <r>
          <rPr>
            <sz val="10"/>
            <color rgb="FF000000"/>
            <rFont val="Arial"/>
            <family val="2"/>
          </rPr>
          <t>cambiaría la palabra hand-over por otra palabra.. no se si entrega...
	-luisa.prieto</t>
        </r>
      </text>
    </comment>
    <comment ref="D99" authorId="0" shapeId="0" xr:uid="{00000000-0006-0000-0700-000009000000}">
      <text>
        <r>
          <rPr>
            <sz val="10"/>
            <color rgb="FF000000"/>
            <rFont val="Arial"/>
            <family val="2"/>
          </rPr>
          <t>documentación en donde?
	-luisa.prieto</t>
        </r>
      </text>
    </comment>
  </commentList>
</comments>
</file>

<file path=xl/sharedStrings.xml><?xml version="1.0" encoding="utf-8"?>
<sst xmlns="http://schemas.openxmlformats.org/spreadsheetml/2006/main" count="7119" uniqueCount="4964">
  <si>
    <t>Dominio</t>
  </si>
  <si>
    <t>SME</t>
  </si>
  <si>
    <t>Domain Owner</t>
  </si>
  <si>
    <t>DPM</t>
  </si>
  <si>
    <t>Domain Lead</t>
  </si>
  <si>
    <t>Si</t>
  </si>
  <si>
    <t>Data Owner</t>
  </si>
  <si>
    <t>Elemento del Modelo</t>
  </si>
  <si>
    <t>Respuesta</t>
  </si>
  <si>
    <t>Tipo de pregunta</t>
  </si>
  <si>
    <t>Suceptible a cambios del Modelo</t>
  </si>
  <si>
    <t>Governance Model Theory</t>
  </si>
  <si>
    <t>Data Content</t>
  </si>
  <si>
    <t>SI</t>
  </si>
  <si>
    <t>Opción Múltiple</t>
  </si>
  <si>
    <t>Master Plan</t>
  </si>
  <si>
    <t>M901728</t>
  </si>
  <si>
    <t>M824602</t>
  </si>
  <si>
    <t>Componentes del Modelo</t>
  </si>
  <si>
    <t>Es la pieza angular de la organización para la correcta implantación de un gobierno de los datos adecuado</t>
  </si>
  <si>
    <t>SubDomain Owner</t>
  </si>
  <si>
    <t>M815164</t>
  </si>
  <si>
    <t>MB79583</t>
  </si>
  <si>
    <t>M901729</t>
  </si>
  <si>
    <t>M843173</t>
  </si>
  <si>
    <t>Data quality</t>
  </si>
  <si>
    <t>M907602</t>
  </si>
  <si>
    <t>M50270</t>
  </si>
  <si>
    <t>M51869</t>
  </si>
  <si>
    <t>MA30985</t>
  </si>
  <si>
    <t>M842925</t>
  </si>
  <si>
    <t>M904194</t>
  </si>
  <si>
    <t>MB61118</t>
  </si>
  <si>
    <t>E018425</t>
  </si>
  <si>
    <t>DOM</t>
  </si>
  <si>
    <t>M57986</t>
  </si>
  <si>
    <t>M46124</t>
  </si>
  <si>
    <t>M825235</t>
  </si>
  <si>
    <t>MB07366</t>
  </si>
  <si>
    <t>M342003</t>
  </si>
  <si>
    <t>M8776</t>
  </si>
  <si>
    <t>M48212</t>
  </si>
  <si>
    <t>V/F</t>
  </si>
  <si>
    <t>M46888</t>
  </si>
  <si>
    <t>M824645</t>
  </si>
  <si>
    <t>MH00830</t>
  </si>
  <si>
    <t>MB78902</t>
  </si>
  <si>
    <t>M818235</t>
  </si>
  <si>
    <t>UO89893</t>
  </si>
  <si>
    <t>MB06562</t>
  </si>
  <si>
    <t>M817030</t>
  </si>
  <si>
    <t>M818067</t>
  </si>
  <si>
    <t>M50327</t>
  </si>
  <si>
    <t>M55096</t>
  </si>
  <si>
    <t>Data Quality</t>
  </si>
  <si>
    <t>U215329</t>
  </si>
  <si>
    <t>alberto.nieto@bbva.com</t>
  </si>
  <si>
    <t>MH03469</t>
  </si>
  <si>
    <t>M55670</t>
  </si>
  <si>
    <t>Opción múltiple</t>
  </si>
  <si>
    <t>My role´s responsibilities</t>
  </si>
  <si>
    <t>R&amp;R</t>
  </si>
  <si>
    <t>MH00165</t>
  </si>
  <si>
    <t>Proficiency in Governance Tool</t>
  </si>
  <si>
    <t>Tópico</t>
  </si>
  <si>
    <t>Pregunta propuesta</t>
  </si>
  <si>
    <t>Catas de Calidad</t>
  </si>
  <si>
    <t>Cada cuánto se deben de hacer catas / muestreo de calidad de la documentación en la herramienta de Data Governance?</t>
  </si>
  <si>
    <t>Estructura de Sophia</t>
  </si>
  <si>
    <t>¿Dónde se puede consultar en la herramienta de Data governance el Data Content y el Data Quality de una entidad?</t>
  </si>
  <si>
    <t>CS</t>
  </si>
  <si>
    <t>Selecciona los 3 atributos que deben cumplir todas las reglas de calidad</t>
  </si>
  <si>
    <t>Foros DOM</t>
  </si>
  <si>
    <t>Un Dominio de datos es una agrupación lógica de datos relacionados que puede abarcar un área completa o un conjunto de datos específicos</t>
  </si>
  <si>
    <t>Un Dominio de datos no es una estructura alineada a la jerarquía organizacional de un área</t>
  </si>
  <si>
    <t>Es el encargado de documentar el Data Content en Sophia</t>
  </si>
  <si>
    <t>Cuál es la diferencia en un Data Source y un Trusted Data source</t>
  </si>
  <si>
    <t>Identifica las entidades de explotación / dimensiones de explotación en este ejemplo</t>
  </si>
  <si>
    <t>Relaciona los 6 principios de calidad con sus definiciones</t>
  </si>
  <si>
    <t>Una regla de calidad básica requiere del expertise funcional del Data Owner</t>
  </si>
  <si>
    <t>Una regla de calidad experta es necesaria para incorporar la lógica funcional y la definición intrínseca de los datos</t>
  </si>
  <si>
    <t>Data Lineage</t>
  </si>
  <si>
    <t>Qué elemento del Modelo de Data Governance aún no se está documentando en la herramienta Sophia</t>
  </si>
  <si>
    <t>Una regla de calidad es un control definido y operativizado que contribuye a que el dato cumpla con la calidad requerida</t>
  </si>
  <si>
    <t>Qué es un parámetro de la regla de calidad</t>
  </si>
  <si>
    <t xml:space="preserve">Qué son los umbrales de tolerancia </t>
  </si>
  <si>
    <t>Cuándo se activa un alerta de calidad</t>
  </si>
  <si>
    <t>Adopta e implementa la estrategia global de datos en su ámbito de responsabilidad, reforzando las competencias necesarias para la implementación del modelo</t>
  </si>
  <si>
    <t>Cuándo es necesario que haya Data Owners Primarios y Data Owners Relacionados</t>
  </si>
  <si>
    <t>El muestro de calidad es un proceso a partir del cual el DPM valida que la información dentro de la herramienta de gobierno es coherente</t>
  </si>
  <si>
    <t>Qué es un Sandbox</t>
  </si>
  <si>
    <t>Un SubDomain Owner puede ser Owner de más de un SubDomain</t>
  </si>
  <si>
    <t>Un Data Owner sólo puede ser Owner de un sólo Ownership</t>
  </si>
  <si>
    <t>Relacionar niveles de gobierno de datos con su definición</t>
  </si>
  <si>
    <t>¿Quién es el responsable de coordinar el Plan Director del dominio y gestionar que se cumpla?</t>
  </si>
  <si>
    <t>Los Subject Matter Expert (SMEs) son figuras que representan a un Domain Owner</t>
  </si>
  <si>
    <t>Es responsable de validar la información completada por el Data Owner para cada "entidad de datos conceptual" y "entidad de explotación" (Puedes elegir 2 opciones)</t>
  </si>
  <si>
    <t>Es el responsable de definir las reglas de calidad asociadas a las entidades de explotación</t>
  </si>
  <si>
    <t>Es el responsable de validar la información completada por el Data Owner para cada regla de calidad definida (Puedes elegir 2 opciones)</t>
  </si>
  <si>
    <t>¿Quién es el responsable de informar a los DPMs y HoDs acerca del progreso del dominio, iniciativas en curso, etc.?</t>
  </si>
  <si>
    <t>Es el responsable de realizar catas / muestreos de la calidad de la documentación en la herramienta Sophia</t>
  </si>
  <si>
    <t>La función de Data Governance define e implementa los estándares, controles y mejores prácticas relativos a la gestión de datos, garantizando su alineación con la estrategia del Grupo</t>
  </si>
  <si>
    <t>Equipo de ingeniería a cargo de la gestión y la operativización de la infraestructura informacional</t>
  </si>
  <si>
    <t>Fomentar la cultura basada en los datos en la organización, impulsando iniciativas para mejorar el gobierno de sus datos</t>
  </si>
  <si>
    <t>Máximos conocedores de los datos que manejan, entendiendo el valor que los datos pueden aportar al negocio e identificando nuevas áreas de oportunidad</t>
  </si>
  <si>
    <t>Lo habitual es que para cada entidad conceptual existan varias entidades de explotación</t>
  </si>
  <si>
    <t>Una entidad puede tener alcance geográfico Holding, Global, Local?</t>
  </si>
  <si>
    <t>Relaciona el tipo de entidad de acuerdo a su alcance geográfico con su definición</t>
  </si>
  <si>
    <t>Las reglas de calidad son definidas para entidades conceptuales</t>
  </si>
  <si>
    <t>Define funcionalmente las entidades conceptuales y de explotación dentro de un ownership</t>
  </si>
  <si>
    <t>La definición funcional de una entidad se documenta en Sophia en el Business Glossary</t>
  </si>
  <si>
    <t>Una Data Source corporativa es aquella que no es mantenida por Ingeniería</t>
  </si>
  <si>
    <t>La definición técnica de una entidad se documenta en Sophia en...</t>
  </si>
  <si>
    <t>Data Owner identifica y levanta pain points relacionados con procesos de datos y la operativa diaria</t>
  </si>
  <si>
    <t>Fomentar la cultura basada en los datos en la organización; ser proactivo y participar en capacitaciones (Puedes escoger más de uno)</t>
  </si>
  <si>
    <t>Cada cuando se deberá actualizar el Master Plan del Dominio</t>
  </si>
  <si>
    <t>Dónde se podrá monitorear los resultados de las reglas de calidad implementadas</t>
  </si>
  <si>
    <t>¿A qué principio corresponde éste tipo de regla? 
Comprobación que el fichero se ha recibido en la fecha y hora acordada</t>
  </si>
  <si>
    <t>¿A qué principio corresponde éste tipo de regla? 
Verificación de la disponibilidad del valor del dato en el fichero</t>
  </si>
  <si>
    <t>¿A qué principio corresponde éste tipo de regla? 
Actualización del valor del dato en la fecha requerida</t>
  </si>
  <si>
    <t>¿A qué principio corresponde éste tipo de regla? 
Completitud de atributos</t>
  </si>
  <si>
    <t>¿A qué principio corresponde éste tipo de regla? 
Completitud de perímetro requerido</t>
  </si>
  <si>
    <t>¿A qué principio corresponde éste tipo de regla? 
Comprobación del valor de dato nulo (NULL)</t>
  </si>
  <si>
    <t>¿A qué principio corresponde éste tipo de regla? 
Comprobación del formato del campo</t>
  </si>
  <si>
    <t>¿A qué principio corresponde éste tipo de regla? 
Comprobación de valores no permitidos</t>
  </si>
  <si>
    <t>¿A qué principio corresponde éste tipo de regla? 
Comprobación del valor del dato dentro del rango esperado</t>
  </si>
  <si>
    <t>¿A qué principio corresponde éste tipo de regla? 
Comprobación del valor del dato en catálogo</t>
  </si>
  <si>
    <t>¿A qué principio corresponde éste tipo de regla? 
Transferencia de datos origen - destino</t>
  </si>
  <si>
    <t>¿A qué principio corresponde éste tipo de regla? 
Duplicidad de registros para un mismo dato</t>
  </si>
  <si>
    <t>¿A qué principio corresponde éste tipo de regla? 
Comparativo de un mismo dato entre diferentes tablas/repositorios en el mismo momento de tiempo</t>
  </si>
  <si>
    <t>¿A qué principio corresponde éste tipo de regla? 
Réplica de cálculos</t>
  </si>
  <si>
    <t>¿A qué principio corresponde éste tipo de regla? 
Comparativa entre diferentes valores de datos relacionados entre sí</t>
  </si>
  <si>
    <t>¿A qué principio corresponde éste tipo de regla? 
Concentración de valores del mismo dato en un catálogo</t>
  </si>
  <si>
    <t>¿A qué principio corresponde éste tipo de regla? 
Comprobacion de la sensibilidad del valor de un dato a un umbral</t>
  </si>
  <si>
    <t>¿A qué principio corresponde éste tipo de regla? 
Comparativa de la evolución de diferentes valores de datos relacionados entre sí en el mismo momento del tiempo</t>
  </si>
  <si>
    <t>¿A qué principio corresponde éste tipo de regla? 
Comparativa del valor del mismo dato entre periodos</t>
  </si>
  <si>
    <t>¿A qué principio corresponde éste tipo de regla? 
Correlación del valor de un dato en las últimas observaciones</t>
  </si>
  <si>
    <t>¿A qué principio corresponde éste tipo de regla? 
Comparativa entre valores de datos distintos entre periodos</t>
  </si>
  <si>
    <t>¿A qué principio corresponde éste tipo de regla? 
Coincidencia con base de datos externa</t>
  </si>
  <si>
    <t>¿A qué principio corresponde éste tipo de regla? 
Coincidencia con soporte físico</t>
  </si>
  <si>
    <t>Qué es una Iniciativa Core del Master Plan</t>
  </si>
  <si>
    <t>Qué es una Iniciativa Transversal del Master Plan</t>
  </si>
  <si>
    <t>Cuáles son los objetivos de las catas/muestreos del llenado en Sophia</t>
  </si>
  <si>
    <t>Cuando el Data Owner cambiará, quién es el responsable de sar capacitación al nuevo Data Owner con un hand-over</t>
  </si>
  <si>
    <t>El SubDomain Owner evalua el hand-over realizado al nuevo Data Owner</t>
  </si>
  <si>
    <t>DATA</t>
  </si>
  <si>
    <t>¿En qué apartado de la Herramienta de Gobierno puedo consultar las descripciones de los Dominios/subdominios/ownerships?</t>
  </si>
  <si>
    <t>En la Herramienta de Gobierno no se puede exportar la información que se documenta en Data Content y Data Dictionary</t>
  </si>
  <si>
    <t>Desde el apartado Data Quality se puede consultar los tipos de reglas asociados a los principios de calidad</t>
  </si>
  <si>
    <t>¿En qué apartado de la Herramienta de Gobierno puedo consultar las Data Sources existentes en mi geografía?</t>
  </si>
  <si>
    <t>En la Herramienta de Gobierno los filtros de búsqueda se encuentran exclusivamente a nivel EC</t>
  </si>
  <si>
    <t>La herramienta de Gobierno es un apoyo para el Data Owner exclusivamente</t>
  </si>
  <si>
    <t>No es necesario que nadie valide la información que he documentado en la herramienta</t>
  </si>
  <si>
    <t>A la hora de completar el campo 'CONCEPTUAL ENTITY DESCRIPTION' es necesario describir una definición clara que contega el detalle suficiente para que sea entendible para el resto</t>
  </si>
  <si>
    <t>¿Se pueden copiar reglas de calidad?</t>
  </si>
  <si>
    <t>¿Quién es el responsable de coordinar a los data owners para que trabajen en garantizar el cumplimiento del modelo?</t>
  </si>
  <si>
    <t>¿Quién es el responsable de supervisar las TDS declaradas en el Business Glossary?</t>
  </si>
  <si>
    <t>El Facilitador (Domain Lead) es el responsable de solventar las deudas de gobierno</t>
  </si>
  <si>
    <t>¿Quien es el responsable de definir las entidades conceptuales globales?</t>
  </si>
  <si>
    <t xml:space="preserve">¿Quién es el responsable de la coordinación general de la estrategia de datos en su dominio holding o geografía? </t>
  </si>
  <si>
    <t xml:space="preserve">¿Quién es el responsable de colaborar con los stakeholders correspondientes para analizar y/o descubrir soluciones para mejorar el gobiernos de sus datos? </t>
  </si>
  <si>
    <t>Responsable de definir / adoptar e implementar la estrategia global de datos a nivel global/local, mejorando las capacidades necesarias para garantizar su implementación</t>
  </si>
  <si>
    <t>El Head of Data es el responsable de asesorar a los responsables de negocio en su ámbito de responsabilidad, sobre los desafíos y oportunidades en materia de datos relacionados con sus objetivos comerciales</t>
  </si>
  <si>
    <t>Responsable de promover la agenda de Data en su Dominio Holding / Geografía</t>
  </si>
  <si>
    <t>Responsable del adecuado gobierno de un dominio de datos específico</t>
  </si>
  <si>
    <t>Responsable de identificar y coordinar los distintos SubDomain / Data Owners</t>
  </si>
  <si>
    <t>El Domain Owner es el responsable de garantizar el cumplimiento del modelo de gobierno dentro del dominio, asegurando el alineamiento con la estrategia global de datos</t>
  </si>
  <si>
    <t xml:space="preserve">El DPM es el responsable de participar en el nombramiento de los SubDomain Owners y Data Owners </t>
  </si>
  <si>
    <t xml:space="preserve">Responsable de dinamizar el adecuado gobierno de los datos dentro del Dominio </t>
  </si>
  <si>
    <t>Responsable de garantizar que los datos del dominio cumplen con el modelo de Data Governance</t>
  </si>
  <si>
    <t>Responsables de supervisar y validar el avance de los Data Owners en la documentación de los 4 componentes del Modelo de Data Governance (Puedes elegir más de una opción)</t>
  </si>
  <si>
    <t>Responsable de elaborar el plan anual de Data Governance del Dominio garantizando el alineamiento con la estrategia global del dato definida</t>
  </si>
  <si>
    <t>Responsable de identificar los principales pain points en materia de datos relacionados con su actividad del día a día</t>
  </si>
  <si>
    <t>Responsable de monitorizar la ejecución y el progreso de las líneas de acción priorizar en el plan anual de Data governance del Dominio</t>
  </si>
  <si>
    <t>DPM es responsable de establecer e implementar los Working Group del DOM en la geografía</t>
  </si>
  <si>
    <t>Data</t>
  </si>
  <si>
    <t>Puedo crear 2 entidades conceptuales con el mismo nombre, dentro del mismo país, en dominios diferentes?</t>
  </si>
  <si>
    <t>Tengo disponible en la Herramienta todas las templates necesarias para realizar cargas masivas?</t>
  </si>
  <si>
    <t>Tengo disponible en la Herramienta algún manual de uso de la misma?</t>
  </si>
  <si>
    <t>es posible asociar una DS de holding a mi entidad local?</t>
  </si>
  <si>
    <t>Identificar e impulsar iniciativas transversales que puedan afectar a más de un Dominio</t>
  </si>
  <si>
    <t>Responsable del adecuado gobierno de los datos contemplados dentro de los ownerships de su Subdomain</t>
  </si>
  <si>
    <t>SME es responsable de identificar, nombrar y coordinar a los Data Owners dentro de su SubDomain</t>
  </si>
  <si>
    <t>Responsable de garantizar que los datos de su Subdomain cumplen con el modelo de Data Governance</t>
  </si>
  <si>
    <t>Establecer circuitos de coordinación y alineamiento entre los ámbitos de SubDominios Holding y locales</t>
  </si>
  <si>
    <t>responsable de colaborar con el Domain Owner en la definición del plan anual de Data Governance en el Dominio</t>
  </si>
  <si>
    <t>Facilitador (Domain Lead) define el contenido, calidad, linaje, disponibilidad de las entidades de datos</t>
  </si>
  <si>
    <t>Documentar en herramienta de governance las entidades conceptuales y entidades de explotación</t>
  </si>
  <si>
    <t>El Data Owner es responsable de identificar el Trusted Data Source de los datos</t>
  </si>
  <si>
    <t>Presentar estatus del Dominio en Country / Management Working Group</t>
  </si>
  <si>
    <t>Validar altas y bajas de entidades en la herramienta de Governance</t>
  </si>
  <si>
    <t>El Domain Owner debe asistir al Country / Management Working Group mensual</t>
  </si>
  <si>
    <t>El SubDomain Owner designa al Subject Matter Expert (SME)</t>
  </si>
  <si>
    <t>El Data Owner debe identificar y documentar nuevas entidades conceptuales y de explotación post-W1 y W2</t>
  </si>
  <si>
    <t>Coordinar y dar seguimiento a las actividades relacionadas con Data governance dentro del Dominio</t>
  </si>
  <si>
    <t>El Facilitador (Domain Lead) coordina la elaboración del Master Plan del Dominio</t>
  </si>
  <si>
    <t>Participar en mesas de asignación de datos con deuda de Gobierno</t>
  </si>
  <si>
    <t>Mantener y actualizar las entidades de su Ownership</t>
  </si>
  <si>
    <t>El Data Owner debe cerrar deudas de gobierno en herramienta de Data governance</t>
  </si>
  <si>
    <t>Identificar y documentar pain points para el Master Plan de su Dominio</t>
  </si>
  <si>
    <t>SME prioriza pain points e iniciativas de su SubDominio dentro del Master Plan</t>
  </si>
  <si>
    <t>Coordinar backlog de entidades con Deuda de Gobierno</t>
  </si>
  <si>
    <t>Canalizar a Subdomain, SMEs y Data Owners los campos con deuda de gobierno que deban confirmar / rechazar</t>
  </si>
  <si>
    <t>Relaciona los 4 conceptos del Modelo de Data Governance con sus definiciones</t>
  </si>
  <si>
    <t>Relaciona los 4 conceptos del Modelo de Data Governance y qué es lo que buscan</t>
  </si>
  <si>
    <t>Cuál de los siguientes roles no pertenence a un Dominio?</t>
  </si>
  <si>
    <t>Relaciona los siguientes conceptos de entidades a su definición</t>
  </si>
  <si>
    <t>Qué es una deuda técnica?</t>
  </si>
  <si>
    <t>Reponsable de validar cada Entidad documentada por el Data Owner en la herramienta de Governance</t>
  </si>
  <si>
    <t>Script de test</t>
  </si>
  <si>
    <t>Relacionar</t>
  </si>
  <si>
    <t>Cuáles de los principios de calidad incluyen las reglas básicas?</t>
  </si>
  <si>
    <t>Cuáles de los principios de calidad incluyen las reglas expertas?</t>
  </si>
  <si>
    <t>Cuáles de las siguientes opciones son bloques del Master Plan México</t>
  </si>
  <si>
    <t>El data Owner de la entidad conceptual será responsable que las entidades físicas se gobiernen</t>
  </si>
  <si>
    <t>Es el responsable de completar la información del Data Dictionary correspondiente a la entidad de explotación (Puedes elegir 2 opciones)</t>
  </si>
  <si>
    <t>Cuáles son las principales responsabilidades del Data Hub</t>
  </si>
  <si>
    <t>Define reglas de calidad asociadas a sus entidades conceptuales / explotación para la medición de sus resultados</t>
  </si>
  <si>
    <t>Responsable de nombrar al Domain Lead</t>
  </si>
  <si>
    <t>Responsable de priorizar las líneas de acción identificadas y asegurar la obtención de recursos para abordarlas</t>
  </si>
  <si>
    <t>es posible que el domain owner valide una EC no validada por el data owner?</t>
  </si>
  <si>
    <t>¿Quién es el responsable de supervisar y garantizar la gestión de las deudas de gobierno y su calidad?</t>
  </si>
  <si>
    <t>Responsable de realizar catas/muestreo del llenado de los campos en la herramienta de Sophia</t>
  </si>
  <si>
    <t>Responsable de realizar catas/muestreo de la calidad del llenado de los campos en la herramienta de Sophia</t>
  </si>
  <si>
    <t>Identificar y priorizar pain points que afecten al SubDominio</t>
  </si>
  <si>
    <t>Qué es Data Governance</t>
  </si>
  <si>
    <t>Garantiza la calidad de la captura de datos de los Data Owners</t>
  </si>
  <si>
    <t>Participar en sesiones quincenales de seguimiento con Data Owners</t>
  </si>
  <si>
    <t>Supervizar el avance de los SubDominios en sesiones quincenales</t>
  </si>
  <si>
    <t>Comunicar al Data Owner cambios y criterios en la ejecución del Modelo de Data Governance</t>
  </si>
  <si>
    <t>Homologar la ejecución de la función de los Data Owners</t>
  </si>
  <si>
    <t>Llevar a portafolio iniciativas y pain points para el Master Plan</t>
  </si>
  <si>
    <t>Dar seguimiento a captura y dashboards de Content y Quality de entidades de conceptuales</t>
  </si>
  <si>
    <t>RElacionar</t>
  </si>
  <si>
    <t>si</t>
  </si>
  <si>
    <t>Tipos de iniciativas según lo que resolverán</t>
  </si>
  <si>
    <t>Cuál de las siguientes opciones no es un foro implementado del DOM?</t>
  </si>
  <si>
    <t>Nombre Empleado</t>
  </si>
  <si>
    <t>Usuario SIP 2000</t>
  </si>
  <si>
    <t>Correos</t>
  </si>
  <si>
    <t>MUNOZ MARTINEZ BLANCA CECILIA</t>
  </si>
  <si>
    <t>M6956</t>
  </si>
  <si>
    <t>BLANCA.MUNOZ@BBVA.COM</t>
  </si>
  <si>
    <t>HERRERA PANTOJA SOFIA</t>
  </si>
  <si>
    <t>MB50463</t>
  </si>
  <si>
    <t>SOFIA.HERRERA@BBVA.COM</t>
  </si>
  <si>
    <t>LUCERO FUENTES ANGELICA</t>
  </si>
  <si>
    <t>ANGELICA.LUCERO@BBVA.COM</t>
  </si>
  <si>
    <t>VALENCIA BALTAZAR GABRIEL VLADIMIR</t>
  </si>
  <si>
    <t>VLADIMIR.VALENCIA@BBVA.COM</t>
  </si>
  <si>
    <t>PEREZ HERRERA ARQUIMEDES</t>
  </si>
  <si>
    <t>M843743</t>
  </si>
  <si>
    <t>ARQUIMEDES.PEREZ@BBVA.COM</t>
  </si>
  <si>
    <t>DOMINGUEZ VEGA OMAR PEDRO</t>
  </si>
  <si>
    <t>M76825</t>
  </si>
  <si>
    <t>OP.DOMINGUEZ@BBVA.COM</t>
  </si>
  <si>
    <t>TRINIDAD NAVARRO LUIS ROBERTO</t>
  </si>
  <si>
    <t>MB59026</t>
  </si>
  <si>
    <t>LUISROBERTO.TRINIDAD@BBVA.COM</t>
  </si>
  <si>
    <t>CANCHOLA HERRERA ARACELI</t>
  </si>
  <si>
    <t>A.CANCHOLA@BBVA.COM</t>
  </si>
  <si>
    <t>CORREA SERAPIO YAZMIN</t>
  </si>
  <si>
    <t>M58727</t>
  </si>
  <si>
    <t>YAZMIN.CORREA.1@BBVA.COM</t>
  </si>
  <si>
    <t>VILLEGAS CASTELLANOS LIVIA MARIANA</t>
  </si>
  <si>
    <t>MB39682</t>
  </si>
  <si>
    <t>LIVIAMARIANA.VILLEGAS@BBVA.COM</t>
  </si>
  <si>
    <t>JIMENEZ LOPEZ JORGE ARMANDO</t>
  </si>
  <si>
    <t>M844498</t>
  </si>
  <si>
    <t>J.JIMENEZL@BBVA.COM</t>
  </si>
  <si>
    <t>JUAREZ ORDONEZ JOSE ANGEL</t>
  </si>
  <si>
    <t>JA.JUAREZ@BBVA.COM</t>
  </si>
  <si>
    <t>TOVAR NUNEZ HUGO</t>
  </si>
  <si>
    <t>M911693</t>
  </si>
  <si>
    <t>HUGO.TOVAR@BBVA.COM</t>
  </si>
  <si>
    <t>GARCIA FUENTES RODOLFO</t>
  </si>
  <si>
    <t>M820867</t>
  </si>
  <si>
    <t>RODOLFO.GARCIA.1@BBVA.COM</t>
  </si>
  <si>
    <t>CADENA CHENGE LOURDES XIMENA</t>
  </si>
  <si>
    <t>MB39456</t>
  </si>
  <si>
    <t>LOURDESXIMENA.CADENA@BBVA.COM</t>
  </si>
  <si>
    <t>ESPINOSA URRUTIA MARIANA</t>
  </si>
  <si>
    <t>MB32498</t>
  </si>
  <si>
    <t>MARIANA.ESPINOSA@BBVA.COM</t>
  </si>
  <si>
    <t>VACANTE</t>
  </si>
  <si>
    <t>DOMINGUEZ ALMARAZ JOSE CARLOS</t>
  </si>
  <si>
    <t>MB83194</t>
  </si>
  <si>
    <t>JOSECARLOS.DOMINGUEZ@BBVA.COM</t>
  </si>
  <si>
    <t>SANTISTEVAN TELLEZ JUAN CARLOS</t>
  </si>
  <si>
    <t>M32211</t>
  </si>
  <si>
    <t>JUAN.SANTISTEVAN.1@BBVA.COM</t>
  </si>
  <si>
    <t>HERNANDEZ PEREZ MIGUEL ANGEL</t>
  </si>
  <si>
    <t>MB56827</t>
  </si>
  <si>
    <t>MIGUELANGEL.HERNANDEZ.PEREZ@BBVA.COM</t>
  </si>
  <si>
    <t>ARELLANO JACOBO SAID</t>
  </si>
  <si>
    <t>MH01942</t>
  </si>
  <si>
    <t>S.ARELLANO@BBVA.COM</t>
  </si>
  <si>
    <t>OCHOA BAUTISTA ROSA</t>
  </si>
  <si>
    <t>ROSA.OCHOA.1@BBVA.COM</t>
  </si>
  <si>
    <t>HERNANDEZ VILLA JULIAN CUAUHTEMOC</t>
  </si>
  <si>
    <t>M42794</t>
  </si>
  <si>
    <t>JULIAN.HERNANDEZ@BBVA.COM</t>
  </si>
  <si>
    <t>PINEDA GUTIERREZ MARICARMEN</t>
  </si>
  <si>
    <t>MB60871</t>
  </si>
  <si>
    <t>MARICARMEN.PINEDA@BBVA.COM</t>
  </si>
  <si>
    <t>LOPEZ BENITEZ CLAUDIA IVETTE</t>
  </si>
  <si>
    <t>M905524</t>
  </si>
  <si>
    <t>CLAUDIA.LOPEZ.3@BBVA.COM</t>
  </si>
  <si>
    <t>JIMENEZ SALAS MARIA EUGENIA</t>
  </si>
  <si>
    <t>M820971</t>
  </si>
  <si>
    <t>ME.JIMENEZ@BBVA.COM</t>
  </si>
  <si>
    <t>AGUILAR HERRERA MARIA MARCELA</t>
  </si>
  <si>
    <t>M48043</t>
  </si>
  <si>
    <t>MARCELA.AGUILAR@BBVA.COM</t>
  </si>
  <si>
    <t>REMOLINA MENENDEZ EMILIA LAURA</t>
  </si>
  <si>
    <t>M55683</t>
  </si>
  <si>
    <t>E.REMOLINA@BBVA.COM</t>
  </si>
  <si>
    <t>AZCORRA TORRES MARIA ANGELICA GUADALUPE</t>
  </si>
  <si>
    <t>MA29508</t>
  </si>
  <si>
    <t>ALVARADO CORTES KAREN GISELL</t>
  </si>
  <si>
    <t>MB46133</t>
  </si>
  <si>
    <t>CRUZ ROJAS DANIEL</t>
  </si>
  <si>
    <t>MB10318</t>
  </si>
  <si>
    <t>DANIEL.CRUZR@BBVA.COM</t>
  </si>
  <si>
    <t>MENDOZA GONZALEZ MARIA GUADALUPE</t>
  </si>
  <si>
    <t>M6080</t>
  </si>
  <si>
    <t>MARIAGUADALUPE.MENDOZA.1@BBVA.COM</t>
  </si>
  <si>
    <t>LOZANO PANIAGUA DIEGO ENRIQUE</t>
  </si>
  <si>
    <t>M901152</t>
  </si>
  <si>
    <t>DIEGOENRIQUE.LOZANO@BBVA.COM</t>
  </si>
  <si>
    <t>SOLIS CRUZ MARLENE ESTEFANIA</t>
  </si>
  <si>
    <t>MB75144</t>
  </si>
  <si>
    <t>MARLENEESTEFANIA.SOLIS@BBVA.COM</t>
  </si>
  <si>
    <t>OLIVARES SALAS MAYRA IRAZU</t>
  </si>
  <si>
    <t>MB08030</t>
  </si>
  <si>
    <t>MAYRA.OLIVARES@BBVA.COM</t>
  </si>
  <si>
    <t>RENTERIA RAMIREZ FELIPE DE JESUS</t>
  </si>
  <si>
    <t>M911231</t>
  </si>
  <si>
    <t>FELIPE.RENTERIA@BBVA.COM</t>
  </si>
  <si>
    <t>QUINONEZ GONZALEZ IRMA ISABEL</t>
  </si>
  <si>
    <t>M404196</t>
  </si>
  <si>
    <t>IRMA.QUINONES@BBVA.COM</t>
  </si>
  <si>
    <t>MAR ULLOA ANGEL ALBERTO</t>
  </si>
  <si>
    <t>M905736</t>
  </si>
  <si>
    <t>ANGEL.MAR@BBVA.COM</t>
  </si>
  <si>
    <t>ACOSTA DIAZ GIULIANA PAOLA</t>
  </si>
  <si>
    <t>M843902</t>
  </si>
  <si>
    <t>M843902@BBVA.COM</t>
  </si>
  <si>
    <t>CERDA VAZQUEZ EDER MAURICIO</t>
  </si>
  <si>
    <t>MB29368</t>
  </si>
  <si>
    <t>EDERMAURICIO.CERDA@BBVA.COM</t>
  </si>
  <si>
    <t>TORRES LUEVANO KAREN ALEJANDRA</t>
  </si>
  <si>
    <t>MB77728</t>
  </si>
  <si>
    <t>KARENALEJANDRA.TORRES@BBVA.COM</t>
  </si>
  <si>
    <t>GONZALEZ ANDRADE JUAN MANUEL</t>
  </si>
  <si>
    <t>MB60573</t>
  </si>
  <si>
    <t>JUANMANUEL.GONZALEZ2@BBVA.COM</t>
  </si>
  <si>
    <t>DELGADO FLORES EDUARDO SEVERIANO</t>
  </si>
  <si>
    <t>M114029</t>
  </si>
  <si>
    <t>EDUARDO.DELGADO@BBVA.COM</t>
  </si>
  <si>
    <t>COLIN LEAL JANETH GRACIELA</t>
  </si>
  <si>
    <t>MB07005</t>
  </si>
  <si>
    <t>JANETH.COLIN@BBVA.COM</t>
  </si>
  <si>
    <t>CONTRERAS GARCIA LORENA STEPHANY</t>
  </si>
  <si>
    <t>MB50164</t>
  </si>
  <si>
    <t>LORENA.CONTRERAS@BBVA.COM</t>
  </si>
  <si>
    <t>LERENA PINTO ADRIANA</t>
  </si>
  <si>
    <t>MB56210</t>
  </si>
  <si>
    <t>ADRIANA.LERENA@BBVA.COM</t>
  </si>
  <si>
    <t>OLIVOS ROLDAN ADELA</t>
  </si>
  <si>
    <t>M15440</t>
  </si>
  <si>
    <t>ADELA.OLIVOS@BBVA.COM</t>
  </si>
  <si>
    <t>PATINO MIRANDA JANETH</t>
  </si>
  <si>
    <t>M814430</t>
  </si>
  <si>
    <t>JANETH.PATINO@BBVA.COM</t>
  </si>
  <si>
    <t>DELGADO MONTIEL ADRIANA</t>
  </si>
  <si>
    <t>MB10789</t>
  </si>
  <si>
    <t>PATRON PEREIRA NANCY BEATRIZ</t>
  </si>
  <si>
    <t>M820220</t>
  </si>
  <si>
    <t>NANCY.PATRON@BBVA.COM</t>
  </si>
  <si>
    <t>ROSADO GONZALEZ NINFA RAQUEL</t>
  </si>
  <si>
    <t>M819141</t>
  </si>
  <si>
    <t>NINFA.ROSADO@BBVA.COM</t>
  </si>
  <si>
    <t>PEREZ CAMARILLO YESSICA EUGENIA</t>
  </si>
  <si>
    <t>YESSICA.PEREZ@BBVA.COM</t>
  </si>
  <si>
    <t>GUALITO DOMINGUEZ MARLENE HELENNY</t>
  </si>
  <si>
    <t>MB00838</t>
  </si>
  <si>
    <t>MARLENE.GUALITO@BBVA.COM</t>
  </si>
  <si>
    <t>MONTANO REYES LAURA EVELIA</t>
  </si>
  <si>
    <t>MB15609</t>
  </si>
  <si>
    <t>LAURAEVELIA.MONTANO@BBVA.COM</t>
  </si>
  <si>
    <t>HERNANDEZ SANCHEZ HECTOR IVAN</t>
  </si>
  <si>
    <t>M823972</t>
  </si>
  <si>
    <t>HECTOR.IVAN@BBVA.COM</t>
  </si>
  <si>
    <t>BECERRA SANCHEZ FLOR ITZEL</t>
  </si>
  <si>
    <t>MB22603</t>
  </si>
  <si>
    <t>FLORITZEL.BECERRA@BBVA.COM</t>
  </si>
  <si>
    <t>MAYA HERNANDEZ ELIZABETH</t>
  </si>
  <si>
    <t>MB71966</t>
  </si>
  <si>
    <t>ELIZABETH.MAYA@BBVA.COM</t>
  </si>
  <si>
    <t>PIMENTEL ROSAS MARIO EDGAR</t>
  </si>
  <si>
    <t>MB14252</t>
  </si>
  <si>
    <t>MARIOEDGAR.PIMENTEL@BBVA.COM</t>
  </si>
  <si>
    <t>MENDOZA HERNANDEZ ADOLFO</t>
  </si>
  <si>
    <t>MB61437</t>
  </si>
  <si>
    <t>ADOLFO.MENDOZA@BBVA.COM</t>
  </si>
  <si>
    <t>GARCIA CARAVEO JOSE LUIS</t>
  </si>
  <si>
    <t>M907997</t>
  </si>
  <si>
    <t>JOSELUIS.GARCIA2@BBVA.COM</t>
  </si>
  <si>
    <t>VALERIANO ALAMILLA GIL EDUARDO</t>
  </si>
  <si>
    <t>MB79581</t>
  </si>
  <si>
    <t>gileduardo.valeriano@bbva.com</t>
  </si>
  <si>
    <t>MARTINEZ DE JESUS REYNA JESSICA</t>
  </si>
  <si>
    <t>M823425</t>
  </si>
  <si>
    <t>JESSICA.MARTINEZJ@BBVA.COM</t>
  </si>
  <si>
    <t>CONTRERAS MARTINEZ LUIS ENRIQUE</t>
  </si>
  <si>
    <t>MB00707</t>
  </si>
  <si>
    <t>LUISENRIQUE.CONTRERAS@BBVA.COM</t>
  </si>
  <si>
    <t>GARCIA MORALES NANTYELI GABRIELA</t>
  </si>
  <si>
    <t>M58073</t>
  </si>
  <si>
    <t>NG.GARCIA@BBVA.COM</t>
  </si>
  <si>
    <t>REYES TREJO MARIA DE LOURDES</t>
  </si>
  <si>
    <t>MH00458</t>
  </si>
  <si>
    <t>L.REYES@BBVA.COM</t>
  </si>
  <si>
    <t>ZACARIAS PEREZ MAGALY</t>
  </si>
  <si>
    <t>MB26096</t>
  </si>
  <si>
    <t>MAGALY.ZACARIAS@BBVA.COM</t>
  </si>
  <si>
    <t>ANGELES ORTIZ SUSANA STEPHANY</t>
  </si>
  <si>
    <t>MB00803</t>
  </si>
  <si>
    <t>SUSANASTEPHANY.ANGELES.ORTIZ@BBVA.COM</t>
  </si>
  <si>
    <t>LEYVA HERNANDEZ ANA LILIA</t>
  </si>
  <si>
    <t>M913273</t>
  </si>
  <si>
    <t>ANA.LEYVA@BBVA.COM</t>
  </si>
  <si>
    <t>TINOCO REYES SAMUEL ALEJANDRO</t>
  </si>
  <si>
    <t>MB58319</t>
  </si>
  <si>
    <t>SAMUELALEJANDRO.TINOCO@BBVA.COM</t>
  </si>
  <si>
    <t>OSUNA VIZCARRA JORGE ALBERTO</t>
  </si>
  <si>
    <t>M76505</t>
  </si>
  <si>
    <t>JORGE.OSUNA@BBVA.COM</t>
  </si>
  <si>
    <t>ABARCA PROCOPIO LETICIA</t>
  </si>
  <si>
    <t>MB28521</t>
  </si>
  <si>
    <t>LETICIA.ABARCA@BBVA.COM</t>
  </si>
  <si>
    <t>GONZALEZ BASTIDA DANIEL</t>
  </si>
  <si>
    <t>MB13101</t>
  </si>
  <si>
    <t>DANIEL.GONZALEZB@BBVA.COM</t>
  </si>
  <si>
    <t>SCLAVO MELO EDUARDO</t>
  </si>
  <si>
    <t>MB68598</t>
  </si>
  <si>
    <t>EDUARDO.SCLAVO@BBVA.COM</t>
  </si>
  <si>
    <t>GARDUNO ORTIZ ANA GEORGINA</t>
  </si>
  <si>
    <t>MB60374</t>
  </si>
  <si>
    <t>ANAGEORGINA.GARDUNO@BBVA.COM</t>
  </si>
  <si>
    <t>LOPEZ FERNANDEZ ARTURO</t>
  </si>
  <si>
    <t>M54135</t>
  </si>
  <si>
    <t>ARTURO.LOPEZ@BBVA.COM</t>
  </si>
  <si>
    <t>SIMON MARTINEZ ROCIO</t>
  </si>
  <si>
    <t>MB61952</t>
  </si>
  <si>
    <t>ROCIO.SIMON.MARTINEZ@BBVA.COM</t>
  </si>
  <si>
    <t>CELIS CALDERON GABRIELA</t>
  </si>
  <si>
    <t>M826821</t>
  </si>
  <si>
    <t>G.CELIS@BBVA.COM</t>
  </si>
  <si>
    <t>RUEDA ARAMBURU IVAN FRANCISCO</t>
  </si>
  <si>
    <t>MH01614</t>
  </si>
  <si>
    <t>I.RUEDA@BBVA.COM</t>
  </si>
  <si>
    <t>SALDANA MARTINEZ ROBERTO</t>
  </si>
  <si>
    <t>M825929</t>
  </si>
  <si>
    <t>R.SALDANA2@BBVA.COM</t>
  </si>
  <si>
    <t>BENITEZ RODRIGUEZ SALVADOR</t>
  </si>
  <si>
    <t>MB57279</t>
  </si>
  <si>
    <t>SALVADOR.BENITEZ.RODRIGUEZ@BBVA.COM</t>
  </si>
  <si>
    <t>CRUZ GONZALEZ ANGELICA</t>
  </si>
  <si>
    <t>MB45274</t>
  </si>
  <si>
    <t>ANGELICA.CRUZ.GONZALEZ@BBVA.COM</t>
  </si>
  <si>
    <t>GARDUNO SANCHEZ LAURA</t>
  </si>
  <si>
    <t>MB56779</t>
  </si>
  <si>
    <t>LAURA.GARDUNO@BBVA.COM</t>
  </si>
  <si>
    <t>GUTIERREZ BARRIOS CATALINA</t>
  </si>
  <si>
    <t>M33407</t>
  </si>
  <si>
    <t>CATALINA.GUTIERREZ@BBVA.COM</t>
  </si>
  <si>
    <t>MORALES GONZALEZ SALVADOR</t>
  </si>
  <si>
    <t>M33304</t>
  </si>
  <si>
    <t>SALVADOR.MORALES@BBVA.COM</t>
  </si>
  <si>
    <t>GONZALEZ FLORES ANDREA NAYELI</t>
  </si>
  <si>
    <t>MA30681</t>
  </si>
  <si>
    <t>ANDREA.GONZALEZF@BBVA.COM</t>
  </si>
  <si>
    <t>ACEVEDO FERNANDEZ LUIS FELIPE</t>
  </si>
  <si>
    <t>M840397</t>
  </si>
  <si>
    <t>LUIS.ACEVEDO@BBVA.COM</t>
  </si>
  <si>
    <t>MORA CORONA JUAN GILBERTO</t>
  </si>
  <si>
    <t>MB54589</t>
  </si>
  <si>
    <t>JUANGILBERTO.MORA@BBVA.COM</t>
  </si>
  <si>
    <t>BELTRAN PORRAS ELIZABETH</t>
  </si>
  <si>
    <t>MH01017</t>
  </si>
  <si>
    <t>E.BELTRAN@BBVA.COM</t>
  </si>
  <si>
    <t>BUSTAMANTE DIAZ DANIEL</t>
  </si>
  <si>
    <t>MB84364</t>
  </si>
  <si>
    <t>DANIEL.BUSTAMANTE.DIAZ@BBVA.COM</t>
  </si>
  <si>
    <t>BECERRIL FIGUEROA MARIA ERANDI</t>
  </si>
  <si>
    <t>MB25766</t>
  </si>
  <si>
    <t>MARIAERANDI.BECERRIL@BBVA.COM</t>
  </si>
  <si>
    <t>CORONA CRUZ MARIA LUISA</t>
  </si>
  <si>
    <t>MH00733</t>
  </si>
  <si>
    <t>LUISA.CORONA@BBVA.COM</t>
  </si>
  <si>
    <t>AGUILERA GONZALEZ CARLOS</t>
  </si>
  <si>
    <t>MH03615</t>
  </si>
  <si>
    <t>CARLOS.AGUILERAG@BBVA.COM</t>
  </si>
  <si>
    <t>PINEDA RODRIGUEZ JONNATAN</t>
  </si>
  <si>
    <t>MB80852</t>
  </si>
  <si>
    <t>JONNATAN.PINEDA@BBVA.COM</t>
  </si>
  <si>
    <t>VELASCO GALVAN LUIS ALBERTO</t>
  </si>
  <si>
    <t>MB24295</t>
  </si>
  <si>
    <t>LUISALBERTO.VELASCO@BBVA.COM</t>
  </si>
  <si>
    <t>LOPEZ MUNOZ CARLOS ALBERTO</t>
  </si>
  <si>
    <t>MB73908</t>
  </si>
  <si>
    <t>CARLOSALBERTO.LOPEZ.MUNOZ@BBVA.COM</t>
  </si>
  <si>
    <t>CARRILLO SALGADO ELIZABETH HAYDEE</t>
  </si>
  <si>
    <t>MH03436</t>
  </si>
  <si>
    <t>ELIZABETH.CARRILLO@BBVA.COM</t>
  </si>
  <si>
    <t>QUINTERO RIVERA IMANOL</t>
  </si>
  <si>
    <t>MB74485</t>
  </si>
  <si>
    <t>IMANOL.QUINTERO@BBVA.COM</t>
  </si>
  <si>
    <t>JIMENEZ PATINO DIANA BEATRIZ</t>
  </si>
  <si>
    <t>MB79563</t>
  </si>
  <si>
    <t>DIANABEATRIZ.JIMENEZ@BBVA.COM</t>
  </si>
  <si>
    <t>FLORES ARGOMEDO MARIA GUADALUPE</t>
  </si>
  <si>
    <t>M75214</t>
  </si>
  <si>
    <t>MG.FLORES@BBVA.COM</t>
  </si>
  <si>
    <t>ZAVALA PUCHETA TERESITA NAYELI</t>
  </si>
  <si>
    <t>MB23096</t>
  </si>
  <si>
    <t>TERESITA.ZAVALA@BBVA.COM</t>
  </si>
  <si>
    <t>GARCIA PUENTE FELIPE MOISES</t>
  </si>
  <si>
    <t>MB70250</t>
  </si>
  <si>
    <t>FELIPEMOISES.GARCIA@BBVA.COM</t>
  </si>
  <si>
    <t>PELLEGRINI DELGADO VICTOR MANUEL</t>
  </si>
  <si>
    <t>MB83626</t>
  </si>
  <si>
    <t>VICTORMANUEL.PELLEGRINI@BBVA.COM</t>
  </si>
  <si>
    <t>GONZALEZ MENDEZ XANAT LORENA</t>
  </si>
  <si>
    <t>M827744</t>
  </si>
  <si>
    <t>XANAT.GONZALEZ@BBVA.COM</t>
  </si>
  <si>
    <t>PALACIOS BARRERA ANA KAREN</t>
  </si>
  <si>
    <t>MB15205</t>
  </si>
  <si>
    <t>ANAKAREN.PALACIOS@BBVA.COM</t>
  </si>
  <si>
    <t>LICONA MATEOS JUAN CARLOS</t>
  </si>
  <si>
    <t>MB63372</t>
  </si>
  <si>
    <t>JUANCARLOS.LICONA@BBVA.COM</t>
  </si>
  <si>
    <t>GARCIA SANTIAGO VIRIDIANA</t>
  </si>
  <si>
    <t>MB36945</t>
  </si>
  <si>
    <t>VIRIDIANA.GARCIA@BBVA.COM</t>
  </si>
  <si>
    <t>MARTINEZ VALENCIA FABIOLA</t>
  </si>
  <si>
    <t>MB47455</t>
  </si>
  <si>
    <t>FABIOLA.MARTINEZ.VALENCIA@BBVA.COM</t>
  </si>
  <si>
    <t>RAMIREZ LAZARO VERONICA</t>
  </si>
  <si>
    <t>MB72505</t>
  </si>
  <si>
    <t>VERONICA.RAMIREZ.LAZARO@BBVA.COM</t>
  </si>
  <si>
    <t>VEGA BARCENAS ANGELES ADRIANA</t>
  </si>
  <si>
    <t>MB60801</t>
  </si>
  <si>
    <t>ANGELESADRIANA.VEGA@BBVA.COM</t>
  </si>
  <si>
    <t>HERNANDEZ MARAVILLA ANGELLY MICHELLE</t>
  </si>
  <si>
    <t>MH03727</t>
  </si>
  <si>
    <t>ANGELLY.HERNANDEZ@BBVA.COM</t>
  </si>
  <si>
    <t>OVIN AVILA JOSE ADRIAN</t>
  </si>
  <si>
    <t>MB84386</t>
  </si>
  <si>
    <t>JOSEADRIAN.OVIN.AVILA@BBVA.COM</t>
  </si>
  <si>
    <t>MUNOZ AVILA OMAR ANIBAL</t>
  </si>
  <si>
    <t>MB83908</t>
  </si>
  <si>
    <t>OMARANIBAL.MUNOZ.AVILA@BBVA.COM</t>
  </si>
  <si>
    <t>ROMERO MONTERRUBIO DIEGO DANIEL</t>
  </si>
  <si>
    <t>MB60373</t>
  </si>
  <si>
    <t>DIEGODANIEL.ROMERO@BBVA.COM</t>
  </si>
  <si>
    <t>LOPEZ JUAREZ JOSE EDUARDO</t>
  </si>
  <si>
    <t>MB44003</t>
  </si>
  <si>
    <t>JOSEEDUARDO.LOPEZ@BBVA.COM</t>
  </si>
  <si>
    <t>GARCIA LUGO CARLOS ABNER</t>
  </si>
  <si>
    <t>MB55957</t>
  </si>
  <si>
    <t>CARLOSABNER.GARCIA@BBVA.COM</t>
  </si>
  <si>
    <t>ZUNIGA ROMERO CLAUDIA</t>
  </si>
  <si>
    <t>MH03082</t>
  </si>
  <si>
    <t>CLAUDIA.ZUNIGA@BBVA.COM</t>
  </si>
  <si>
    <t>DEHONOR OCON VICTOR MANUEL</t>
  </si>
  <si>
    <t>MB48455</t>
  </si>
  <si>
    <t>VICTORMANUEL.DEHONOR.OCON@BBVA.COM</t>
  </si>
  <si>
    <t>VASQUEZ ALAVEZ ESTHER</t>
  </si>
  <si>
    <t>MB73125</t>
  </si>
  <si>
    <t>ESTHER.VASQUEZ@BBVA.COM</t>
  </si>
  <si>
    <t>BERNAL RANGEL SONIA LETICIA</t>
  </si>
  <si>
    <t>M45525</t>
  </si>
  <si>
    <t>SONIA.BERNAL@BBVA.COM</t>
  </si>
  <si>
    <t>SAUCEDO HERNANDEZ RICARDO ENRIQUE</t>
  </si>
  <si>
    <t>MB00781</t>
  </si>
  <si>
    <t>RICARDO.SAUCEDO@BBVA.COM</t>
  </si>
  <si>
    <t>PEREZ GALLARDO JUAN CARLOS</t>
  </si>
  <si>
    <t>MB43695</t>
  </si>
  <si>
    <t>JUANCARLOS.PEREZ.GALLARDO@BBVA.COM</t>
  </si>
  <si>
    <t>GONZALEZ RODRIGUEZ LEON AXEL</t>
  </si>
  <si>
    <t>MB03156</t>
  </si>
  <si>
    <t>LEON.GONZALEZ@BBVA.COM</t>
  </si>
  <si>
    <t>CONSTANTINO ESPINOSA EZEQUIEL</t>
  </si>
  <si>
    <t>MB10922</t>
  </si>
  <si>
    <t>EZEQUIEL.CONSTANTINO@BBVA.COM</t>
  </si>
  <si>
    <t>CIBRIAN ZAVALA JOSE MANUEL</t>
  </si>
  <si>
    <t>MB54140</t>
  </si>
  <si>
    <t>JOSEMANUEL.CIBRIAN.ZAVALA@BBVA.COM</t>
  </si>
  <si>
    <t>RUIZ GARCIA CARLOS MAURICIO</t>
  </si>
  <si>
    <t>MB78619</t>
  </si>
  <si>
    <t>CARLOSMAURICIO.RUIZ.GARCIA@BBVA.COM</t>
  </si>
  <si>
    <t>MARTINEZ VAZQUEZ OMAR</t>
  </si>
  <si>
    <t>MB80126</t>
  </si>
  <si>
    <t>OMAR.MARTINEZ.VAZQUEZ@BBVA.COM</t>
  </si>
  <si>
    <t>ROMERO CORTES OBDULIO MANUEL</t>
  </si>
  <si>
    <t>MH01004</t>
  </si>
  <si>
    <t>O.ROMERO@BBVA.COM</t>
  </si>
  <si>
    <t>ROBLES ESCOBAR ANA LAURA</t>
  </si>
  <si>
    <t>MB10707</t>
  </si>
  <si>
    <t>ANALAURA.ROBLES@BBVA.COM</t>
  </si>
  <si>
    <t>HERNANDEZ ABREO MARIBEL</t>
  </si>
  <si>
    <t>MB04199</t>
  </si>
  <si>
    <t>MARIBEL.HERNANDEZ.4@BBVA.COM</t>
  </si>
  <si>
    <t>HERNANDEZ ROSAS YASMIN</t>
  </si>
  <si>
    <t>MB25758</t>
  </si>
  <si>
    <t>YASMIN.HERNANDEZR@BBVA.COM</t>
  </si>
  <si>
    <t>GALINDO TORRES MARIA ADRIANA</t>
  </si>
  <si>
    <t>M44814</t>
  </si>
  <si>
    <t>MARIAADRIANA.GALINDO@BBVA.COM</t>
  </si>
  <si>
    <t>GONZALEZ VILLANUEVA SARAI</t>
  </si>
  <si>
    <t>M913071</t>
  </si>
  <si>
    <t>S.GONZALEZV@BBVA.COM</t>
  </si>
  <si>
    <t>CORDOVA PALOMINO EDUARDO ANTONIO</t>
  </si>
  <si>
    <t>MB00422</t>
  </si>
  <si>
    <t>EDUARDO.CORDOVA@BBVA.COM</t>
  </si>
  <si>
    <t>RADILLA ORTIZ ERIKA</t>
  </si>
  <si>
    <t>M490083</t>
  </si>
  <si>
    <t>ERIKA.RADILLA@BBVA.COM</t>
  </si>
  <si>
    <t>RODRIGUEZ PADILLA LAURA</t>
  </si>
  <si>
    <t>M53831</t>
  </si>
  <si>
    <t>LAURA.RODRIGUEZ@BBVA.COM</t>
  </si>
  <si>
    <t>GARCIA GARCIA VERONICA</t>
  </si>
  <si>
    <t>MB62902</t>
  </si>
  <si>
    <t>VERONICA.GARCIA2@BBVA.COM</t>
  </si>
  <si>
    <t>ULLOA MUNOZ GIULIANA</t>
  </si>
  <si>
    <t>MB06533</t>
  </si>
  <si>
    <t>GIULIANA.ULLOA@BBVA.COM</t>
  </si>
  <si>
    <t>GARCIA ROMANO JUAN DE DIOS</t>
  </si>
  <si>
    <t>MB45334</t>
  </si>
  <si>
    <t>JUANDEDIOS.GARCIA@BBVA.COM</t>
  </si>
  <si>
    <t>GONZALEZ CASASOLA RODRIGO ANTONIO</t>
  </si>
  <si>
    <t>MB63934</t>
  </si>
  <si>
    <t>RODRIGOANTONIO.GONZALEZ@BBVA.COM</t>
  </si>
  <si>
    <t>VILLANUEVA VARGAS AURORA SAMANTHA</t>
  </si>
  <si>
    <t>MB55166</t>
  </si>
  <si>
    <t>AURORASAMANTHA.VILLANUEVA@BBVA.COM</t>
  </si>
  <si>
    <t>VILLANUEVA TORRES ANDREA BRIGITTE</t>
  </si>
  <si>
    <t>MB80547</t>
  </si>
  <si>
    <t>ANDREABRIGITTE.VILLANUEVA@BBVA.COM</t>
  </si>
  <si>
    <t>MORA LOPEZ TANIA</t>
  </si>
  <si>
    <t>M910238</t>
  </si>
  <si>
    <t>FLORES CABRERA GLENDA LYA</t>
  </si>
  <si>
    <t>MB52058</t>
  </si>
  <si>
    <t>GLENDALYA.FLORES.CABRERA@BBVA.COM</t>
  </si>
  <si>
    <t>PINEDA MARTINEZ HUGO ENRIQUE</t>
  </si>
  <si>
    <t>M913611</t>
  </si>
  <si>
    <t>HUGOENRIQUE.PINEDA@BBVA.COM</t>
  </si>
  <si>
    <t>PATINO ZARAGOZA LUZ DE LOURDES</t>
  </si>
  <si>
    <t>M55212</t>
  </si>
  <si>
    <t>LUZ.PATINO@BBVA.COM</t>
  </si>
  <si>
    <t>NAVA TALLAVAS IRMA TERESA</t>
  </si>
  <si>
    <t>M44457</t>
  </si>
  <si>
    <t>IRMA.NAVA@BBVA.COM</t>
  </si>
  <si>
    <t>GONZALEZ RANGEL SULMA PATRICIA</t>
  </si>
  <si>
    <t>MB84284</t>
  </si>
  <si>
    <t>SULMAPATRICIA.GONZALEZ.RANGEL@BBVA.COM</t>
  </si>
  <si>
    <t>BRUNO CONTRERAS NORMA ELIZABETH</t>
  </si>
  <si>
    <t>MB71278</t>
  </si>
  <si>
    <t>normaelizabeth.bruno@bbva.com</t>
  </si>
  <si>
    <t>RIVERA BENITEZ DIEGO ALEJANDRO</t>
  </si>
  <si>
    <t>MB77424</t>
  </si>
  <si>
    <t>DIEGOALEJANDRO.RIVERA@BBVA.COM</t>
  </si>
  <si>
    <t>ESPANA DEL RIO SANDRA MARIA JOSE</t>
  </si>
  <si>
    <t>MB63613</t>
  </si>
  <si>
    <t>SANDRAMARIAJOSE.ESPANA.DELRIO@BBVA.COM</t>
  </si>
  <si>
    <t>PALACIOS ROBLES POLET GUADALUPE</t>
  </si>
  <si>
    <t>MB62903</t>
  </si>
  <si>
    <t>POLETGUADALUPE.PALACIOS@BBVA.COM</t>
  </si>
  <si>
    <t>OSORIO MARTINEZ SANDRA BELINDA</t>
  </si>
  <si>
    <t>MB62906</t>
  </si>
  <si>
    <t>SANDRABELINDA.OSORIO.MARTINEZ@BBVA.COM</t>
  </si>
  <si>
    <t>TORRES HERNANDEZ FERNANDA</t>
  </si>
  <si>
    <t>MB63612</t>
  </si>
  <si>
    <t>FERNANDA.TORRES@BBVA.COM</t>
  </si>
  <si>
    <t>COLIN CARRETO MARTHA TERESA</t>
  </si>
  <si>
    <t>MB55055</t>
  </si>
  <si>
    <t>MARTHATERESA.COLIN.CARRETO@BBVA.COM</t>
  </si>
  <si>
    <t>ELIZALDE MELO MARISELA</t>
  </si>
  <si>
    <t>MB61171</t>
  </si>
  <si>
    <t>MARISELA.ELIZALDE@BBVA.COM</t>
  </si>
  <si>
    <t>AZPE FIMBRES HUGO ATAULFO</t>
  </si>
  <si>
    <t>HUGO.AZPE@BBVA.COM</t>
  </si>
  <si>
    <t>DE LA GUARDIA ARGUELLES CARLOS</t>
  </si>
  <si>
    <t>M51796</t>
  </si>
  <si>
    <t>C.DELAGUARDIA@BBVA.COM</t>
  </si>
  <si>
    <t>MORENO CASTILLEJA ALAN</t>
  </si>
  <si>
    <t>MB09238</t>
  </si>
  <si>
    <t>ALAN.MORENOC@BBVA.COM</t>
  </si>
  <si>
    <t>ESPINOSA HIDALGO JUAN CARLOS</t>
  </si>
  <si>
    <t>MB00031</t>
  </si>
  <si>
    <t>JUANCARLOS.ESPINOZA@BBVA.COM</t>
  </si>
  <si>
    <t>MIGUEL CARRASCO ROCIO</t>
  </si>
  <si>
    <t>MB61224</t>
  </si>
  <si>
    <t>ROCIO.MIGUEL.CARRASCO@BBVA.COM</t>
  </si>
  <si>
    <t>TORRENTERA ABREGO HUGO</t>
  </si>
  <si>
    <t>MB00009</t>
  </si>
  <si>
    <t>HUGO.TORRENTERA@BBVA.COM</t>
  </si>
  <si>
    <t>SALINAS JIMENEZ GERARDO JAVIER</t>
  </si>
  <si>
    <t>M825681</t>
  </si>
  <si>
    <t>GERARDO.SALINAS@BBVA.COM</t>
  </si>
  <si>
    <t>ZAMORA CERRITOS OSCAR</t>
  </si>
  <si>
    <t>MA29377</t>
  </si>
  <si>
    <t>OSCAR.ZAMORA@BBVA.COM</t>
  </si>
  <si>
    <t>DIAZ JAIMES ROBERTO</t>
  </si>
  <si>
    <t>M55332</t>
  </si>
  <si>
    <t>ROBERTO.DIAZJ@BBVA.COM</t>
  </si>
  <si>
    <t>VELAZQUEZ CORONA ROBERTO DANIEL</t>
  </si>
  <si>
    <t>MB20779</t>
  </si>
  <si>
    <t>R.VELAZQUEZ@BBVA.COM</t>
  </si>
  <si>
    <t>FERNANDEZ FUENTES YESSICA KATHIA</t>
  </si>
  <si>
    <t>M7781</t>
  </si>
  <si>
    <t>YESSICA.FERNANDEZ@BBVA.COM</t>
  </si>
  <si>
    <t>MUNGUIA ALPIZAR MIGUEL ANGEL</t>
  </si>
  <si>
    <t>MB48136</t>
  </si>
  <si>
    <t>MIGUELANGEL.MUNGUIA@BBVA.COM</t>
  </si>
  <si>
    <t>MANCILLA GOMEZ MIGUEL ANGEL</t>
  </si>
  <si>
    <t>MH03015</t>
  </si>
  <si>
    <t>MIGUEL.MANCILLA@BBVA.COM</t>
  </si>
  <si>
    <t>MENDIOLA ADAME EDITH</t>
  </si>
  <si>
    <t>M40492</t>
  </si>
  <si>
    <t>EDITH.MENDIOLA@BBVA.COM</t>
  </si>
  <si>
    <t>SANCHEZ JIMENEZ JUAN FABRIZIO</t>
  </si>
  <si>
    <t>MB15338</t>
  </si>
  <si>
    <t>JUANFABRIZIO.SANCHEZ@BBVA.COM</t>
  </si>
  <si>
    <t>BELTRAN MEJIA MARITZA</t>
  </si>
  <si>
    <t>M36172</t>
  </si>
  <si>
    <t>MARITZA.BELTRAN@BBVA.COM</t>
  </si>
  <si>
    <t>MARTINEZ AGUILAR ANA ERIKA</t>
  </si>
  <si>
    <t>M906345</t>
  </si>
  <si>
    <t>ANA.MARTINEZ.1@BBVA.COM</t>
  </si>
  <si>
    <t>SALGADO ALONSO JORGE FRANCISCO</t>
  </si>
  <si>
    <t>M910661</t>
  </si>
  <si>
    <t>JORGE.SALGADO2@BBVA.COM</t>
  </si>
  <si>
    <t>BIAIS PEREZ LUZ ELENA</t>
  </si>
  <si>
    <t>MB82107</t>
  </si>
  <si>
    <t>LUZELENA.BIAIS@BBVA.COM</t>
  </si>
  <si>
    <t>MEJIA PEREZ MARIA ANTONIETA</t>
  </si>
  <si>
    <t>M823186</t>
  </si>
  <si>
    <t>MARIAANTONIETA.MEJIA@BBVA.COM</t>
  </si>
  <si>
    <t>GARCIA SANTIAGO NOEMI</t>
  </si>
  <si>
    <t>MB82511</t>
  </si>
  <si>
    <t>NOEMI.GARCIA2@BBVA.COM</t>
  </si>
  <si>
    <t>CABALLERO CONTRERAS HECTOR</t>
  </si>
  <si>
    <t>MB16271</t>
  </si>
  <si>
    <t>HECTOR.CABALLERO@BBVA.COM</t>
  </si>
  <si>
    <t>MIRANDA OLIVOS EMMA LAURA</t>
  </si>
  <si>
    <t>MB13098</t>
  </si>
  <si>
    <t>EMMA.MIRANDA@BBVA.COM</t>
  </si>
  <si>
    <t>GONZALEZ TELLEZ JORGE ALBERTO</t>
  </si>
  <si>
    <t>MB22815</t>
  </si>
  <si>
    <t>JORGEALBERTO.GONZALEZ@BBVA.COM</t>
  </si>
  <si>
    <t>CABAL ANDRADE DANIEL OMAR</t>
  </si>
  <si>
    <t>MB41528</t>
  </si>
  <si>
    <t>DANIELOMAR.CABAL@BBVA.COM</t>
  </si>
  <si>
    <t>APONTE HERNANDEZ CARMEN GRACIELA</t>
  </si>
  <si>
    <t>MB44689</t>
  </si>
  <si>
    <t>CARMENGRACIELA.APONTE@BBVA.COM</t>
  </si>
  <si>
    <t>MARTINEZ GUERRERO IGNACIO DANIEL</t>
  </si>
  <si>
    <t>M30088</t>
  </si>
  <si>
    <t>D.MARTINEZG@BBVA.COM</t>
  </si>
  <si>
    <t>PALMAS FERNANDEZ ISRAEL</t>
  </si>
  <si>
    <t>M822220</t>
  </si>
  <si>
    <t>ISRAEL.PALMAS@BBVA.COM</t>
  </si>
  <si>
    <t>QUIROZ MENESES ALFONSO</t>
  </si>
  <si>
    <t>M203060</t>
  </si>
  <si>
    <t>A.QUIROZ@BBVA.COM</t>
  </si>
  <si>
    <t>DOMINGUEZ RUIZ SANDRA ROSALBA</t>
  </si>
  <si>
    <t>MA03253</t>
  </si>
  <si>
    <t>SANDRAROSALB.DOMINGUEZ@BBVA.COM</t>
  </si>
  <si>
    <t>ARANDA HERNANDEZ IVAN DE JESUS</t>
  </si>
  <si>
    <t>MB19775</t>
  </si>
  <si>
    <t>IVANDEJESUS.ARANDA@BBVA.COM</t>
  </si>
  <si>
    <t>BENITEZ FLORES JOSE GREGORIO</t>
  </si>
  <si>
    <t>MA02887</t>
  </si>
  <si>
    <t>JOSEGREGORIO.BENITEZ@BBVA.COM</t>
  </si>
  <si>
    <t>LOPEZ DUENAS MOISES</t>
  </si>
  <si>
    <t>MB74442</t>
  </si>
  <si>
    <t>MOISES.LOPEZ.DUENAS@BBVA.COM</t>
  </si>
  <si>
    <t>MORALES ZAVALA IGNACIO</t>
  </si>
  <si>
    <t>MB68081</t>
  </si>
  <si>
    <t>IGNACIO.MORALES2@BBVA.COM</t>
  </si>
  <si>
    <t>ORDONEZ ACEVEDO PAMELA</t>
  </si>
  <si>
    <t>MB56461</t>
  </si>
  <si>
    <t>PAMELA.ORDONEZ.ACEVEDO@BBVA.COM</t>
  </si>
  <si>
    <t>OZUNA ADAME MILTON FEDERICO</t>
  </si>
  <si>
    <t>MB05108</t>
  </si>
  <si>
    <t>MILTON.OZUNA.1@BBVA.COM</t>
  </si>
  <si>
    <t>CASTILLEJOS FIGUEROA MARIA DE LOURDES</t>
  </si>
  <si>
    <t>MB57938</t>
  </si>
  <si>
    <t>MARIADELOURDES.CASTILLEJOS.FI@BBVA.COM</t>
  </si>
  <si>
    <t>REYES TORRIJOS CESAR</t>
  </si>
  <si>
    <t>MB61350</t>
  </si>
  <si>
    <t>CESAR.REYES.TORRIJOS@BBVA.COM</t>
  </si>
  <si>
    <t>FLORES CHAVEZ ENRIQUE</t>
  </si>
  <si>
    <t>MB79594</t>
  </si>
  <si>
    <t>ENRIQUE.FLORES4@BBVA.COM</t>
  </si>
  <si>
    <t>ESCALANTE REYES PAULINA</t>
  </si>
  <si>
    <t>MB42060</t>
  </si>
  <si>
    <t>PAULINA.ESCALANTE@BBVA.COM</t>
  </si>
  <si>
    <t>MANCILLA SALGADO ALFREDO</t>
  </si>
  <si>
    <t>MB62673</t>
  </si>
  <si>
    <t>ALFREDO.MANCILLA@BBVA.COM</t>
  </si>
  <si>
    <t>GARCIA MEJIA CRISTINA</t>
  </si>
  <si>
    <t>MB61460</t>
  </si>
  <si>
    <t>CRISTINA.GARCIA.MEJIA@BBVA.COM</t>
  </si>
  <si>
    <t>MIRANDA BARRERA JANET LETICIA</t>
  </si>
  <si>
    <t>MB57862</t>
  </si>
  <si>
    <t>JANETLETICIA.MIRANDA@BBVA.COM</t>
  </si>
  <si>
    <t>LEZAMA ESQUIVEL OMAR DARIO</t>
  </si>
  <si>
    <t>MH01028</t>
  </si>
  <si>
    <t>O.LEZAMA@BBVA.COM</t>
  </si>
  <si>
    <t>GUERRERO SOSA ENRIQUE</t>
  </si>
  <si>
    <t>MB00386</t>
  </si>
  <si>
    <t>ENRIQUE.GUERRERO.1@BBVA.COM</t>
  </si>
  <si>
    <t>IBARRA RAMIREZ JOSE GUADALUPE</t>
  </si>
  <si>
    <t>MB10041</t>
  </si>
  <si>
    <t>JOSEGUADALUPE.IBARRA@BBVA.COM</t>
  </si>
  <si>
    <t>REYES GUERRERO PEDRO EDGARDO</t>
  </si>
  <si>
    <t>MB67093</t>
  </si>
  <si>
    <t>PEDROEDGARDO.REYES@BBVA.COM</t>
  </si>
  <si>
    <t>TORRES ESPINOZA SHEILY</t>
  </si>
  <si>
    <t>MB54030</t>
  </si>
  <si>
    <t>SHEILY.TORRES@BBVA.COM</t>
  </si>
  <si>
    <t>ANCONA MONTES ALEJANDRA IBETH</t>
  </si>
  <si>
    <t>MH00942</t>
  </si>
  <si>
    <t>ALEJANDRA.ANCONA@BBVA.COM</t>
  </si>
  <si>
    <t>RAMIREZ VAZQUEZ DIANA</t>
  </si>
  <si>
    <t>MB44140</t>
  </si>
  <si>
    <t>DIANA.RAMIREZ.VAZQUEZ@BBVA.COM</t>
  </si>
  <si>
    <t>MONROY SANDOVAL RICARDO</t>
  </si>
  <si>
    <t>MB37792</t>
  </si>
  <si>
    <t>RICARDO.MONROY.SANDOVAL@BBVA.COM</t>
  </si>
  <si>
    <t>RIVERA CASTILLO MAYRA</t>
  </si>
  <si>
    <t>MB34631</t>
  </si>
  <si>
    <t>MAYRA.RIVERA.CASTILLO@BBVA.COM</t>
  </si>
  <si>
    <t>AGUILAR CAMACHO JOSEFINA</t>
  </si>
  <si>
    <t>MA03054</t>
  </si>
  <si>
    <t>JOSEFINA.AGUILAR@BBVA.COM</t>
  </si>
  <si>
    <t>MORALES MARTINEZ YOLANDA GABRIELA</t>
  </si>
  <si>
    <t>MA31671</t>
  </si>
  <si>
    <t>YOLANDA.MORALES@BBVA.COM</t>
  </si>
  <si>
    <t>GONZALEZ ZERTUCHE BRENDA</t>
  </si>
  <si>
    <t>MB76446</t>
  </si>
  <si>
    <t>BRENDA.GONZALEZ.ZERTUCHE@BBVA.COM</t>
  </si>
  <si>
    <t>BRAVO MOCTEZUMA FRANCISCO</t>
  </si>
  <si>
    <t>M48705</t>
  </si>
  <si>
    <t>FRANCISCO.BRAVOM@BBVA.COM</t>
  </si>
  <si>
    <t>LUGO SANCHEZ VICTOR HUGO</t>
  </si>
  <si>
    <t>MH03147</t>
  </si>
  <si>
    <t>VICTOR.LUGO@BBVA.COM</t>
  </si>
  <si>
    <t>MARTINEZ CARMONA HAZAEL</t>
  </si>
  <si>
    <t>MB83572</t>
  </si>
  <si>
    <t>HAZAEL.MARTINEZ.CARMONA@BBVA.COM</t>
  </si>
  <si>
    <t>FUENTES MUNOZ FRANCISCO</t>
  </si>
  <si>
    <t>MB80799</t>
  </si>
  <si>
    <t>FRANCISCO.FUENTES.MUNOZ@BBVA.COM</t>
  </si>
  <si>
    <t>NAVA GUTIERREZ ROBERTO</t>
  </si>
  <si>
    <t>MA10095</t>
  </si>
  <si>
    <t>ROBERTO.NAVA@BBVA.COM</t>
  </si>
  <si>
    <t>ROJAS GONZALEZ OMAR SAHID</t>
  </si>
  <si>
    <t>MB61989</t>
  </si>
  <si>
    <t>OMARSAHID.ROJAS@BBVA.COM</t>
  </si>
  <si>
    <t>MONTERO MORALES CYNTHIA</t>
  </si>
  <si>
    <t>mb76198</t>
  </si>
  <si>
    <t>CYNTHIA.MONTERO.MORALES@BBVA.COM</t>
  </si>
  <si>
    <t>ACUNA PRECIADO NORALBA</t>
  </si>
  <si>
    <t>MB63188</t>
  </si>
  <si>
    <t>NORALBA.ACUNA.PRECIADO@BBVA.COM</t>
  </si>
  <si>
    <t>CACIQUE BARRIOS ROBERTO DAVID</t>
  </si>
  <si>
    <t>MB69614</t>
  </si>
  <si>
    <t>ROBERTODAVID.CACIQUE.BARRIOS@BBVA.COM</t>
  </si>
  <si>
    <t>GODINEZ FRANCO FRANCISCO JAVIER</t>
  </si>
  <si>
    <t>MB24411</t>
  </si>
  <si>
    <t>FRANCISCOJAV.GODINEZ@BBVA.COM</t>
  </si>
  <si>
    <t>CISNEROS GATICA CARMEN</t>
  </si>
  <si>
    <t>MB44453</t>
  </si>
  <si>
    <t>CARMEN.CISNEROS@BBVA.COM</t>
  </si>
  <si>
    <t>RICO PALOMINO DOLORES</t>
  </si>
  <si>
    <t>MA29908</t>
  </si>
  <si>
    <t>MARIADOLORES.RICO@BBVA.COM</t>
  </si>
  <si>
    <t>GARCIA ROSARIO LAURA GRISELDA</t>
  </si>
  <si>
    <t>MB63854</t>
  </si>
  <si>
    <t>LAURAGRISELDA.GARCIA@BBVA.COM</t>
  </si>
  <si>
    <t>RODRIGUEZ FIGUEROA ROCIO</t>
  </si>
  <si>
    <t>MA09169</t>
  </si>
  <si>
    <t>R.RODRIGUEZF@BBVA.COM</t>
  </si>
  <si>
    <t>RIVERA SANCHEZ JESUS LEOBARDO</t>
  </si>
  <si>
    <t>MB81120</t>
  </si>
  <si>
    <t>JESUSLEOBARDO.RIVERA@BBVA.COM</t>
  </si>
  <si>
    <t>OCANA VALENCIA FABIOLA NATIVIDAD</t>
  </si>
  <si>
    <t>MB76051</t>
  </si>
  <si>
    <t>FABIOLANATIVIDAD.OCANA@BBVA.COM</t>
  </si>
  <si>
    <t>ARELLANO RODRIGUEZ LOURDES</t>
  </si>
  <si>
    <t>MB82007</t>
  </si>
  <si>
    <t>LOURDES.ARELLANO.RODRIGUEZ@BBVA.COM</t>
  </si>
  <si>
    <t>RAMIREZ LAVANA ORCAR JAIME</t>
  </si>
  <si>
    <t>MA30411</t>
  </si>
  <si>
    <t>OSCAR.RAMIREZ.1@BBVA.COM</t>
  </si>
  <si>
    <t>LEAL GONZALEZ JULIAN</t>
  </si>
  <si>
    <t>M823038</t>
  </si>
  <si>
    <t>J.LEAL@BBVA.COM</t>
  </si>
  <si>
    <t>GARCIA DUARTE MARCO ANTONIO</t>
  </si>
  <si>
    <t>MA26610</t>
  </si>
  <si>
    <t>MARCOANTONIO.GARCIA.DUARTE@BBVA.COM</t>
  </si>
  <si>
    <t>OSORNO OSCOS ROBERTO IVAN</t>
  </si>
  <si>
    <t>MA27246</t>
  </si>
  <si>
    <t>ROBERTO.OSORNO@BBVA.COM</t>
  </si>
  <si>
    <t>ESTRADA GARCIA SERVANDO</t>
  </si>
  <si>
    <t>MB75411</t>
  </si>
  <si>
    <t>SERVANDO.ESTRADA@BBVA.COM</t>
  </si>
  <si>
    <t>BEIZA ROMERO ANASTACIA</t>
  </si>
  <si>
    <t>MB68405</t>
  </si>
  <si>
    <t>ANASTACIA.BEIZA@BBVA.COM</t>
  </si>
  <si>
    <t>ROMERO JARDON YAREL</t>
  </si>
  <si>
    <t>MB58996</t>
  </si>
  <si>
    <t>YAREL.ROMERO@BBVA.COM</t>
  </si>
  <si>
    <t>ISSA CARRASCO MARISOL</t>
  </si>
  <si>
    <t>MB68401</t>
  </si>
  <si>
    <t>MARISOL.ISSA.CARRASCO@BBVA.COM</t>
  </si>
  <si>
    <t>TRANQUILINO CARDENAS BRENDA</t>
  </si>
  <si>
    <t>MB69009</t>
  </si>
  <si>
    <t>BRENDA.TRANQUILINO@BBVA.COM</t>
  </si>
  <si>
    <t>GONZALEZ CONTRERAS LUIS ALBERTO</t>
  </si>
  <si>
    <t>M523950</t>
  </si>
  <si>
    <t>LUISALBERTO.GONZALEZ@BBVA.COM</t>
  </si>
  <si>
    <t>GODINEZ GAMEZ GUSTAVO</t>
  </si>
  <si>
    <t>MB46991</t>
  </si>
  <si>
    <t>GUSTAVO.GODINEZ@BBVA.COM</t>
  </si>
  <si>
    <t>GARCIA GOMEZ RUBEN</t>
  </si>
  <si>
    <t>MB37043</t>
  </si>
  <si>
    <t>RUBEN.GARCIA.GOMEZ@BBVA.COM</t>
  </si>
  <si>
    <t>BUSTOS ROMAN VIANEY YADIRA</t>
  </si>
  <si>
    <t>MB00899</t>
  </si>
  <si>
    <t>MB00899@BBVA.COM</t>
  </si>
  <si>
    <t>RODRIGUEZ TELLO PABLO</t>
  </si>
  <si>
    <t>M203077</t>
  </si>
  <si>
    <t>PABLO.RODRIGUEZ@BBVA.COM</t>
  </si>
  <si>
    <t>ENCARNACION ROJO JOSE JUAN</t>
  </si>
  <si>
    <t>MB77021</t>
  </si>
  <si>
    <t>JOSEJUAN.ENCARNACION.ROJO@BBVA.COM</t>
  </si>
  <si>
    <t>FLORES MARTINEZ ISAIAS HILARIO</t>
  </si>
  <si>
    <t>MA02850</t>
  </si>
  <si>
    <t>ISAIAS.FLORES@BBVA.COM</t>
  </si>
  <si>
    <t>MARRON MUNOZ JUANA BELEM</t>
  </si>
  <si>
    <t>MA31576</t>
  </si>
  <si>
    <t>JUANA.MARRON@BBVA.COM</t>
  </si>
  <si>
    <t>ORTIZ RENDON CESAR</t>
  </si>
  <si>
    <t>MH03830</t>
  </si>
  <si>
    <t>CESAR.ORTIZ@BBVA.COM</t>
  </si>
  <si>
    <t>HERNANDEZ CAMIRUAGA ROGELIO</t>
  </si>
  <si>
    <t>MB54129</t>
  </si>
  <si>
    <t>ROGELIO.HERNANDEZ.CAMIRUAGA@BBVA.COM</t>
  </si>
  <si>
    <t>GRIMALDO CARDENAS ISRAEL OMAR</t>
  </si>
  <si>
    <t>MB76349</t>
  </si>
  <si>
    <t>ISRAELOMAR.GRIMALDO.CARDENAS@BBVA.COM</t>
  </si>
  <si>
    <t>MORENO MARTINEZ JUAN FRANCISCO</t>
  </si>
  <si>
    <t>MB71002</t>
  </si>
  <si>
    <t>juanfrancisco.moreno.martinez@bbva.com</t>
  </si>
  <si>
    <t>NAJERA MORALES JULIO</t>
  </si>
  <si>
    <t>MB70570</t>
  </si>
  <si>
    <t>JULIO.NAJERA@BBVA.COM</t>
  </si>
  <si>
    <t>GARCIA DIAZ LIZBETH</t>
  </si>
  <si>
    <t>MA29781</t>
  </si>
  <si>
    <t>LIZBETH.GARCIA2@BBVA.COM</t>
  </si>
  <si>
    <t>FUENTES CASTILLO SILVIA</t>
  </si>
  <si>
    <t>MB55346</t>
  </si>
  <si>
    <t>SILVIA.FUENTES.CASTILLO@BBVA.COM</t>
  </si>
  <si>
    <t>MIRELES VIVEROS SOFIA</t>
  </si>
  <si>
    <t>MB26756</t>
  </si>
  <si>
    <t>SOFIA.MIRELES@BBVA.COM</t>
  </si>
  <si>
    <t>SANCHEZ CHAVEZ RODRIGO</t>
  </si>
  <si>
    <t>MB07900</t>
  </si>
  <si>
    <t>RODRIGO.SANCHEZ2@BBVA.COM</t>
  </si>
  <si>
    <t>HERNANDEZ RIVERA HUGO</t>
  </si>
  <si>
    <t>MA31313</t>
  </si>
  <si>
    <t>HUGO.HERNANDEZ2@BBVA.COM</t>
  </si>
  <si>
    <t>BARRAGAN REBOLLEDO JOSE ANGEL</t>
  </si>
  <si>
    <t>M51242</t>
  </si>
  <si>
    <t>JOSEANGEL.BARRAGAN@BBVA.COM</t>
  </si>
  <si>
    <t>CAZARES RIVERA MARIA PATRICIA</t>
  </si>
  <si>
    <t>M50528</t>
  </si>
  <si>
    <t>P.CAZARES@BBVA.COM</t>
  </si>
  <si>
    <t>LAGARDE MARTINEZ MARCO ANTONIO</t>
  </si>
  <si>
    <t>M914086</t>
  </si>
  <si>
    <t>MARCO.LAGARDE@BBVA.COM</t>
  </si>
  <si>
    <t>ALAVEZ CATANO RODRIGO</t>
  </si>
  <si>
    <t>MH00798</t>
  </si>
  <si>
    <t>RODRIGO.ALAVEZ@BBVA.COM</t>
  </si>
  <si>
    <t>GARCIA TORRES HUGO</t>
  </si>
  <si>
    <t>MH01622</t>
  </si>
  <si>
    <t>HUGO.GARCIA@BBVA.COM</t>
  </si>
  <si>
    <t>NUNEZ LOPEZ SARAHI</t>
  </si>
  <si>
    <t>MB21328</t>
  </si>
  <si>
    <t>SARAHI.NUNEZ@BBVA.COM</t>
  </si>
  <si>
    <t>PARRA ROJAS ELIZABETH</t>
  </si>
  <si>
    <t>M48540</t>
  </si>
  <si>
    <t>E.PARRA@BBVA.COM</t>
  </si>
  <si>
    <t>ABASCAL CONTRERAS ENRIQUE ALEXIS</t>
  </si>
  <si>
    <t>MB82851</t>
  </si>
  <si>
    <t>ENRIQUEALEXIS.ABASCAL@BBVA.COM</t>
  </si>
  <si>
    <t>SANCHEZ CORONA LUIS FERNANDO</t>
  </si>
  <si>
    <t>MB37653</t>
  </si>
  <si>
    <t>LUISFERNANDO.SANCHEZ.CORONA@BBVA.COM</t>
  </si>
  <si>
    <t>DIAZ GONZALEZ LEONARDO ISRAEL</t>
  </si>
  <si>
    <t>MB60037</t>
  </si>
  <si>
    <t>LEONARDOISRAEL.DIAZ@BBVA.COM</t>
  </si>
  <si>
    <t>ROSALES SANTANA ROCIO</t>
  </si>
  <si>
    <t>MB48365</t>
  </si>
  <si>
    <t>ROCIO.ROSALES@BBVA.COM</t>
  </si>
  <si>
    <t>ORTIZ VAZQUEZ CARLOS ADRIAN</t>
  </si>
  <si>
    <t>MB85538</t>
  </si>
  <si>
    <t>SUAREZ ROJAS JORGE SILVIO</t>
  </si>
  <si>
    <t>MB68087</t>
  </si>
  <si>
    <t>JORGESILVIO.SUAREZ@BBVA.COM</t>
  </si>
  <si>
    <t>AGUILAR SABANERO CESAR DIEGO EMILIO</t>
  </si>
  <si>
    <t>MB82877</t>
  </si>
  <si>
    <t>CESARDIEGOEMILIO.AGUILAR@BBVA.COM</t>
  </si>
  <si>
    <t>GARCIA ESTRADA LUIS RICARDO</t>
  </si>
  <si>
    <t>MB75688</t>
  </si>
  <si>
    <t>LUISRICARDO.GARCIA@BBVA.COM</t>
  </si>
  <si>
    <t>ARAUJO REYES RICARDO</t>
  </si>
  <si>
    <t>MA23452</t>
  </si>
  <si>
    <t>RICARDO.ARAUJO@BBVA.COM</t>
  </si>
  <si>
    <t>GONZALEZ MENDOZA MARISOL</t>
  </si>
  <si>
    <t>MB24953</t>
  </si>
  <si>
    <t>MARISOL.GONZALEZ.MENDOZA@BBVA.COM</t>
  </si>
  <si>
    <t>PEREZ SERRANO MANUEL ALEJANDRO</t>
  </si>
  <si>
    <t>MB63962</t>
  </si>
  <si>
    <t>MANUELALEJANDRO.PEREZ.SERRANO@BBVA.COM</t>
  </si>
  <si>
    <t>AGUILERA ESTRADA GERARDO</t>
  </si>
  <si>
    <t>MB52908</t>
  </si>
  <si>
    <t>GERARDO.AGUILERA2@BBVA.COM</t>
  </si>
  <si>
    <t>HERNANDEZ FONSECA RAMIRO</t>
  </si>
  <si>
    <t>MB76049</t>
  </si>
  <si>
    <t>RAMIRO.HERNANDEZ@BBVA.COM</t>
  </si>
  <si>
    <t>GONZALEZ GUERRERO GERARDO</t>
  </si>
  <si>
    <t>M54121</t>
  </si>
  <si>
    <t>GERARDO.GONZALEZ@BBVA.COM</t>
  </si>
  <si>
    <t>GALINDO GONZALEZ ISRAEL</t>
  </si>
  <si>
    <t>M840024</t>
  </si>
  <si>
    <t>ISRAEL.GALINDO.1@BBVA.COM</t>
  </si>
  <si>
    <t>CONTRERAS MARIN PAMELA</t>
  </si>
  <si>
    <t>MB65802</t>
  </si>
  <si>
    <t>PAMELA.CONTRERAS.MARIN@BBVA.COM</t>
  </si>
  <si>
    <t>BOCANEGRA LLAMAS RICARDO</t>
  </si>
  <si>
    <t>MB78461</t>
  </si>
  <si>
    <t>RICARDO.BOCANEGRA.LLAMAS@BBVA.COM</t>
  </si>
  <si>
    <t>SUAREZ RODRIGUEZ HECTOR</t>
  </si>
  <si>
    <t>MB06089</t>
  </si>
  <si>
    <t>HECTOR.SUAREZ@BBVA.COM</t>
  </si>
  <si>
    <t>SALINAS ARIAS LADISLAO GERARDO</t>
  </si>
  <si>
    <t>MB39946</t>
  </si>
  <si>
    <t>LADISLAOGERARDO.SALINAS@BBVA.COM</t>
  </si>
  <si>
    <t>GARDUNO OLIVA IGNACIO</t>
  </si>
  <si>
    <t>MB46199</t>
  </si>
  <si>
    <t>IGNACIO.GARDUNO@BBVA.COM</t>
  </si>
  <si>
    <t>SOLIS ARENAZAS LAURA YADIRA</t>
  </si>
  <si>
    <t>MA10887</t>
  </si>
  <si>
    <t>LAURA.SOLIS@BBVA.COM</t>
  </si>
  <si>
    <t>DE LUCIO PEREZ MARCOS</t>
  </si>
  <si>
    <t>MH03586</t>
  </si>
  <si>
    <t>MARCOS.DELUCIO@BBVA.COM</t>
  </si>
  <si>
    <t>HERNANDEZ VALENZUELA CLAUDIA</t>
  </si>
  <si>
    <t>MB57860</t>
  </si>
  <si>
    <t>CLAUDIA.HERNANDEZ.VALENZUELA@BBVA.COM</t>
  </si>
  <si>
    <t>VELAZQUEZ HERNANDEZ GUILLERMO</t>
  </si>
  <si>
    <t>MA00560</t>
  </si>
  <si>
    <t>GUILLERMO.VELAZQUEZ@BBVA.COM</t>
  </si>
  <si>
    <t>PADILLA ARISTA EDGAR ULISES</t>
  </si>
  <si>
    <t>MB81915</t>
  </si>
  <si>
    <t>EDGARULISES.PADILLA@BBVA.COM</t>
  </si>
  <si>
    <t>CASTILLO RAMIREZ FELIPE</t>
  </si>
  <si>
    <t>MA08012</t>
  </si>
  <si>
    <t>FELIPE.CASTILLO@BBVA.COM</t>
  </si>
  <si>
    <t>CAZARES MOLINERO JOSE JUAN</t>
  </si>
  <si>
    <t>MB64282</t>
  </si>
  <si>
    <t>JOSEJUAN.CAZARES@BBVA.COM</t>
  </si>
  <si>
    <t>CADENA OROZCO ROBERTO DANIEL</t>
  </si>
  <si>
    <t>MB85461</t>
  </si>
  <si>
    <t>TECUALT ALVAREZ MIGUEL ANGEL</t>
  </si>
  <si>
    <t>MA27365</t>
  </si>
  <si>
    <t>MIGUEL.TECUALT@BBVA.COM</t>
  </si>
  <si>
    <t>TORRES CRUZ DOLORES</t>
  </si>
  <si>
    <t>MB74429</t>
  </si>
  <si>
    <t>DOLORES.TORRES.CRUZ@BBVA.COM</t>
  </si>
  <si>
    <t>JIMENEZ MARTINEZ ISRAEL</t>
  </si>
  <si>
    <t>MB73764</t>
  </si>
  <si>
    <t>ISRAEL.JIMENEZ@BBVA.COM</t>
  </si>
  <si>
    <t>VARGAS ALVAREZ MARIA ESTHER</t>
  </si>
  <si>
    <t>MA30293</t>
  </si>
  <si>
    <t>MARIAESTHER.VARGAS@BBVA.COM</t>
  </si>
  <si>
    <t>SANCHEZ HERRERA LETICIA</t>
  </si>
  <si>
    <t>MB68408</t>
  </si>
  <si>
    <t>LETICIA.SANCHEZ.HERRERA@BBVA.COM</t>
  </si>
  <si>
    <t>HERNANDEZ JUAREZ MYRIAM CRISTINA</t>
  </si>
  <si>
    <t>M47712</t>
  </si>
  <si>
    <t>MC.HERNANDEZ@BBVA.COM</t>
  </si>
  <si>
    <t>CERVANTES PANTOJA RAMON</t>
  </si>
  <si>
    <t>MA03117</t>
  </si>
  <si>
    <t>RAMON.CERVANTES@BBVA.COM</t>
  </si>
  <si>
    <t>PACHECO ALVAREZ CARLOS JESUS</t>
  </si>
  <si>
    <t>MA28603</t>
  </si>
  <si>
    <t>CARLOSJESUS.PACHECO@BBVA.COM</t>
  </si>
  <si>
    <t>PEREZ SERRATO SUJEY</t>
  </si>
  <si>
    <t>MB21598</t>
  </si>
  <si>
    <t>SUJEY.PEREZ@BBVA.COM</t>
  </si>
  <si>
    <t>MORALES GARCIA MARIA TERESA</t>
  </si>
  <si>
    <t>MB20780</t>
  </si>
  <si>
    <t>MARIATERESA.MORALES@BBVA.COM</t>
  </si>
  <si>
    <t>FERNANDEZ VALDEZ JOSE LUIS</t>
  </si>
  <si>
    <t>M342087</t>
  </si>
  <si>
    <t>JOSELUIS.FERNANDEZ@BBVA.COM</t>
  </si>
  <si>
    <t>RODRIGUEZ CONDE ELSA YANIRA</t>
  </si>
  <si>
    <t>M524227</t>
  </si>
  <si>
    <t>ELSA.RODRIGUEZ@BBVA.COM</t>
  </si>
  <si>
    <t>LOPEZ MARTINEZ MARGARITA</t>
  </si>
  <si>
    <t>MB63073</t>
  </si>
  <si>
    <t>MARGARITA.LOPEZ.MARTINEZ@BBVA.COM</t>
  </si>
  <si>
    <t>URBINA FLORES GLORIA GRISELDA</t>
  </si>
  <si>
    <t>M31527</t>
  </si>
  <si>
    <t>G.URBINA@BBVA.COM</t>
  </si>
  <si>
    <t>MEJIA BARBOZA MARIA LYDIA</t>
  </si>
  <si>
    <t>MB76729</t>
  </si>
  <si>
    <t>MARIALYDIA.MEJIA.BARBOZA@BBVA.COM</t>
  </si>
  <si>
    <t>LOPEZ FLORES MIRIAM</t>
  </si>
  <si>
    <t>MB46501</t>
  </si>
  <si>
    <t>MIRIAM.LOPEZ2@BBVA.COM</t>
  </si>
  <si>
    <t>MARTINEZ DE HOYOS HECTOR ULISES</t>
  </si>
  <si>
    <t>MB51791</t>
  </si>
  <si>
    <t>HECTORULISES.MARTINEZ@BBVA.COM</t>
  </si>
  <si>
    <t>SALAZAR GONZALEZ MARIO AURELIO</t>
  </si>
  <si>
    <t>MB61410</t>
  </si>
  <si>
    <t>MARIOAURELIO.SALAZAR.GONZALEZ@BBVA.COM</t>
  </si>
  <si>
    <t>PALACIOS BELTRAN SUSANA MARCELA</t>
  </si>
  <si>
    <t>MB06492</t>
  </si>
  <si>
    <t>SUSANA.PALACIOS@BBVA.COM</t>
  </si>
  <si>
    <t>ANTUNA ESQUIVEL YOLANDA GUADALUPE</t>
  </si>
  <si>
    <t>MH03765</t>
  </si>
  <si>
    <t>YOLANDA.ANTUNA@BBVA.COM</t>
  </si>
  <si>
    <t>HERNANDEZ REYES JOSE LUIS</t>
  </si>
  <si>
    <t>MB50226</t>
  </si>
  <si>
    <t>JOSELUIS.HERNANDEZ2@BBVA.COM</t>
  </si>
  <si>
    <t>ORGAZA CASTILLO CLAUDIA EDITH</t>
  </si>
  <si>
    <t>M31071</t>
  </si>
  <si>
    <t>E.ORGAZA@BBVA.COM</t>
  </si>
  <si>
    <t>AVILA ROCHA MARCELINO</t>
  </si>
  <si>
    <t>MB27003</t>
  </si>
  <si>
    <t>MARCELINO.AVILA@BBVA.COM</t>
  </si>
  <si>
    <t>DAVILA TOLENTINO ARIEL</t>
  </si>
  <si>
    <t>MB38632</t>
  </si>
  <si>
    <t>ARIEL.DAVILA@BBVA.COM</t>
  </si>
  <si>
    <t>SANCHEZ TORRES FLOR IDALIA</t>
  </si>
  <si>
    <t>MB32656</t>
  </si>
  <si>
    <t>FLORIDALIA.SANCHEZ@BBVA.COM</t>
  </si>
  <si>
    <t>BUENDIA TREVINO NEFERTITI</t>
  </si>
  <si>
    <t>MB79135</t>
  </si>
  <si>
    <t>NEFERTITI.BUENDIA.TREVINO@BBVA.COM</t>
  </si>
  <si>
    <t>CARRANZA LOPEZ SILVIA</t>
  </si>
  <si>
    <t>MB54884</t>
  </si>
  <si>
    <t>SILVIA.CARRANZA@BBVA.COM</t>
  </si>
  <si>
    <t>CEPEDA ORTA GABRIELA</t>
  </si>
  <si>
    <t>mb74779</t>
  </si>
  <si>
    <t>gabriela.cepeda.orta@bbva.com</t>
  </si>
  <si>
    <t>JIMENEZ GUTIERREZ GABRIELA</t>
  </si>
  <si>
    <t>M523932</t>
  </si>
  <si>
    <t>GABRIELA.JIMENEZG@BBVA.COM</t>
  </si>
  <si>
    <t>ALVARADO SORIA HERIBERTO</t>
  </si>
  <si>
    <t>MB09534</t>
  </si>
  <si>
    <t>HERIBERTO.ALVARADO@BBVA.COM</t>
  </si>
  <si>
    <t>DE LA ROSA DELGADO BLANCA LETICIA</t>
  </si>
  <si>
    <t>MA03760</t>
  </si>
  <si>
    <t>BLANCA.DELAROSA@BBVA.COM</t>
  </si>
  <si>
    <t>VAZQUEZ CAVAZOS HECTOR SAUL</t>
  </si>
  <si>
    <t>MB70232</t>
  </si>
  <si>
    <t>HECTORSAUL.VAZQUEZ.CAVAZOS@BBVA.COM</t>
  </si>
  <si>
    <t>BERMUDEZ LARA LIDIA BERENICE</t>
  </si>
  <si>
    <t>MA31173</t>
  </si>
  <si>
    <t>LIDIA.BERMUDEZ@BBVA.COM</t>
  </si>
  <si>
    <t>TIJERINA RUBIO NORA MARIBEL</t>
  </si>
  <si>
    <t>MA01089</t>
  </si>
  <si>
    <t>NORA.TIJERINA@BBVA.COM</t>
  </si>
  <si>
    <t>RAMOS ELIZALDE JUAN</t>
  </si>
  <si>
    <t>MB22684</t>
  </si>
  <si>
    <t>JUAN.RAMOSE@BBVA.COM</t>
  </si>
  <si>
    <t>ONTIVEROS GUZMAN ARMANDO JAVIER</t>
  </si>
  <si>
    <t>MB20791</t>
  </si>
  <si>
    <t>ARMANDOJAVIE.ONTIVEROS@BBVA.COM</t>
  </si>
  <si>
    <t>RUIZ TORRES CESAR ADRIAN</t>
  </si>
  <si>
    <t>MB22693</t>
  </si>
  <si>
    <t>CESARADRIAN.RUIZ@BBVA.COM</t>
  </si>
  <si>
    <t>CASTELLANOS BARBIER HECTOR</t>
  </si>
  <si>
    <t>M431206</t>
  </si>
  <si>
    <t>H.CASTELLANOS@BBVA.COM</t>
  </si>
  <si>
    <t>CHAVEZ GRAJEDA FEDERICO</t>
  </si>
  <si>
    <t>MB55636</t>
  </si>
  <si>
    <t>FEDERICO.CHAVEZ.GRAJEDA@BBVA.COM</t>
  </si>
  <si>
    <t>ORTEGA RODRIGUEZ GERARDO</t>
  </si>
  <si>
    <t>MB24900</t>
  </si>
  <si>
    <t>GERARDO.ORTEGA@BBVA.COM</t>
  </si>
  <si>
    <t>TORRES TARIN MANUEL</t>
  </si>
  <si>
    <t>MB31720</t>
  </si>
  <si>
    <t>MANUEL.TORRES.TARIN@BBVA.COM</t>
  </si>
  <si>
    <t>ORTEGA RODRIGUEZ LUZ MARIA</t>
  </si>
  <si>
    <t>MB03081</t>
  </si>
  <si>
    <t>LUZ.ORTEGA.1@BBVA.COM</t>
  </si>
  <si>
    <t>BALDERRAMA GONZALEZ GILDA SOCORRO</t>
  </si>
  <si>
    <t>MA10524</t>
  </si>
  <si>
    <t>GILDA.BALDERRAMA@BBVA.COM</t>
  </si>
  <si>
    <t>MARTINEZ SANCHEZ ALAN YAMIR</t>
  </si>
  <si>
    <t>MB55337</t>
  </si>
  <si>
    <t>ALANYAMIR.MARTINEZ@BBVA.COM</t>
  </si>
  <si>
    <t>HERNANDEZ ALBA ERIKA JANET</t>
  </si>
  <si>
    <t>MB77046</t>
  </si>
  <si>
    <t>erikajanet.hernandez.alba@bbva.com</t>
  </si>
  <si>
    <t>. GUZMAN ROCIO</t>
  </si>
  <si>
    <t>MA31734</t>
  </si>
  <si>
    <t>ROCIO.GUZMAN@BBVA.COM</t>
  </si>
  <si>
    <t>PINON CORONA GLORIA MAGDALENA</t>
  </si>
  <si>
    <t>MA29521</t>
  </si>
  <si>
    <t>GLORIA.PINON@BBVA.COM</t>
  </si>
  <si>
    <t>CAZARES GARCIA MARIA AIDEE</t>
  </si>
  <si>
    <t>MB76988</t>
  </si>
  <si>
    <t>MARIAAIDEE.CAZARES.GARCIA@BBVA.COM</t>
  </si>
  <si>
    <t>DE ANDA MURUATO LETICIA</t>
  </si>
  <si>
    <t>MH03819</t>
  </si>
  <si>
    <t>LETICIA.DEANDA@BBVA.COM</t>
  </si>
  <si>
    <t>RIOS CHAVEZ OSVALDO</t>
  </si>
  <si>
    <t>MB12488</t>
  </si>
  <si>
    <t>OSVALDO.RIOS@BBVA.COM</t>
  </si>
  <si>
    <t>MURILLO RODRIGUEZ FELIPE DE JESUS</t>
  </si>
  <si>
    <t>MB78086</t>
  </si>
  <si>
    <t>FELIPEDEJESUS.MURILLO@BBVA.COM</t>
  </si>
  <si>
    <t>JUAREZ MARTINEZ ABRAHAM ANTONIO</t>
  </si>
  <si>
    <t>MB79478</t>
  </si>
  <si>
    <t>ABRAHAMANTONIO.JUAREZ@BBVA.COM</t>
  </si>
  <si>
    <t>DE LA TORRE BANUELOS GUILLERMINA</t>
  </si>
  <si>
    <t>MB02559</t>
  </si>
  <si>
    <t>GUILLERMINA.DELATORRE@BBVA.COM</t>
  </si>
  <si>
    <t>BRUNO PEREZ PEDRO FERNANDO</t>
  </si>
  <si>
    <t>MB67987</t>
  </si>
  <si>
    <t>PEDROFERNANDO.BRUNO.PEREZ@BBVA.COM</t>
  </si>
  <si>
    <t>RODRIGUEZ VALADEZ SOFIA LORENA</t>
  </si>
  <si>
    <t>MB60691</t>
  </si>
  <si>
    <t>SOFIALORENA.RODRIGUEZ@BBVA.COM</t>
  </si>
  <si>
    <t>ROYO GONZALEZ BRENDA SELENE</t>
  </si>
  <si>
    <t>MH03644</t>
  </si>
  <si>
    <t>BRENDA.ROYO@BBVA.COM</t>
  </si>
  <si>
    <t>LEOS MALDONADO MIGUEL ALBERTO</t>
  </si>
  <si>
    <t>MB82128</t>
  </si>
  <si>
    <t>MIGUELALBERTO.LEOS.MALDONADO@BBVA.COM</t>
  </si>
  <si>
    <t>PASILLAS MARTINEZ JOSE DANIEL</t>
  </si>
  <si>
    <t>MA11920</t>
  </si>
  <si>
    <t>JOSEDANIEL.PASILLLAS@BBVA.COM</t>
  </si>
  <si>
    <t>PEREZ MONROY SAUL</t>
  </si>
  <si>
    <t>MB62723</t>
  </si>
  <si>
    <t>SAUL.PEREZ.MONROY@BBVA.COM</t>
  </si>
  <si>
    <t>LUGO PACHECO MAURICIO ALBERTO</t>
  </si>
  <si>
    <t>MB24886</t>
  </si>
  <si>
    <t>MAURICIOALBE.LUGO@BBVA.COM</t>
  </si>
  <si>
    <t>URIBE MARTINEZ ADRIAN GABRIEL</t>
  </si>
  <si>
    <t>MB52396</t>
  </si>
  <si>
    <t>ADRIANGABRIEL.URIBE@BBVA.COM</t>
  </si>
  <si>
    <t>MARTINEZ CONTRERAS REYNA GUADALUPE</t>
  </si>
  <si>
    <t>MA18172</t>
  </si>
  <si>
    <t>REYNA.MARTINEZ.2@BBVA.COM</t>
  </si>
  <si>
    <t>VILLARREAL LOPEZ JAIME ISRAEL</t>
  </si>
  <si>
    <t>MA14289</t>
  </si>
  <si>
    <t>JAIME.VILLAREAL@BBVA.COM</t>
  </si>
  <si>
    <t>MORALES BALDERRAMA OMAR ALEJANDRO</t>
  </si>
  <si>
    <t>MA11155</t>
  </si>
  <si>
    <t>OMAR.MORALES@BBVA.COM</t>
  </si>
  <si>
    <t>FLORES ESPANA PEDRO</t>
  </si>
  <si>
    <t>MA11091</t>
  </si>
  <si>
    <t>PEDRO.FLORES@BBVA.COM</t>
  </si>
  <si>
    <t>SILVA HERNANDEZ CLAUDIA</t>
  </si>
  <si>
    <t>MA29528</t>
  </si>
  <si>
    <t>CLAUDIA.SILVA@BBVA.COM</t>
  </si>
  <si>
    <t>CORRAL RIVERA ELEAZAR</t>
  </si>
  <si>
    <t>MA13122</t>
  </si>
  <si>
    <t>ELEAZAR.CORRAL@BBVA.COM</t>
  </si>
  <si>
    <t>VILLALPANDO FRANCO JULIO</t>
  </si>
  <si>
    <t>MB27616</t>
  </si>
  <si>
    <t>JULIO.VILLALPANDO.1@BBVA.COM</t>
  </si>
  <si>
    <t>BARRAGAN FERNANDEZ DIANA IVONNE</t>
  </si>
  <si>
    <t>MB76709</t>
  </si>
  <si>
    <t>DIANAIVONNE.BARRAGAN@BBVA.COM</t>
  </si>
  <si>
    <t>CARDONA MATA EDGAR ADRIAN</t>
  </si>
  <si>
    <t>MA11716</t>
  </si>
  <si>
    <t>EDGAR.CARDONA@BBVA.COM</t>
  </si>
  <si>
    <t>MARTINEZ SOSA MARIA DEL SOCORRO</t>
  </si>
  <si>
    <t>MA29763</t>
  </si>
  <si>
    <t>MARIADELSOCORRO.MARTINEZ@BBVA.COM</t>
  </si>
  <si>
    <t>DELGADO VEGA KARLA VIVIANA</t>
  </si>
  <si>
    <t>MB75969</t>
  </si>
  <si>
    <t>KARLAVIVIANA.DELGADO.VEGA@BBVA.COM</t>
  </si>
  <si>
    <t>GONZALEZ LARA ANGEL EDUARDO</t>
  </si>
  <si>
    <t>MB47862</t>
  </si>
  <si>
    <t>ANGELEDUARDO.GONZALEZ@BBVA.COM</t>
  </si>
  <si>
    <t>GUTIERREZ GONZALEZ MARIA ELENA</t>
  </si>
  <si>
    <t>MB65986</t>
  </si>
  <si>
    <t>MARIAELENA.GUTIERREZ2@BBVA.COM</t>
  </si>
  <si>
    <t>CASTRO RUIZ GABRIEL ALONSO</t>
  </si>
  <si>
    <t>MH00686</t>
  </si>
  <si>
    <t>GABRIEL.CASTRO@BBVA.COM</t>
  </si>
  <si>
    <t>MEJIA TORRES ARACELY</t>
  </si>
  <si>
    <t>MB47273</t>
  </si>
  <si>
    <t>ARACELY.MEJIA@BBVA.COM</t>
  </si>
  <si>
    <t>ABREGO MORALES LUIS MANUEL</t>
  </si>
  <si>
    <t>MB69963</t>
  </si>
  <si>
    <t>LUISMANUEL.ABREGO.MORALES@BBVA.COM</t>
  </si>
  <si>
    <t>FLORES MENDEZ LETICIA</t>
  </si>
  <si>
    <t>MB81218</t>
  </si>
  <si>
    <t>LETICIA.FLORES2@BBVA.COM</t>
  </si>
  <si>
    <t>PEREZ GOMEZ OBED</t>
  </si>
  <si>
    <t>MB70239</t>
  </si>
  <si>
    <t>OBED.PEREZ.GOMEZ@BBVA.COM</t>
  </si>
  <si>
    <t>RAMIREZ MURRIETA MIGUEL</t>
  </si>
  <si>
    <t>MB60505</t>
  </si>
  <si>
    <t>MIGUEL.RAMIREZ3@BBVA.COM</t>
  </si>
  <si>
    <t>HERNANDEZ LEON KARLA ITZEL</t>
  </si>
  <si>
    <t>MB70669</t>
  </si>
  <si>
    <t>KARLAITZEL.HERNANDEZ@BBVA.COM</t>
  </si>
  <si>
    <t>GARAY GARCIA ERIKA MARLENE</t>
  </si>
  <si>
    <t>MB69961</t>
  </si>
  <si>
    <t>ERIKAMARLENE.GARAY.GARCIA@BBVA.COM</t>
  </si>
  <si>
    <t>GARCIA JUAREZ NEIDE YEDID ISABEL</t>
  </si>
  <si>
    <t>MB00525</t>
  </si>
  <si>
    <t>NEIDE.GARCIA@BBVA.COM</t>
  </si>
  <si>
    <t>LARA RENDON ERIK ALBERTO</t>
  </si>
  <si>
    <t>MB72821</t>
  </si>
  <si>
    <t>erikalberto.lara@bbva.com</t>
  </si>
  <si>
    <t>ROCHA MEDINA RAUL NESTOR</t>
  </si>
  <si>
    <t>MB60508</t>
  </si>
  <si>
    <t>RAULNESTOR.ROCHA@BBVA.COM</t>
  </si>
  <si>
    <t>ANDRADE SALINAS VICTOR HUGO</t>
  </si>
  <si>
    <t>MB67991</t>
  </si>
  <si>
    <t>VICTORHUGO.ANDRADE@BBVA.COM</t>
  </si>
  <si>
    <t>AVENDANO ZACARIAS ROBERTO</t>
  </si>
  <si>
    <t>MB69962</t>
  </si>
  <si>
    <t>ROBERTO.AVENDANO2@BBVA.COM</t>
  </si>
  <si>
    <t>BAUTISTA MAYORGA ISMAEL</t>
  </si>
  <si>
    <t>MB66951</t>
  </si>
  <si>
    <t>ISMAEL.BAUTISTA.MAYORGA@BBVA.COM</t>
  </si>
  <si>
    <t>ARTEAGA VAZQUEZ JUAN PERFECTO</t>
  </si>
  <si>
    <t>MB20446</t>
  </si>
  <si>
    <t>JUANPERFECTO.ARTEAGA@BBVA.COM</t>
  </si>
  <si>
    <t>FUENTES MEDINA PERLA ALEJANDRINA</t>
  </si>
  <si>
    <t>MB35822</t>
  </si>
  <si>
    <t>PERLAALEJANDRINA.FUENTES@BBVA.COM</t>
  </si>
  <si>
    <t>VILLEGAS LOPEZ ALICIA ALEYDA</t>
  </si>
  <si>
    <t>MA31546</t>
  </si>
  <si>
    <t>ALICIA.VILLEGAS@BBVA.COM</t>
  </si>
  <si>
    <t>RAMOS RAMOS ROBERTO</t>
  </si>
  <si>
    <t>MB46615</t>
  </si>
  <si>
    <t>ROBERTO.RAMOS.RAMOS@BBVA.COM</t>
  </si>
  <si>
    <t>DEL ANGEL HERNANDEZ CASIMIRO</t>
  </si>
  <si>
    <t>M469218</t>
  </si>
  <si>
    <t>CASIMIRO.DELANGEL@BBVA.COM</t>
  </si>
  <si>
    <t>NARRO FUENTES JOSE CARLOS</t>
  </si>
  <si>
    <t>MB79500</t>
  </si>
  <si>
    <t>JOSECARLOS.NARRO.FUENTES@BBVA.COM</t>
  </si>
  <si>
    <t>GONZALEZ LECHUGA CIRO</t>
  </si>
  <si>
    <t>MB81262</t>
  </si>
  <si>
    <t>CIRO.GONZALEZ.LECHUGA@BBVA.COM</t>
  </si>
  <si>
    <t>PENA NINO EVA PATRICIA</t>
  </si>
  <si>
    <t>MA13230</t>
  </si>
  <si>
    <t>EVAPATRICIA.PENA@BBVA.COM</t>
  </si>
  <si>
    <t>RAMOS MEDINA SANDRA</t>
  </si>
  <si>
    <t>MA23478</t>
  </si>
  <si>
    <t>SANDRA.RAMOS@BBVA.COM</t>
  </si>
  <si>
    <t>HERNANDEZ LOPEZ FAUSTINO</t>
  </si>
  <si>
    <t>MB70240</t>
  </si>
  <si>
    <t>FAUSTINO.HERNANDEZ.LOPEZ@BBVA.COM</t>
  </si>
  <si>
    <t>ORTA COLOME GENARO</t>
  </si>
  <si>
    <t>MB35823</t>
  </si>
  <si>
    <t>GENARO.ORTA@BBVA.COM</t>
  </si>
  <si>
    <t>MARTINEZ CABELLO MARTHA AMELIA</t>
  </si>
  <si>
    <t>M31414</t>
  </si>
  <si>
    <t>M.MARTINEZC@BBVA.COM</t>
  </si>
  <si>
    <t>AGUILAR TORRES ANA PAOLA</t>
  </si>
  <si>
    <t>MB66206</t>
  </si>
  <si>
    <t>ANAPAOLA.AGUILAR.TORRES@BBVA.COM</t>
  </si>
  <si>
    <t>SALDIVAR DAVILA GUILLERMO</t>
  </si>
  <si>
    <t>M163104</t>
  </si>
  <si>
    <t>GUILLERMO.SALDIVAR@BBVA.COM</t>
  </si>
  <si>
    <t>DE HOYOS LOZOYA ALBERTO</t>
  </si>
  <si>
    <t>MB17148</t>
  </si>
  <si>
    <t>ALBERTO.DEHOYOS@BBVA.COM</t>
  </si>
  <si>
    <t>ELIZONDO SALAS ESTELA GUADALUPE</t>
  </si>
  <si>
    <t>MB29105</t>
  </si>
  <si>
    <t>ESTELAGUADALUPE.ELIZONDO@BBVA.COM</t>
  </si>
  <si>
    <t>MAYORGA GOMEZ RAFAEL ALONSO</t>
  </si>
  <si>
    <t>MB77206</t>
  </si>
  <si>
    <t>RAFAELALONSO.MAYORGA@BBVA.COM</t>
  </si>
  <si>
    <t>SAAVEDRA MORALES ROMAN</t>
  </si>
  <si>
    <t>MB47594</t>
  </si>
  <si>
    <t>ROMAN.SAAVEDRA@BBVA.COM</t>
  </si>
  <si>
    <t>SANCHEZ GARCIA JESUS RICARDO</t>
  </si>
  <si>
    <t>MB82775</t>
  </si>
  <si>
    <t>JESUSRICARDO.SANCHEZ.GARCIA@BBVA.COM</t>
  </si>
  <si>
    <t>PAZ BARAJAS JOSE GUADALUPE</t>
  </si>
  <si>
    <t>MB84940</t>
  </si>
  <si>
    <t xml:space="preserve"> JOSEGUADALUPE.PAZ@BBVA.COM</t>
  </si>
  <si>
    <t>FERNANDEZ GARCIA JAVIER</t>
  </si>
  <si>
    <t>MA14419</t>
  </si>
  <si>
    <t>JAVIER.FERNANDEZ@BBVA.COM</t>
  </si>
  <si>
    <t>GUERRA ORTIZ OSCAR ADRIAN</t>
  </si>
  <si>
    <t>MA31274</t>
  </si>
  <si>
    <t>OSCARADRIAN.GUERRA@BBVA.COM</t>
  </si>
  <si>
    <t>BRAVO PEREZ RODRIGO</t>
  </si>
  <si>
    <t>MB77330</t>
  </si>
  <si>
    <t>RODRIGO.BRAVO.PEREZ@BBVA.COM</t>
  </si>
  <si>
    <t>SANCHEZ SUSTAITA LUIS ALFREDO</t>
  </si>
  <si>
    <t>MB72638</t>
  </si>
  <si>
    <t>luisalfredo.sanchez.sustaita@bbva.com</t>
  </si>
  <si>
    <t>ALONSO ORTIZ FRANCISCA</t>
  </si>
  <si>
    <t>MB44694</t>
  </si>
  <si>
    <t>FRANCISCA.ALONSO@BBVA.COM</t>
  </si>
  <si>
    <t>CARDENAS GONZALEZ ALEJANDRA JANETTE</t>
  </si>
  <si>
    <t>MB21960</t>
  </si>
  <si>
    <t>ALEJANDRAJAN.CARDENAS@BBVA.COM</t>
  </si>
  <si>
    <t>TOVAR MONTALVO PERLA ROCIO</t>
  </si>
  <si>
    <t>MB06143</t>
  </si>
  <si>
    <t>PERLA.TOVAR@BBVA.COM</t>
  </si>
  <si>
    <t>BARRIENTOS OCHOA JORGE LUIS</t>
  </si>
  <si>
    <t>MB73619</t>
  </si>
  <si>
    <t>JORGELUIS.BARRIENTOS@BBVA.COM</t>
  </si>
  <si>
    <t>FERNANDEZ RODRIGUEZ JOSE JUAN</t>
  </si>
  <si>
    <t>MB39901</t>
  </si>
  <si>
    <t>JOSEJUAN.FERNANDEZ@BBVA.COM</t>
  </si>
  <si>
    <t>GARCIA JIMENEZ MELITA PATRICIA</t>
  </si>
  <si>
    <t>MB47968</t>
  </si>
  <si>
    <t>MELITAPATRICIA.GARCIA@BBVA.COM</t>
  </si>
  <si>
    <t>GALLEGOS BARBOZA ANA CECILIA</t>
  </si>
  <si>
    <t>MB79134</t>
  </si>
  <si>
    <t>ANACECILIA.GALLEGOS.BARBOZA@BBVA.COM</t>
  </si>
  <si>
    <t>AVILA MORALES JOSE</t>
  </si>
  <si>
    <t>MB73982</t>
  </si>
  <si>
    <t>JOSE.AVILA.MORALES@BBVA.COM</t>
  </si>
  <si>
    <t>SILICEO MUNOZ SERGIO</t>
  </si>
  <si>
    <t>M501752</t>
  </si>
  <si>
    <t>S.SILICEO@BBVA.COM</t>
  </si>
  <si>
    <t>PERAZA ANGUIANO MAYRA</t>
  </si>
  <si>
    <t>MB24702</t>
  </si>
  <si>
    <t>MAYRA.PERAZA@BBVA.COM</t>
  </si>
  <si>
    <t>VAZQUEZ ANCHONDO EVA SOLEDAD</t>
  </si>
  <si>
    <t>MH00610</t>
  </si>
  <si>
    <t>EVA.VAZQUEZA@BBVA.COM</t>
  </si>
  <si>
    <t>GARCIA GARCIA JUAN CARLOS</t>
  </si>
  <si>
    <t>MB00111</t>
  </si>
  <si>
    <t>JUANCARLOS.GARCIA@BBVA.COM</t>
  </si>
  <si>
    <t>SOTO RUELAS LISBET XIOMARA</t>
  </si>
  <si>
    <t>MA31090</t>
  </si>
  <si>
    <t>LISBET.SOTO@BBVA.COM</t>
  </si>
  <si>
    <t>GARCIA COLIO OSEAS JONATHAN</t>
  </si>
  <si>
    <t>M330740</t>
  </si>
  <si>
    <t>OSEAS.GARCIA@BBVA.COM</t>
  </si>
  <si>
    <t>RAYAS MARTINEZ LUS MARIA</t>
  </si>
  <si>
    <t>MH03632</t>
  </si>
  <si>
    <t>LUS.RAYAS@BBVA.COM</t>
  </si>
  <si>
    <t>IBARRA REVILLA ENRIQUE</t>
  </si>
  <si>
    <t>MB12507</t>
  </si>
  <si>
    <t>ENRIQUE.IBARRA@BBVA.COM</t>
  </si>
  <si>
    <t>MORENO SANTANA RICARDO</t>
  </si>
  <si>
    <t>MB65181</t>
  </si>
  <si>
    <t>RICARDO.MORENO2@BBVA.COM</t>
  </si>
  <si>
    <t>LEON GONZALEZ LEONARDO</t>
  </si>
  <si>
    <t>MB70855</t>
  </si>
  <si>
    <t>LEONARDO.LEON@BBVA.COM</t>
  </si>
  <si>
    <t>VERTIN VELAZQUEZ VICENTE</t>
  </si>
  <si>
    <t>MA02872</t>
  </si>
  <si>
    <t>VICENTE.VERTIN@BBVA.COM</t>
  </si>
  <si>
    <t>BANALES GONZALEZ RAFAEL</t>
  </si>
  <si>
    <t>MA30824</t>
  </si>
  <si>
    <t>RAFAEL.BANALES@BBVA.COM</t>
  </si>
  <si>
    <t>GOMEZ LOZANO JOSE ARTURO</t>
  </si>
  <si>
    <t>MB44979</t>
  </si>
  <si>
    <t>JOSEARTURO.GOMEZ@BBVA.COM</t>
  </si>
  <si>
    <t>MONTELONGO COVARRUBIAS JUAN JOSE</t>
  </si>
  <si>
    <t>MA02829</t>
  </si>
  <si>
    <t>JUAN.MONTELONGO@BBVA.COM</t>
  </si>
  <si>
    <t>MARTINEZ LOPEZ GUILLERMINA</t>
  </si>
  <si>
    <t>MH02112</t>
  </si>
  <si>
    <t>GUILLERMINA.MARTINEZ.LOPEZ@BBVA.COM</t>
  </si>
  <si>
    <t>OZUNA CANTU ANGEL RAFAEL</t>
  </si>
  <si>
    <t>M342335</t>
  </si>
  <si>
    <t>ANGEL.OZUNA@BBVA.COM</t>
  </si>
  <si>
    <t>CLARK AVILA CECILIA GUADALUPE</t>
  </si>
  <si>
    <t>MB62938</t>
  </si>
  <si>
    <t>CECILIAGUADALUPE.CLARK@BBVA.COM</t>
  </si>
  <si>
    <t>SARAO SANCHEZ RODOLFO</t>
  </si>
  <si>
    <t>MB83115</t>
  </si>
  <si>
    <t>RODOLFO.SARAO@BBVA.COM</t>
  </si>
  <si>
    <t>GUTIERREZ ESCALANTE BENJAMIN</t>
  </si>
  <si>
    <t>MA28730</t>
  </si>
  <si>
    <t>BENJAMIN.GUTIERREZ@BBVA.COM</t>
  </si>
  <si>
    <t>HERNANDEZ FIGUEROA LUIS FABIAN</t>
  </si>
  <si>
    <t>M501950</t>
  </si>
  <si>
    <t>LUISFABIAN.HERNANDEZ@BBVA.COM</t>
  </si>
  <si>
    <t>ZUNIGA ALCANTAR EUNICE MARISELA</t>
  </si>
  <si>
    <t>MB20487</t>
  </si>
  <si>
    <t>EUNICEMARISE.ZUNIGA@BBVA.COM</t>
  </si>
  <si>
    <t>ALCANTAR VILLAGRANA ANASTACIO</t>
  </si>
  <si>
    <t>MH00448</t>
  </si>
  <si>
    <t>A.ALCANTAR@BBVA.COM</t>
  </si>
  <si>
    <t>RIVERA BUSTAMANTE JUAN HUMBERTO</t>
  </si>
  <si>
    <t>MA30793</t>
  </si>
  <si>
    <t>JUANHUMBERTO.RIVERA@BBVA.COM</t>
  </si>
  <si>
    <t>CONTRERAS BELTRAN JESUS ALONSO</t>
  </si>
  <si>
    <t>MB05520</t>
  </si>
  <si>
    <t>JESUS.CONTRERAS.3@BBVA.COM</t>
  </si>
  <si>
    <t>LOPEZ GASTELUM CARLOS ENRIQUE</t>
  </si>
  <si>
    <t>MA07546</t>
  </si>
  <si>
    <t>CARLOAS.LOPEZ@BBVA.COM</t>
  </si>
  <si>
    <t>PILLADO MAGALLANES ROLANDO ALBERTO</t>
  </si>
  <si>
    <t>MA00672</t>
  </si>
  <si>
    <t>MH02546@BBVA.COM</t>
  </si>
  <si>
    <t>VALDEZ GRIJALVA IGNACIO</t>
  </si>
  <si>
    <t>MA00674</t>
  </si>
  <si>
    <t>MH01542@BBVA.COM</t>
  </si>
  <si>
    <t>RODRIGUEZ AMEZQUITA RODOLFO</t>
  </si>
  <si>
    <t>MH01366</t>
  </si>
  <si>
    <t>RODOLFO.RODRIGUEZA@BBVA.COM</t>
  </si>
  <si>
    <t>VALENCIA LEON DENISSE ELISA</t>
  </si>
  <si>
    <t>MA31047</t>
  </si>
  <si>
    <t>DENISSE.VALENCIA@BBVA.COM</t>
  </si>
  <si>
    <t>CASTRO ANGULO EVERARDO</t>
  </si>
  <si>
    <t>MA13073</t>
  </si>
  <si>
    <t>EVERARDO.CASTRO@BBVA.COM</t>
  </si>
  <si>
    <t>AGUIRRE PABLOS HECTOR</t>
  </si>
  <si>
    <t>MA31462</t>
  </si>
  <si>
    <t>HECTOR.AGUIRRE2@BBVA.COM</t>
  </si>
  <si>
    <t>VIZCARRA GARCIA ADOLFO</t>
  </si>
  <si>
    <t>MA02798</t>
  </si>
  <si>
    <t>ADOLFO.VIZCARRA@BBVA.COM</t>
  </si>
  <si>
    <t>SALAZAR GARCIA RAQUEL</t>
  </si>
  <si>
    <t>MB33717</t>
  </si>
  <si>
    <t>RAQUEL.SALAZAR@BBVA.COM</t>
  </si>
  <si>
    <t>GARCIA MENDEZ DORA ELISA</t>
  </si>
  <si>
    <t>MB01976</t>
  </si>
  <si>
    <t>DORA.GARCIA@BBVA.COM</t>
  </si>
  <si>
    <t>ACOSTA CORONA VICTOR HUGO</t>
  </si>
  <si>
    <t>MA31363</t>
  </si>
  <si>
    <t>VICTOR.ACOSTA2@BBVA.COM</t>
  </si>
  <si>
    <t>TALABERA SARABIA JOSE LUIS</t>
  </si>
  <si>
    <t>MA01021</t>
  </si>
  <si>
    <t>JOSE.TALABERA@BBVA.COM</t>
  </si>
  <si>
    <t>AGUILAR NUNEZ RICARDO</t>
  </si>
  <si>
    <t>MB55281</t>
  </si>
  <si>
    <t>RICARDO.AGUILAR.NUNEZ@BBVA.COM</t>
  </si>
  <si>
    <t>FRIAS ATIENZO ROMAN</t>
  </si>
  <si>
    <t>MB00044</t>
  </si>
  <si>
    <t>ROMAN.FRIAS@BBVA.COM</t>
  </si>
  <si>
    <t>VIDAL PEREGRINA JULIO CESAR</t>
  </si>
  <si>
    <t>MB45482</t>
  </si>
  <si>
    <t>JULIOCESAR.VIDAL@BBVA.COM</t>
  </si>
  <si>
    <t>RUIZ NAVARRETE HECTOR ENCARNACION</t>
  </si>
  <si>
    <t>MA31867</t>
  </si>
  <si>
    <t>HECTOR.RUIZ@BBVA.COM</t>
  </si>
  <si>
    <t>RODRIGUEZ LEYVA ESTHELA ARMIDA</t>
  </si>
  <si>
    <t>MA31829</t>
  </si>
  <si>
    <t>ESTHELA.RODRIGUEZ@BBVA.COM</t>
  </si>
  <si>
    <t>VILLAESCUSA AMADOR CARLOS ALONSO</t>
  </si>
  <si>
    <t>MB70843</t>
  </si>
  <si>
    <t>CARLOSALONSO.VILLAESCUSA@BBVA.COM</t>
  </si>
  <si>
    <t>CARPIO SOLIS GERMAN ARMANDO</t>
  </si>
  <si>
    <t>MA30881</t>
  </si>
  <si>
    <t>GERMAN.CARPIO@BBVA.COM</t>
  </si>
  <si>
    <t>ANAYA CORONADO LUIS ENRIQUE</t>
  </si>
  <si>
    <t>MB69941</t>
  </si>
  <si>
    <t>LUISENRIQUE.ANAYA.CORONADO@BBVA.COM</t>
  </si>
  <si>
    <t>CALDERON VALDEZ JOSE SERVANDO</t>
  </si>
  <si>
    <t>MB67050</t>
  </si>
  <si>
    <t>JOSESERVANDO.CALDERON.VALDEZ@BBVA.COM</t>
  </si>
  <si>
    <t>QUINTANA BEJARANO DORA ALICIA</t>
  </si>
  <si>
    <t>MH00671</t>
  </si>
  <si>
    <t>D.QUINTANA@BBVA.COM</t>
  </si>
  <si>
    <t>ROSAS GONZALEZ GLORIA MAYTE</t>
  </si>
  <si>
    <t>MB54785</t>
  </si>
  <si>
    <t>GLORIA.ROSAS@BBVA.COM</t>
  </si>
  <si>
    <t>HERNANDEZ SOLIS CARLOS EDUARDO</t>
  </si>
  <si>
    <t>MA12645</t>
  </si>
  <si>
    <t>CARLOS.HERNANDEZ.2@BBVA.COM</t>
  </si>
  <si>
    <t>LOPEZ RENDON MARCELA</t>
  </si>
  <si>
    <t>MB54788</t>
  </si>
  <si>
    <t>MARCELA.LOPEZ2@BBVA.COM</t>
  </si>
  <si>
    <t>ESPINOZA SANCHEZ HERNAN FRANCISCO</t>
  </si>
  <si>
    <t>MB85554</t>
  </si>
  <si>
    <t>PONCE ACEVEDO OLGA ISABEL</t>
  </si>
  <si>
    <t>MB47615</t>
  </si>
  <si>
    <t>OLGAISABEL.PONCE2@BBVA.COM</t>
  </si>
  <si>
    <t>OLACHEA SANDOVAL CHRISTIAM</t>
  </si>
  <si>
    <t>MB01235</t>
  </si>
  <si>
    <t>CHRISTIAM.OLACHEA@BBVA.COM</t>
  </si>
  <si>
    <t>GUTIERREZ ROMERO YOLANDA GUADALUPE</t>
  </si>
  <si>
    <t>MB30260</t>
  </si>
  <si>
    <t>YOLANDAGUADALUPE.GUTIERREZ@BBVA.COM</t>
  </si>
  <si>
    <t>LUCERO TELECHEA ANABEL</t>
  </si>
  <si>
    <t>MA30837</t>
  </si>
  <si>
    <t>ANABEL.LUCERO@BBVA.COM</t>
  </si>
  <si>
    <t>JIMENEZ MARTINEZ JOSE LUIS</t>
  </si>
  <si>
    <t>M300293</t>
  </si>
  <si>
    <t>PEJJJMJ1@BBVA.COM</t>
  </si>
  <si>
    <t>BUENROSTRO SANDOVAL JUANA ANTONIA</t>
  </si>
  <si>
    <t>MB47857</t>
  </si>
  <si>
    <t>LEON LEON JESUS MONSERRATH</t>
  </si>
  <si>
    <t>MB63461</t>
  </si>
  <si>
    <t>JESUSMONSERRATH.LEON@BBVA.COM</t>
  </si>
  <si>
    <t>SANCHEZ LUCERO MARIO</t>
  </si>
  <si>
    <t>MA30746</t>
  </si>
  <si>
    <t>MARIO.SANCHEZL@BBVA.COM</t>
  </si>
  <si>
    <t>DE ANDA COTA MELISA</t>
  </si>
  <si>
    <t>MA30885</t>
  </si>
  <si>
    <t>MELISA.DEANDA@BBVA.COM</t>
  </si>
  <si>
    <t>BERDEJA DE LOS ANGELES KRISTIAN BERNARDO</t>
  </si>
  <si>
    <t>MB85545</t>
  </si>
  <si>
    <t>CISNEROS ALONSO AARON ISAI</t>
  </si>
  <si>
    <t>MB54787</t>
  </si>
  <si>
    <t>AARONISAI.CISNEROS.ALONSO@BBVA.COM</t>
  </si>
  <si>
    <t>ATONDO VALDEZ MARTHA MARIA</t>
  </si>
  <si>
    <t>MB12464</t>
  </si>
  <si>
    <t>MARTHAMARIA.ATONDO@BBVA.COM</t>
  </si>
  <si>
    <t>CORONEL RIVERA JOSE PABLO</t>
  </si>
  <si>
    <t>MB85517</t>
  </si>
  <si>
    <t>BOCANEGRA GOMEZ ERICK</t>
  </si>
  <si>
    <t>MB70577</t>
  </si>
  <si>
    <t>ERICK.BOCANEGRA@BBVA.COM</t>
  </si>
  <si>
    <t>VELAZCO OSORNIO JESUS EDGAR</t>
  </si>
  <si>
    <t>MB70034</t>
  </si>
  <si>
    <t>JESUSEDGAR.VELAZCO.OSORNIO@BBVA.COM</t>
  </si>
  <si>
    <t>CHAVEZ DE LA PENA CARLA LORENIA</t>
  </si>
  <si>
    <t>MB14017</t>
  </si>
  <si>
    <t>CARLA.CHAVEZ.1@BBVA.COM</t>
  </si>
  <si>
    <t>PAULINO SANTANA MARICELA</t>
  </si>
  <si>
    <t>MB22825</t>
  </si>
  <si>
    <t>MARICELA.PAULINO.1@BBVA.COM</t>
  </si>
  <si>
    <t>SANCHEZ HERNANDEZ PAVEL</t>
  </si>
  <si>
    <t>MB70109</t>
  </si>
  <si>
    <t>PAVEL.SANCHEZ.HERNANDEZ@BBVA.COM</t>
  </si>
  <si>
    <t>SOSA MORENO ALEJANDRA</t>
  </si>
  <si>
    <t>MB74441</t>
  </si>
  <si>
    <t>ALEJANDRA.SOSA.MORENO@BBVA.COM</t>
  </si>
  <si>
    <t>LUNA PEREZ JULIO HUMBERTO</t>
  </si>
  <si>
    <t>MH01359</t>
  </si>
  <si>
    <t>JULIOHUMBERT.LUNA@BBVA.COM</t>
  </si>
  <si>
    <t>BURKE VARGAS ARIADNA</t>
  </si>
  <si>
    <t>MA01091</t>
  </si>
  <si>
    <t>ARIADNA.BURKE@BBVA.COM</t>
  </si>
  <si>
    <t>GONZALEZ GARCIA MARIA CRISTINA</t>
  </si>
  <si>
    <t>MB20118</t>
  </si>
  <si>
    <t>MARIACRISTIN.GONZALEZ@BBVA.COM</t>
  </si>
  <si>
    <t>HERNANDEZ SALAS BETSABE</t>
  </si>
  <si>
    <t>MA07574</t>
  </si>
  <si>
    <t>BETSABE.HERNANDEZ@BBVA.COM</t>
  </si>
  <si>
    <t>LLANES HURTADO SHELSY GUADALUPE</t>
  </si>
  <si>
    <t>MB61605</t>
  </si>
  <si>
    <t>SHELSYGUADALUPE.LLANES@BBVA.COM</t>
  </si>
  <si>
    <t>GUEVARA ESCARENO NORA ISABEL</t>
  </si>
  <si>
    <t>MA28682</t>
  </si>
  <si>
    <t>NORA.GUEVARA@BBVA.COM</t>
  </si>
  <si>
    <t>. COTA BRENDA ALICIA</t>
  </si>
  <si>
    <t>MA31360</t>
  </si>
  <si>
    <t>BRENDA.COTA@BBVA.COM</t>
  </si>
  <si>
    <t>ARELLANO MORA OSCAR</t>
  </si>
  <si>
    <t>MA11375</t>
  </si>
  <si>
    <t>OSCAR.ARELLANO@BBVA.COM</t>
  </si>
  <si>
    <t>JIMENEZ GASPAR JOSE DEL CARMEN</t>
  </si>
  <si>
    <t>MB70580</t>
  </si>
  <si>
    <t>JOSEDELCARMEN.JIMENEZ@BBVA.COM</t>
  </si>
  <si>
    <t>RAMOS ZAVALA YESENIA</t>
  </si>
  <si>
    <t>MA05743</t>
  </si>
  <si>
    <t>YESENIA.RAMOS@BBVA.COM</t>
  </si>
  <si>
    <t>OCHOA LUCAS NORMA ALICIA</t>
  </si>
  <si>
    <t>MB59951</t>
  </si>
  <si>
    <t>NORMAALICIA.OCHOA@BBVA.COM</t>
  </si>
  <si>
    <t>ARCE MARTINEZ PABLO ALBERTO</t>
  </si>
  <si>
    <t>MA02830</t>
  </si>
  <si>
    <t>PABLO.ARCE@BBVA.COM</t>
  </si>
  <si>
    <t>ACOSTA GONZALEZ CARMEN ANGELICA</t>
  </si>
  <si>
    <t>MB19710</t>
  </si>
  <si>
    <t>CARMENANGELI.ACOSTA@BBVA.COM</t>
  </si>
  <si>
    <t>QUIJADA ESPARZA LUIS EDUARDO</t>
  </si>
  <si>
    <t>MB15212</t>
  </si>
  <si>
    <t>LUISEDUARDO.QUIJADA@BBVA.COM</t>
  </si>
  <si>
    <t>GARCIA SANTOS JOEL ENRIQUE</t>
  </si>
  <si>
    <t>MA29462</t>
  </si>
  <si>
    <t>JOEL.GARCIA2@BBVA.COM</t>
  </si>
  <si>
    <t>ARISTA PALACIOS REY MARTIN</t>
  </si>
  <si>
    <t>M54144</t>
  </si>
  <si>
    <t>REYMARTIN.ARISTA@BBVA.COM</t>
  </si>
  <si>
    <t>MARTINEZ GONZALEZ CINDY</t>
  </si>
  <si>
    <t>MH02993</t>
  </si>
  <si>
    <t>CINDY.MARTINEZ@BBVA.COM</t>
  </si>
  <si>
    <t>RODRIGUEZ RIOS ESTEBAN</t>
  </si>
  <si>
    <t>MA13392</t>
  </si>
  <si>
    <t>ESTEBAN.RODRIGUEZ@BBVA.COM</t>
  </si>
  <si>
    <t>GONZALEZ ARELLANO ELIZABETH</t>
  </si>
  <si>
    <t>MB06299</t>
  </si>
  <si>
    <t>ELIZABETH.GONZALEZ.5@BBVA.COM</t>
  </si>
  <si>
    <t>LOPEZ RODRIGUEZ MIGUEL ANGEL</t>
  </si>
  <si>
    <t>MB32253</t>
  </si>
  <si>
    <t>MIGUELANGEL.LOPEZ.RODRIGUEZ@BBVA.COM</t>
  </si>
  <si>
    <t>SOLIS AMADOR DANIEL ALBERTO</t>
  </si>
  <si>
    <t>MB59160</t>
  </si>
  <si>
    <t>DANIELALBERTO.SOLIS.AMADOR@BBVA.COM</t>
  </si>
  <si>
    <t>LOPEZ LOPEZ JESUS</t>
  </si>
  <si>
    <t>MB00976</t>
  </si>
  <si>
    <t>JESUS.LOPEZ.9@BBVA.COM</t>
  </si>
  <si>
    <t>SALINAS ROJAS DANIEL ESTEBAN</t>
  </si>
  <si>
    <t>MB44549</t>
  </si>
  <si>
    <t>DANIELESTEBAN.SALINAS@BBVA.COM</t>
  </si>
  <si>
    <t>IBARRA ROMERO GUADALUPE AHYMEE</t>
  </si>
  <si>
    <t>MB85435</t>
  </si>
  <si>
    <t>RIVERA ROBLES JUAN CARLOS</t>
  </si>
  <si>
    <t>M110867</t>
  </si>
  <si>
    <t>JUAN.RIVERA.2@BBVA.COM</t>
  </si>
  <si>
    <t>CASTRO HERNANDEZ ERIK DAVID</t>
  </si>
  <si>
    <t>MB36590</t>
  </si>
  <si>
    <t>ERIKDAVID.CASTRO@BBVA.COM</t>
  </si>
  <si>
    <t>ARCE GONZALEZ ALEJANDRA BERENICE</t>
  </si>
  <si>
    <t>MA02880</t>
  </si>
  <si>
    <t>ALEJANDRA.ARCE.2@BBVA.COM</t>
  </si>
  <si>
    <t>ZAAVEDRA URIARTE MARIA ANGELICA</t>
  </si>
  <si>
    <t>MA08453</t>
  </si>
  <si>
    <t>MARIAANGELICA.ZAAVEDRA@BBVA.COM</t>
  </si>
  <si>
    <t>ESTRADA BARRERA JOSE RAYMUNDO</t>
  </si>
  <si>
    <t>MA12859</t>
  </si>
  <si>
    <t>JOSE.ESTRADA.2@BBVA.COM</t>
  </si>
  <si>
    <t>VIZCARRA RODRIGUEZ LUCIO FRANCISCO</t>
  </si>
  <si>
    <t>MA11889</t>
  </si>
  <si>
    <t>LUCIO.VIZCARRA@BBVA.COM</t>
  </si>
  <si>
    <t>DE LEON MONTES JUAN ALBERTO</t>
  </si>
  <si>
    <t>MB74039</t>
  </si>
  <si>
    <t>JUANALBERTO.DELEON@BBVA.COM</t>
  </si>
  <si>
    <t>PRADO MEZA VICTOR MANUEL</t>
  </si>
  <si>
    <t>MB83573</t>
  </si>
  <si>
    <t>VICTORMANUEL.PRADO.MEZA@BBVA.COM</t>
  </si>
  <si>
    <t>NAVARRO CERDA ANTONIO TRINIDAD</t>
  </si>
  <si>
    <t>MB00668</t>
  </si>
  <si>
    <t>ANTONIO.NAVARRO@BBVA.COM</t>
  </si>
  <si>
    <t>PEYRO BUCARDO MONICA</t>
  </si>
  <si>
    <t>MB12681</t>
  </si>
  <si>
    <t>MONICA.PEYRO@BBVA.COM</t>
  </si>
  <si>
    <t>BALLINA BANOS ALVARO</t>
  </si>
  <si>
    <t>MB83049</t>
  </si>
  <si>
    <t>ALVARO.BALLINA@BBVA.COM</t>
  </si>
  <si>
    <t>ZARATE TORRES ALMA ROSA</t>
  </si>
  <si>
    <t>MB71576</t>
  </si>
  <si>
    <t>ALMAROSA.ZARATE@BBVA.COM</t>
  </si>
  <si>
    <t>MENDEZ TRUJILLO LILIA ANGELINA</t>
  </si>
  <si>
    <t>MA31062</t>
  </si>
  <si>
    <t>LILIA.MENDEZ@BBVA.COM</t>
  </si>
  <si>
    <t>ALVAREZ VELASCO RICARDO</t>
  </si>
  <si>
    <t>MB20731</t>
  </si>
  <si>
    <t>RICARDO.ALVAREZ@BBVA.COM</t>
  </si>
  <si>
    <t>FUENTES RODRIGUEZ FRANCISCA SOLEDAD</t>
  </si>
  <si>
    <t>MA29463</t>
  </si>
  <si>
    <t>MA29463@BBVA.COM</t>
  </si>
  <si>
    <t>ALDAMA FRESCAS IVAN CLEMENTE</t>
  </si>
  <si>
    <t>MH00352</t>
  </si>
  <si>
    <t>I.ALDAMA@BBVA.COM</t>
  </si>
  <si>
    <t>GONZALEZ GOMEZ MARIA ANTONIETA</t>
  </si>
  <si>
    <t>M309664</t>
  </si>
  <si>
    <t>MAANTONIETA.GONZALEZ@BBVA.COM</t>
  </si>
  <si>
    <t>ROMO VALLEJO LAURA CISELA</t>
  </si>
  <si>
    <t>M405840</t>
  </si>
  <si>
    <t>LC.ROMO@BBVA.COM</t>
  </si>
  <si>
    <t>GARCIA DIAZ DIEGO ARMANDO</t>
  </si>
  <si>
    <t>MB56018</t>
  </si>
  <si>
    <t>DIEGO.GARCIA.2@BBVA.COM</t>
  </si>
  <si>
    <t>GUZMAN FLORES ARELI</t>
  </si>
  <si>
    <t>MB78224</t>
  </si>
  <si>
    <t>ARELI.GUZMAN.FLORES@BBVA.COM</t>
  </si>
  <si>
    <t>ROJAS VILLALOBOS CAROL BERENICE</t>
  </si>
  <si>
    <t>MA13305</t>
  </si>
  <si>
    <t>CAROL.ROJAS@BBVA.COM</t>
  </si>
  <si>
    <t>VILLEGAS GONZALEZ LUIS DANIEL</t>
  </si>
  <si>
    <t>MB60668</t>
  </si>
  <si>
    <t>LUISDANIEL.VILLEGAS.GONZALEZ@BBVA.COM</t>
  </si>
  <si>
    <t>SOLORZANO MACIAS ALEXANDRA GUADALUPE</t>
  </si>
  <si>
    <t>MB67513</t>
  </si>
  <si>
    <t>ALEXANDRAG.SOLORZANO@BBVA.COM</t>
  </si>
  <si>
    <t>JARAMILLO CASTILLO JOSE LEOPOLDO</t>
  </si>
  <si>
    <t>MB77877</t>
  </si>
  <si>
    <t>JOSELEOPOLDO.JARAMILLO.CASTIL@BBVA.COM</t>
  </si>
  <si>
    <t>VAZQUEZ ARREDONDO ELIO ALBERTO</t>
  </si>
  <si>
    <t>MB00443</t>
  </si>
  <si>
    <t>ELIO.VAZQUEZ@BBVA.COM</t>
  </si>
  <si>
    <t>ARELLANO RODRIGUEZ MINERVA</t>
  </si>
  <si>
    <t>MA03134</t>
  </si>
  <si>
    <t>MINERVA.ARELLANO@BBVA.COM</t>
  </si>
  <si>
    <t>SEGURA JUAREZ LUIS OMAR</t>
  </si>
  <si>
    <t>MB24668</t>
  </si>
  <si>
    <t>LUISOMAR.SEGURA@BBVA.COM</t>
  </si>
  <si>
    <t>FRANCO COVARRUBIAS ROSA JEANETTE</t>
  </si>
  <si>
    <t>MA08700</t>
  </si>
  <si>
    <t>ROSA.FRANCO@BBVA.COM</t>
  </si>
  <si>
    <t>CISNEROS CISNEROS JORGE ENRIQUE</t>
  </si>
  <si>
    <t>MB60990</t>
  </si>
  <si>
    <t>JORGEENRIQUE.CISNEROS.CISNERO@BBVA.COM</t>
  </si>
  <si>
    <t>MARQUEZ LERMA CESAR ALEJANDRO</t>
  </si>
  <si>
    <t>MA08410</t>
  </si>
  <si>
    <t>CESAR.MARQUEZ@BBVA.COM</t>
  </si>
  <si>
    <t>VALDEZ ZAMUDIO ESTEBAN RUBEN</t>
  </si>
  <si>
    <t>MA04565</t>
  </si>
  <si>
    <t>ESTEBAN.VALDEZ@BBVA.COM</t>
  </si>
  <si>
    <t>REYES VAZQUEZ RENE ALEJANDRO</t>
  </si>
  <si>
    <t>M412625</t>
  </si>
  <si>
    <t>RENE.REYES@BBVA.COM</t>
  </si>
  <si>
    <t>SERRATO GAONA GISELA</t>
  </si>
  <si>
    <t>MA14422</t>
  </si>
  <si>
    <t>GISELA.SERRATO@BBVA.COM</t>
  </si>
  <si>
    <t>MATA IBARRA DAMIAN</t>
  </si>
  <si>
    <t>MB22029</t>
  </si>
  <si>
    <t>DAMIAN.MATA@BBVA.COM</t>
  </si>
  <si>
    <t>OLIVA GARCIA ARIEL</t>
  </si>
  <si>
    <t>MB65089</t>
  </si>
  <si>
    <t>ARIEL.OLIVA@BBVA.COM</t>
  </si>
  <si>
    <t>MANCILLA FRANCO RAMON</t>
  </si>
  <si>
    <t>MB65997</t>
  </si>
  <si>
    <t>RAMON.MANCILLA.FRANCO@BBVA.COM</t>
  </si>
  <si>
    <t>MACIAS PEREZ JESUS ALBERTO</t>
  </si>
  <si>
    <t>MB61551</t>
  </si>
  <si>
    <t>JESUSALBERTO.MACIAS@BBVA.COM</t>
  </si>
  <si>
    <t>LOPEZ HERNANDEZ GEB OSIRIS</t>
  </si>
  <si>
    <t>MB60614</t>
  </si>
  <si>
    <t>GEBOSIRIS.LOPEZ@BBVA.COM</t>
  </si>
  <si>
    <t>DEL RIO AYALA JANET GISELL</t>
  </si>
  <si>
    <t>MA30539</t>
  </si>
  <si>
    <t>JANETGISELL.DELRIO.AYALA@BBVA.COM</t>
  </si>
  <si>
    <t>CORTES . JOSE LUIS</t>
  </si>
  <si>
    <t>M410699</t>
  </si>
  <si>
    <t>JOSELUIS.CORTES.2@BBVA.COM</t>
  </si>
  <si>
    <t>HERNANDEZ ARAUJO YOLANDA</t>
  </si>
  <si>
    <t>MA30655</t>
  </si>
  <si>
    <t>YOLANDA.HERNANDEZ.3@BBVA.COM</t>
  </si>
  <si>
    <t>MARIN MARTINEZ JAVIER</t>
  </si>
  <si>
    <t>mb75595</t>
  </si>
  <si>
    <t>javier.marin.martinez@bbva.com</t>
  </si>
  <si>
    <t>MALAGON BANALES BEATRIZ YAREL</t>
  </si>
  <si>
    <t>MB48186</t>
  </si>
  <si>
    <t>BEATRIZYAREL.MALAGON@BBVA.COM</t>
  </si>
  <si>
    <t>OROZCO MIGUEL GABRIEL ALEJANDRO</t>
  </si>
  <si>
    <t>M49213</t>
  </si>
  <si>
    <t>G.OROZCO2@BBVA.COM</t>
  </si>
  <si>
    <t>ORTEGA RODRIGUEZ ERICK</t>
  </si>
  <si>
    <t>MA31824</t>
  </si>
  <si>
    <t>ERICK.ORTEGA@BBVA.COM</t>
  </si>
  <si>
    <t>CARLOS VAZQUEZ ANA ROSA</t>
  </si>
  <si>
    <t>MB71146</t>
  </si>
  <si>
    <t>anarosa.carlos2@bbva.com</t>
  </si>
  <si>
    <t>SALINAS SAUCEDO EDMUNDO ALFONSO</t>
  </si>
  <si>
    <t>MB34097</t>
  </si>
  <si>
    <t>EDMUNDOALFONSO.SALINAS@BBVA.COM</t>
  </si>
  <si>
    <t>CUEVAS MONSIVAIS VICTOR ADAN</t>
  </si>
  <si>
    <t>MB37790</t>
  </si>
  <si>
    <t>VICTORADAN.CUEVAS@BBVA.COM</t>
  </si>
  <si>
    <t>HERNANDEZ VAZQUEZ LETICIA ISABEL</t>
  </si>
  <si>
    <t>MA29795</t>
  </si>
  <si>
    <t>LETICIA.HERNANDEZ2@BBVA.COM</t>
  </si>
  <si>
    <t>VALERIO ROJAS MARIA SANJUANA</t>
  </si>
  <si>
    <t>MB70902</t>
  </si>
  <si>
    <t>MARIASANJUANA.VALERIO.ROJAS@BBVA.COM</t>
  </si>
  <si>
    <t>FLORES SANCHEZ JESSICA ALEJANDRA</t>
  </si>
  <si>
    <t>MA08912</t>
  </si>
  <si>
    <t>JESSICA.FLORES@BBVA.COM</t>
  </si>
  <si>
    <t>RAMIREZ HERNANDEZ OLIVIA</t>
  </si>
  <si>
    <t>MH03648</t>
  </si>
  <si>
    <t>OLIVIA.RAMIREZ.1@BBVA.COM</t>
  </si>
  <si>
    <t>VALLADOLID RAMIREZ AARON</t>
  </si>
  <si>
    <t>MB23041</t>
  </si>
  <si>
    <t>AARON.VALLADOLID@BBVA.COM</t>
  </si>
  <si>
    <t>TOBIAS MEDELLIN JAIMY TERESA</t>
  </si>
  <si>
    <t>MA13735</t>
  </si>
  <si>
    <t>JAIMY.TABIAS@BBVA.COM</t>
  </si>
  <si>
    <t>DELGADO RUIZ CLAUDIA</t>
  </si>
  <si>
    <t>MA05876</t>
  </si>
  <si>
    <t>CLAUDIA.DELGADO@BBVA.COM</t>
  </si>
  <si>
    <t>GUTIERREZ GUTIERREZ LILIANA MARIBEL</t>
  </si>
  <si>
    <t>MB84159</t>
  </si>
  <si>
    <t>LILIANAMARIBEL.GUTIERREZ@BBVA.COM</t>
  </si>
  <si>
    <t>RODRIGUEZ PINTO BEATRIZ ADRIANA</t>
  </si>
  <si>
    <t>MA13318</t>
  </si>
  <si>
    <t>BEATRIZ.RODRIGUEZ.P@BBVA.COM</t>
  </si>
  <si>
    <t>NAVA GOMEZ DANIEL ALFONSO</t>
  </si>
  <si>
    <t>MA30537</t>
  </si>
  <si>
    <t>DANIEL.NAVA@BBVA.COM</t>
  </si>
  <si>
    <t>SANDOVAL CHAVEZ JORGE ENRIQUE</t>
  </si>
  <si>
    <t>MB56026</t>
  </si>
  <si>
    <t>JORGEENRIQUE.SANDOVAL@BBVA.COM</t>
  </si>
  <si>
    <t>ESPARZA DE LIRA JOSE LUIS</t>
  </si>
  <si>
    <t>MA02945</t>
  </si>
  <si>
    <t>JOSE.ESPARZA@BBVA.COM</t>
  </si>
  <si>
    <t>. MUNOZ EMMANUEL JESUS</t>
  </si>
  <si>
    <t>MA02816</t>
  </si>
  <si>
    <t>EMMANUEL.JESUS@BBVA.COM</t>
  </si>
  <si>
    <t>JASSO VILLALPANDO LUZ MARIA</t>
  </si>
  <si>
    <t>MA01296</t>
  </si>
  <si>
    <t>LUZ.JASSO@BBVA.COM</t>
  </si>
  <si>
    <t>NIEVES SALAZAR RAFAEL WALTER</t>
  </si>
  <si>
    <t>MA11393</t>
  </si>
  <si>
    <t>RAFAEL.NIEVES@BBVA.COM</t>
  </si>
  <si>
    <t>VENEGAS CISNEROS ROLANDO</t>
  </si>
  <si>
    <t>M907041</t>
  </si>
  <si>
    <t>ROLANDO.VENEGAS@BBVA.COM</t>
  </si>
  <si>
    <t>HERNANDEZ VILLASENOR JUAN ANTONIO</t>
  </si>
  <si>
    <t>MA10720</t>
  </si>
  <si>
    <t>JUAN.HERNANDEZ2@BBVA.COM</t>
  </si>
  <si>
    <t>RIVERA ALCANTAR MIRSHA RAFAEL</t>
  </si>
  <si>
    <t>MB10928</t>
  </si>
  <si>
    <t>MIRSHA.RIVERA@BBVA.COM</t>
  </si>
  <si>
    <t>AGUILAR GUERRERO ARMANDO JORGE</t>
  </si>
  <si>
    <t>MB61436</t>
  </si>
  <si>
    <t>ARMANDOJORGE.AGUILAR@BBVA.COM</t>
  </si>
  <si>
    <t>CEDILLO CANELA MARTIN</t>
  </si>
  <si>
    <t>MB73668</t>
  </si>
  <si>
    <t>MARTIN.CEDILLO@BBVA.COM</t>
  </si>
  <si>
    <t>JIMENEZ RENOVATO ANA REBECA</t>
  </si>
  <si>
    <t>MB23349</t>
  </si>
  <si>
    <t>ANAREBECA.JIMENEZ@BBVA.COM</t>
  </si>
  <si>
    <t>MURGUIA VALENCIA NEFTALI</t>
  </si>
  <si>
    <t>MB00320</t>
  </si>
  <si>
    <t>NEFTALI.MURGUIA@BBVA.COM</t>
  </si>
  <si>
    <t>VALDEZ AGUILERA ROBERTO CARLOS</t>
  </si>
  <si>
    <t>MB55086</t>
  </si>
  <si>
    <t>ROBERTOCARLOS.VALDEZ@BBVA.COM</t>
  </si>
  <si>
    <t>GUZMAN PEREZ JORGE ALBERTO</t>
  </si>
  <si>
    <t>MA31105</t>
  </si>
  <si>
    <t>JORGEALBERTO.GUZMAN@BBVA.COM</t>
  </si>
  <si>
    <t>ZAVALA FUENTES VERONICA</t>
  </si>
  <si>
    <t>MA31106</t>
  </si>
  <si>
    <t>VERONICA.ZAVALA.2@BBVA.COM</t>
  </si>
  <si>
    <t>GARCIA MORFIN LUCRECIA</t>
  </si>
  <si>
    <t>MB83502</t>
  </si>
  <si>
    <t>LUCRECIA.GARCIA@BBVA.COM</t>
  </si>
  <si>
    <t>PEREZ ARTEAGA MONICA JEANETTE</t>
  </si>
  <si>
    <t>MB54622</t>
  </si>
  <si>
    <t>MONICAJEANETTE.PEREZ.ARTEAGA@BBVA.COM</t>
  </si>
  <si>
    <t>GALINDO LAGUNA JORGE OMAR</t>
  </si>
  <si>
    <t>MB83485</t>
  </si>
  <si>
    <t>JORGEOMAR.GALINDO.LAGUNA@BBVA.COM</t>
  </si>
  <si>
    <t>DOMINGUEZ ALBARRAN MA. ASCENCION</t>
  </si>
  <si>
    <t>MB15259</t>
  </si>
  <si>
    <t>MAASCENCION.DOMINGUEZ@BBVA.COM</t>
  </si>
  <si>
    <t>ARENAS CAMACHO ALVARO</t>
  </si>
  <si>
    <t>MB65496</t>
  </si>
  <si>
    <t>ALVARO.ARENAS.CAMACHO@BBVA.COM</t>
  </si>
  <si>
    <t>QUIROZ ALCARAZ CARLOS OSWALDO</t>
  </si>
  <si>
    <t>MB60507</t>
  </si>
  <si>
    <t>CARLOSOSWALDO.QUIROZ@BBVA.COM</t>
  </si>
  <si>
    <t>MONTOYA VENEGAS FEDERICO</t>
  </si>
  <si>
    <t>MB60524</t>
  </si>
  <si>
    <t>FEDERICO.MONTOYA.VENEGAS@BBVA.COM</t>
  </si>
  <si>
    <t>LLAMAS LOPEZ GUSTAVO</t>
  </si>
  <si>
    <t>MB05717</t>
  </si>
  <si>
    <t>GUSTAVO.LLAMAS@BBVA.COM</t>
  </si>
  <si>
    <t>GONZALEZ RODRIGUEZ JULIO CESAR</t>
  </si>
  <si>
    <t>MB84406</t>
  </si>
  <si>
    <t>JULIOCESAR.GONZALEZ2@BBVA.COM</t>
  </si>
  <si>
    <t>MARTINEZ GARCIA MARCO ANTONIO</t>
  </si>
  <si>
    <t>MB78188</t>
  </si>
  <si>
    <t>MARCOANTONIO.MARTINEZ2@BBVA.COM</t>
  </si>
  <si>
    <t>QUINONEZ RUBIO DULCE JAZMIN</t>
  </si>
  <si>
    <t>MB76583</t>
  </si>
  <si>
    <t>DULCEJAZMIN.QUINONEZ.RUBIO@BBVA.COM</t>
  </si>
  <si>
    <t>REGALADO ESPARZA VICTOR FAVIO</t>
  </si>
  <si>
    <t>MB80306</t>
  </si>
  <si>
    <t>VICTORFAVIO.REGALADO.ESPARZA@BBVA.COM</t>
  </si>
  <si>
    <t>ROJO TORRES JORGE TOMAS</t>
  </si>
  <si>
    <t>MB73666</t>
  </si>
  <si>
    <t>JORGETOMAS.ROJO@BBVA.COM</t>
  </si>
  <si>
    <t>MANZO JIMENEZ KARLA LORENA</t>
  </si>
  <si>
    <t>MA31648</t>
  </si>
  <si>
    <t>KARLA.MANZO@BBVA.COM</t>
  </si>
  <si>
    <t>GUERRERO AVALOS CARLOS ANTONIO</t>
  </si>
  <si>
    <t>MB24534</t>
  </si>
  <si>
    <t>CARLOSANTONI.GUERRERO@BBVA.COM</t>
  </si>
  <si>
    <t>FLORES ZORRILLA LUIS</t>
  </si>
  <si>
    <t>MB84161</t>
  </si>
  <si>
    <t>LUIS.FLORES.ZORRILLA@BBVA.COM</t>
  </si>
  <si>
    <t>CRUZ GARCIA ALEJANDRO</t>
  </si>
  <si>
    <t>MB67063</t>
  </si>
  <si>
    <t>ALEJANDRO.CRUZ.GARCIA@BBVA.COM</t>
  </si>
  <si>
    <t>SOTRES LANDIN ALEJANDRO</t>
  </si>
  <si>
    <t>MB61147</t>
  </si>
  <si>
    <t>ALEJANDRO.SOTRES@BBVA.COM</t>
  </si>
  <si>
    <t>BENAVIDES MORA GUSTAVO</t>
  </si>
  <si>
    <t>MB73669</t>
  </si>
  <si>
    <t>GUSTAVO.BENAVIDES.MORA@BBVA.COM</t>
  </si>
  <si>
    <t>PATINO FLORES SERGIO ARMANDO</t>
  </si>
  <si>
    <t>MB60637</t>
  </si>
  <si>
    <t>SERGIOARMANDO.PATINO@BBVA.COM</t>
  </si>
  <si>
    <t>OCHOA OROZ GABRIELA MARGARITA</t>
  </si>
  <si>
    <t>MB36513</t>
  </si>
  <si>
    <t>GABRIELAMARGARITA.OCHOA@BBVA.COM</t>
  </si>
  <si>
    <t>CASAS RAYGOZA EDPIDIO</t>
  </si>
  <si>
    <t>MH03703</t>
  </si>
  <si>
    <t>ELPIDIO.CASAS@BBVA.COM</t>
  </si>
  <si>
    <t>SANCHEZ MEZA OSCAR EDUARDO</t>
  </si>
  <si>
    <t>MB72500</t>
  </si>
  <si>
    <t>oscareduardo.sanchez2@bbva.com</t>
  </si>
  <si>
    <t>RUVALCABA LLAMAS RICARDO</t>
  </si>
  <si>
    <t>MB44133</t>
  </si>
  <si>
    <t>RICARDO.RUVALCABA@BBVA.COM</t>
  </si>
  <si>
    <t>LEDESMA CARDOSO LINA</t>
  </si>
  <si>
    <t>MA03048</t>
  </si>
  <si>
    <t>LINA.LEDESMA@BBVA.COM</t>
  </si>
  <si>
    <t>ARMENTA PEINADO LUIS ALFONSO</t>
  </si>
  <si>
    <t>MB66211</t>
  </si>
  <si>
    <t>LUISALFONSO.ARMENTA@BBVA.COM</t>
  </si>
  <si>
    <t>ARAMBULA LEDESMA MARIA DE LOS ANGELES</t>
  </si>
  <si>
    <t>MA31132</t>
  </si>
  <si>
    <t>MARIADELOSANGELES.ARAMBULA@BBVA.COM</t>
  </si>
  <si>
    <t>CANDELARIO PADILLA LUIS MARTIN</t>
  </si>
  <si>
    <t>MB83819</t>
  </si>
  <si>
    <t>LUISMARTIN.CANDELARIO@BBVA.COM</t>
  </si>
  <si>
    <t>ALTAMIRANO RAMOS HUGO</t>
  </si>
  <si>
    <t>M30689</t>
  </si>
  <si>
    <t>HUGO.ALTAMIRANO@BBVA.COM</t>
  </si>
  <si>
    <t>SANCHEZ BENITEZ JESUS MANUEL</t>
  </si>
  <si>
    <t>MB39780</t>
  </si>
  <si>
    <t>JESUSMANUEL.SANCHEZ@BBVA.COM</t>
  </si>
  <si>
    <t>LAZCANO GOMEZ TITO JOSE</t>
  </si>
  <si>
    <t>M8198</t>
  </si>
  <si>
    <t>TITO.LAZCANO@BBVA.COM</t>
  </si>
  <si>
    <t>MANZUR LOPEZ LAURA YENIFFER</t>
  </si>
  <si>
    <t>MH02761</t>
  </si>
  <si>
    <t>L.MANZUR@BBVA.COM</t>
  </si>
  <si>
    <t>PORCAYO BARRETO SANTOS MARTIN</t>
  </si>
  <si>
    <t>M80684</t>
  </si>
  <si>
    <t>MARTIN.PORCAYO@BBVA.COM</t>
  </si>
  <si>
    <t>LOPEZ LOPEZ ROBISEL</t>
  </si>
  <si>
    <t>MA31088</t>
  </si>
  <si>
    <t>ROBISEL.LOPEZ@BBVA.COM</t>
  </si>
  <si>
    <t>RODRIGUEZ RODAS HUGO</t>
  </si>
  <si>
    <t>MB13043</t>
  </si>
  <si>
    <t>HUGO.RODRIGUEZR@BBVA.COM</t>
  </si>
  <si>
    <t>CORDOVA DOMINGUEZ ARIOSTO</t>
  </si>
  <si>
    <t>MB75729</t>
  </si>
  <si>
    <t>ARIOSTO.CORDOVA.DOMINGUEZ@BBVA.COM</t>
  </si>
  <si>
    <t>TRUJILLO AGUILAR JAVIER DE JESUS</t>
  </si>
  <si>
    <t>MB83750</t>
  </si>
  <si>
    <t>JAVIERDEJESUS.TRUJILLO@BBVA.COM</t>
  </si>
  <si>
    <t>GALLARDO DE LEON LILIANA</t>
  </si>
  <si>
    <t>MA02807</t>
  </si>
  <si>
    <t>LILIANA.GALLARDO@BBVA.COM</t>
  </si>
  <si>
    <t>LADINO LOPEZ AIME LUCIA</t>
  </si>
  <si>
    <t>MB75919</t>
  </si>
  <si>
    <t>AIMELUCIA.LADINO@BBVA.COM</t>
  </si>
  <si>
    <t>GRANADOS BELLO ANGEL</t>
  </si>
  <si>
    <t>MB09519</t>
  </si>
  <si>
    <t>ANGEL.GRANADOS@BBVA.COM</t>
  </si>
  <si>
    <t>VARGAS JERONIMO ADRIANA DEL CARMEN</t>
  </si>
  <si>
    <t>MB70923</t>
  </si>
  <si>
    <t>ADRIANADELCARMEN.VARGAS@BBVA.COM</t>
  </si>
  <si>
    <t>LOPEZ CRUZ NICOLAS</t>
  </si>
  <si>
    <t>MB45142</t>
  </si>
  <si>
    <t>NICOLAS.LOPEZ.CRUZ@BBVA.COM</t>
  </si>
  <si>
    <t>COB MELENDEZ JHONATAN ABRAHAN</t>
  </si>
  <si>
    <t>MB62411</t>
  </si>
  <si>
    <t>JHONATANABRAHAN.COB.MELENDEZ@BBVA.COM</t>
  </si>
  <si>
    <t>CEBALLOS SANDOVAL FELIPE DE JESUS</t>
  </si>
  <si>
    <t>MB84636</t>
  </si>
  <si>
    <t>FELIPEDEJESUS.CEBALLOS.SANDOV@BBVA.COM</t>
  </si>
  <si>
    <t>XELHUANTZI RIOS MIGUEL ANGEL</t>
  </si>
  <si>
    <t>MA02824</t>
  </si>
  <si>
    <t>MIGUEL.XELHUANTZI@BBVA.COM</t>
  </si>
  <si>
    <t>POOL YAM ROGER FERNANDO</t>
  </si>
  <si>
    <t>MA02823</t>
  </si>
  <si>
    <t>ROGER.POOL@BBVA.COM</t>
  </si>
  <si>
    <t>CASTRO DE LOS SANTOS JORGE ALFREDO</t>
  </si>
  <si>
    <t>M170947</t>
  </si>
  <si>
    <t>JORGE.CASTRO@BBVA.COM</t>
  </si>
  <si>
    <t>FRANCO FRANCO RAUL RENAN</t>
  </si>
  <si>
    <t>M105621</t>
  </si>
  <si>
    <t>RAUL.FRANCO@BBVA.COM</t>
  </si>
  <si>
    <t>GAMBOA BECERRA JORGE ANDRES</t>
  </si>
  <si>
    <t>MB55237</t>
  </si>
  <si>
    <t>JORGEANDRES.GAMBOA@BBVA.COM</t>
  </si>
  <si>
    <t>TAMAY CAN LUIS GUADALUPE</t>
  </si>
  <si>
    <t>MB68208</t>
  </si>
  <si>
    <t>LUISGUADALUPE.TAMAY@BBVA.COM</t>
  </si>
  <si>
    <t>ARRATIA SALINAS OSDY</t>
  </si>
  <si>
    <t>MB76781</t>
  </si>
  <si>
    <t>OSDY.ARRATIA.SALINAS@BBVA.COM</t>
  </si>
  <si>
    <t>MARTINEZ HERNANDEZ BERTHA</t>
  </si>
  <si>
    <t>MB43010</t>
  </si>
  <si>
    <t>BERTHA.MARTINEZ@BBVA.COM</t>
  </si>
  <si>
    <t>RAMIREZ MUNOZ LILIAMS</t>
  </si>
  <si>
    <t>MA30305</t>
  </si>
  <si>
    <t>LILIAMS.RAMIREZ@BBVA.COM</t>
  </si>
  <si>
    <t>KUMUL CANO REYES RODRIGO</t>
  </si>
  <si>
    <t>MA31380</t>
  </si>
  <si>
    <t>REYES.KUMUL@BBVA.COM</t>
  </si>
  <si>
    <t>FLORES YAM MARIA PASTORA</t>
  </si>
  <si>
    <t>MB68210</t>
  </si>
  <si>
    <t>MARIAPASTORA.FLORES.YAM@BBVA.COM</t>
  </si>
  <si>
    <t>PENA RIVERA HECTOR</t>
  </si>
  <si>
    <t>MB37076</t>
  </si>
  <si>
    <t>HECTOR.PENA.RIVERA@BBVA.COM</t>
  </si>
  <si>
    <t>VICTORIA CASTELLANOS ELIZABETH</t>
  </si>
  <si>
    <t>MB20026</t>
  </si>
  <si>
    <t>ELIZABETH.VICTORIA@BBVA.COM</t>
  </si>
  <si>
    <t>GUILLEN CRUZ MANUEL JESUS</t>
  </si>
  <si>
    <t>MB56623</t>
  </si>
  <si>
    <t>MANUELJESUS.GUILLEN.CRUZ@BBVA.COM</t>
  </si>
  <si>
    <t>PENICHE LINERO ERNESTO JOSE</t>
  </si>
  <si>
    <t>MB14578</t>
  </si>
  <si>
    <t>ERNESTOJOSE.PENICHE@BBVA.COM</t>
  </si>
  <si>
    <t>TUN CHE MARIA DE GUADALUPE</t>
  </si>
  <si>
    <t>MB43016</t>
  </si>
  <si>
    <t>MARIADEGUADALUPE.TUN@BBVA.COM</t>
  </si>
  <si>
    <t>AKE MAY ARIEL ABRAHAM</t>
  </si>
  <si>
    <t>MB68924</t>
  </si>
  <si>
    <t>ARIELABRAHAM.AKE@BBVA.COM</t>
  </si>
  <si>
    <t>CASTILLO VAZQUEZ PAULA YOLANDA</t>
  </si>
  <si>
    <t>MB84311</t>
  </si>
  <si>
    <t>PAULAYOLANDA.CASTILLO@BBVA.COM</t>
  </si>
  <si>
    <t>ALOR LOPEZ ROSA</t>
  </si>
  <si>
    <t>MB80473</t>
  </si>
  <si>
    <t>ROSA.ALOR@BBVA.COM</t>
  </si>
  <si>
    <t>REYES GOMEZ OMAR</t>
  </si>
  <si>
    <t>M905829</t>
  </si>
  <si>
    <t>OMAR.REYES@BBVA.COM</t>
  </si>
  <si>
    <t>HERNANDEZ AGUILAR ANA LILIA</t>
  </si>
  <si>
    <t>MA09592</t>
  </si>
  <si>
    <t>ANA.HERNANDEZ@BBVA.COM</t>
  </si>
  <si>
    <t>FLORES PORRAS GUSTAVO ALBERTO</t>
  </si>
  <si>
    <t>MA31073</t>
  </si>
  <si>
    <t>GUSTAVO.FLORES.2@BBVA.COM</t>
  </si>
  <si>
    <t>VELAZQUEZ CERVANTES ITZELT ALEJANDRA</t>
  </si>
  <si>
    <t>MB37129</t>
  </si>
  <si>
    <t>ITZELTALEJANDRA.VELAZQUEZ@BBVA.COM</t>
  </si>
  <si>
    <t>ROSADO SABIDO REYES ROGER</t>
  </si>
  <si>
    <t>MB75874</t>
  </si>
  <si>
    <t>REYESROGER.ROSADO@BBVA.COM</t>
  </si>
  <si>
    <t>PACHECO CORNEJO ERIK</t>
  </si>
  <si>
    <t>MA31675</t>
  </si>
  <si>
    <t>ERIK.PACHECO@BBVA.COM</t>
  </si>
  <si>
    <t>RAMIREZ ALQUICIREZ MARCO ANTONIO</t>
  </si>
  <si>
    <t>M203895</t>
  </si>
  <si>
    <t>MARCO.RAMIREZ.2@BBVA.COM</t>
  </si>
  <si>
    <t>SILVA ZAGO MARIBEL</t>
  </si>
  <si>
    <t>M284209</t>
  </si>
  <si>
    <t>MARIBEL.SILVA@BBVA.COM</t>
  </si>
  <si>
    <t>LEON LOPEZ ALEJANDRO</t>
  </si>
  <si>
    <t>MB74488</t>
  </si>
  <si>
    <t>ALEJANDRO.LEON.LOPEZ@BBVA.COM</t>
  </si>
  <si>
    <t>MENDEZ SANCHEZ JORGE URYEL</t>
  </si>
  <si>
    <t>MB74347</t>
  </si>
  <si>
    <t>JORGEURYEL.MENDEZ@BBVA.COM</t>
  </si>
  <si>
    <t>ZAMBRANO CARRION GABRIEL MARCELINO</t>
  </si>
  <si>
    <t>MB63722</t>
  </si>
  <si>
    <t>GABRIELMARCELINO.ZAMBRANO@BBVA.COM</t>
  </si>
  <si>
    <t>FRANCO RUEDA JOSE OMAR</t>
  </si>
  <si>
    <t>MB59796</t>
  </si>
  <si>
    <t>JOSEOMAR.FRANCO@BBVA.COM</t>
  </si>
  <si>
    <t>AMADO SANCHEZ LAURA</t>
  </si>
  <si>
    <t>MB51733</t>
  </si>
  <si>
    <t>LAURA.AMADO.SANCHEZ@BBVA.COM</t>
  </si>
  <si>
    <t>MUNOZ ALMAGUER CUITLAHUAC</t>
  </si>
  <si>
    <t>MB60502</t>
  </si>
  <si>
    <t>CUITLAHUAC.MUNOZ@BBVA.COM</t>
  </si>
  <si>
    <t>RODRIGUEZ TAPIA HECTOR RUBEN</t>
  </si>
  <si>
    <t>MB76225</t>
  </si>
  <si>
    <t>HECTORRUBEN.RODRIGUEZ@BBVA.COM</t>
  </si>
  <si>
    <t>GONZALEZ CAZARES TANIA CECILIA</t>
  </si>
  <si>
    <t>MB84729</t>
  </si>
  <si>
    <t>TANIACECILIA.GONZALEZ.CAZARES@BBVA.COM</t>
  </si>
  <si>
    <t>SANCHEZ PORRAS IRIANELLI CHRISTIAN</t>
  </si>
  <si>
    <t>MB02740</t>
  </si>
  <si>
    <t>MB02740@BBVA.COM</t>
  </si>
  <si>
    <t>HERNANDEZ SANCHEZ JOSE LUIS</t>
  </si>
  <si>
    <t>MB69162</t>
  </si>
  <si>
    <t>JOSELUIS.HERNANDEZ4@BBVA.COM</t>
  </si>
  <si>
    <t>ROJAS CARDOSO MARIA LETICIA</t>
  </si>
  <si>
    <t>MH03366</t>
  </si>
  <si>
    <t>MALETICIA.ROJAS@BBVA.COM</t>
  </si>
  <si>
    <t>LARA ENRIQUEZ JOAQUIN</t>
  </si>
  <si>
    <t>MB76229</t>
  </si>
  <si>
    <t>JOAQUIN.LARA@BBVA.COM</t>
  </si>
  <si>
    <t>MORALES REYES GABRIELA</t>
  </si>
  <si>
    <t>MB59287</t>
  </si>
  <si>
    <t>GABRIELA.MORALES.REYES@BBVA.COM</t>
  </si>
  <si>
    <t>JUAREZ COSTENO MARLENE</t>
  </si>
  <si>
    <t>MB75921</t>
  </si>
  <si>
    <t>MARLENE.JUAREZ.COSTENO@BBVA.COM</t>
  </si>
  <si>
    <t>RIVERA CORTES MARIA LUISA</t>
  </si>
  <si>
    <t>MH03641</t>
  </si>
  <si>
    <t>MARIALUISA.RIVERA.2@BBVA.COM</t>
  </si>
  <si>
    <t>MARIN RODRIGUEZ MIGUEL ANGEL</t>
  </si>
  <si>
    <t>MB55132</t>
  </si>
  <si>
    <t>MIGUEL.MARIN.1@BBVA.COM</t>
  </si>
  <si>
    <t>GARCIA VAZQUEZ JOAQUIN</t>
  </si>
  <si>
    <t>MB05595</t>
  </si>
  <si>
    <t>JOAQUIN.GARCIA2@BBVA.COM</t>
  </si>
  <si>
    <t>DE GANTE GARFIAS ELIZABEHT ZELENE</t>
  </si>
  <si>
    <t>MB61047</t>
  </si>
  <si>
    <t>ELIZABEHTZELENE.DEGANTE@BBVA.COM</t>
  </si>
  <si>
    <t>HARO RAMOS ROGELIO ROBERTO</t>
  </si>
  <si>
    <t>MH03784</t>
  </si>
  <si>
    <t>ROGELIO.HARO@BBVA.COM</t>
  </si>
  <si>
    <t>ARVIZU CASTELLANOS ROBERTO</t>
  </si>
  <si>
    <t>M57359</t>
  </si>
  <si>
    <t>R.ARVIZU@BBVA.COM</t>
  </si>
  <si>
    <t>ROSARIO FLORES ALEJANDRA</t>
  </si>
  <si>
    <t>MA10349</t>
  </si>
  <si>
    <t>A.ROSARIOF@BBVA.COM</t>
  </si>
  <si>
    <t>AZAMAR SABINO PETRA</t>
  </si>
  <si>
    <t>MB69698</t>
  </si>
  <si>
    <t>PETRA.AZAMAR@BBVA.COM</t>
  </si>
  <si>
    <t>ROMERO RAMIREZ MARIA DEL ROSARIO</t>
  </si>
  <si>
    <t>MB78686</t>
  </si>
  <si>
    <t>MARIADELROSARIO.ROMERO@BBVA.COM</t>
  </si>
  <si>
    <t>MORENO GONZALEZ JOSE ELIAS</t>
  </si>
  <si>
    <t>MB47547</t>
  </si>
  <si>
    <t>JOSEELIAS.MORENO2@BBVA.COM</t>
  </si>
  <si>
    <t>ALTAMIRANO CORDERO MARIA LUISA</t>
  </si>
  <si>
    <t>MA00666</t>
  </si>
  <si>
    <t>MARIALUISA.ALTAMIRANO@BBVA.COM</t>
  </si>
  <si>
    <t>CERQUEDA RUIZ PERLA XOCHITL</t>
  </si>
  <si>
    <t>MB40330</t>
  </si>
  <si>
    <t>PERLAXOCHITL.CERQUEDA@BBVA.COM</t>
  </si>
  <si>
    <t>LOPEZ ROJAS HILDA CONCEPCION</t>
  </si>
  <si>
    <t>MB75405</t>
  </si>
  <si>
    <t>HILDACONCEPCION.LOPEZ@BBVA.COM</t>
  </si>
  <si>
    <t>ALEGRIA DEL ANGEL ALFONSO</t>
  </si>
  <si>
    <t>MB75401</t>
  </si>
  <si>
    <t>ALFONSO.ALEGRIA@BBVA.COM</t>
  </si>
  <si>
    <t>VALENCIA MORA SAUL</t>
  </si>
  <si>
    <t>MB44135</t>
  </si>
  <si>
    <t>SAUL.VALENCIA@BBVA.COM</t>
  </si>
  <si>
    <t>CHAVEZ PALMA ALEJANDRO</t>
  </si>
  <si>
    <t>MB69880</t>
  </si>
  <si>
    <t>ALEJANDRO.CHAVEZ2@BBVA.COM</t>
  </si>
  <si>
    <t>PEDRAZA ANG ARACELI VIRIDIANA</t>
  </si>
  <si>
    <t>MB57375</t>
  </si>
  <si>
    <t>ARACELIVIRIDIANA.PEDRAZA@BBVA.COM</t>
  </si>
  <si>
    <t>CABALLERO PINO ERIKA</t>
  </si>
  <si>
    <t>MB82289</t>
  </si>
  <si>
    <t>erika.caballero.pino@bbva.com</t>
  </si>
  <si>
    <t>REYES HURTADO CAROLINA</t>
  </si>
  <si>
    <t>MB13145</t>
  </si>
  <si>
    <t>CAROLINA.REYES@BBVA.COM</t>
  </si>
  <si>
    <t>PEREZ PEREZ LEANDRO ALVARO</t>
  </si>
  <si>
    <t>MA11679</t>
  </si>
  <si>
    <t>PATEPPA1@BBVA.COM</t>
  </si>
  <si>
    <t>PALAVICINI PEREZ CESAR ALEJANDRO</t>
  </si>
  <si>
    <t>MB57846</t>
  </si>
  <si>
    <t>CESARALEJANDRO.PALAVICINI.PER@BBVA.COM</t>
  </si>
  <si>
    <t>SERRANO MONTERO RUBEN</t>
  </si>
  <si>
    <t>MA31691</t>
  </si>
  <si>
    <t>RUBEN.SERRANO@BBVA.COM</t>
  </si>
  <si>
    <t>SALDIERNA MURILLO JUAN MANUEL</t>
  </si>
  <si>
    <t>M231825</t>
  </si>
  <si>
    <t>JM.SALDIERNA@BBVA.COM</t>
  </si>
  <si>
    <t>CORTES CORTES ROBERTO</t>
  </si>
  <si>
    <t>M40852</t>
  </si>
  <si>
    <t>ROBERTO.CORTES.2@BBVA.COM</t>
  </si>
  <si>
    <t>LOPEZ PEREZ JAIME</t>
  </si>
  <si>
    <t>M909479</t>
  </si>
  <si>
    <t>JAIME.LOPEZ.4@BBVA.COM</t>
  </si>
  <si>
    <t>MONTES OLIVERO CHRISTIAN EDUARDO</t>
  </si>
  <si>
    <t>MB00672</t>
  </si>
  <si>
    <t>CHRISTIAN.MONTES.1@BBVA.COM</t>
  </si>
  <si>
    <t>ANGELES SOTUYO JULIO CESAR</t>
  </si>
  <si>
    <t>M909473</t>
  </si>
  <si>
    <t>JULIO.ANGELES@BBVA.COM</t>
  </si>
  <si>
    <t>DIAZ DELGADO MIGUEL ISRAEL</t>
  </si>
  <si>
    <t>MB05536</t>
  </si>
  <si>
    <t>MIGUEL.DIAZ.2@BBVA.COM</t>
  </si>
  <si>
    <t>HERNANDEZ TOMAS ANGELICA</t>
  </si>
  <si>
    <t>MB00419</t>
  </si>
  <si>
    <t>ANGELICA.HERNANDEZ.3@BBVA.COM</t>
  </si>
  <si>
    <t>LOPEZ SAPIEN NORMA GUADALUPE</t>
  </si>
  <si>
    <t>MB00282</t>
  </si>
  <si>
    <t>NORMA.LOPEZ.1@BBVA.COM</t>
  </si>
  <si>
    <t>SANCHEZ ALVARADO CYNTIA PATRICIA</t>
  </si>
  <si>
    <t>MB03582</t>
  </si>
  <si>
    <t>CYNTIA.SANCHEZ@BBVA.COM</t>
  </si>
  <si>
    <t>COLIN GUERRERO MONTSSERRAT</t>
  </si>
  <si>
    <t>MB19772</t>
  </si>
  <si>
    <t>MONTSSERRAT.COLIN@BBVA.COM</t>
  </si>
  <si>
    <t>SALINAS MENDOZA MARIA GUADALUPE</t>
  </si>
  <si>
    <t>MB09019</t>
  </si>
  <si>
    <t>MARIAGUADALUPE.SALINAS@BBVA.COM</t>
  </si>
  <si>
    <t>ZEA RODRIGUEZ CECILIA NATHALY</t>
  </si>
  <si>
    <t>MB63734</t>
  </si>
  <si>
    <t>CECILIANATHALY.ZEA.RODRIGUEZ@BBVA.COM</t>
  </si>
  <si>
    <t>RAMIREZ NOGUEDA MARIO RICARDO</t>
  </si>
  <si>
    <t>MB76719</t>
  </si>
  <si>
    <t>MARIORICARDO.RAMIREZ.NOGUEDA@BBVA.COM</t>
  </si>
  <si>
    <t>HERNANDEZ ALVAREZ ERENDIRA</t>
  </si>
  <si>
    <t>MH03051</t>
  </si>
  <si>
    <t>ERENDIRA.HERNANDEZ@BBVA.COM</t>
  </si>
  <si>
    <t>TALAMANTES CORDERO DINORAH ELIZABETH</t>
  </si>
  <si>
    <t>MB01127</t>
  </si>
  <si>
    <t>DINORAH.TALAMANTES@BBVA.COM</t>
  </si>
  <si>
    <t>GUISA ROSAS FLAVIO AUGUSTO</t>
  </si>
  <si>
    <t>MB83275</t>
  </si>
  <si>
    <t>FLAVIOAUGUSTO.GUISA@BBVA.COM</t>
  </si>
  <si>
    <t>DE LA CRUZ RAMIREZ JESUS FRANCISCO</t>
  </si>
  <si>
    <t>MB83555</t>
  </si>
  <si>
    <t>JESUSFRANCISCO.DELACRUZ@BBVA.COM</t>
  </si>
  <si>
    <t>MENDOZA HERNANDEZ JUAN CARLOS</t>
  </si>
  <si>
    <t>M46121</t>
  </si>
  <si>
    <t>J.MENDOZA@BBVA.COM</t>
  </si>
  <si>
    <t>ASCENCIO JUARICO BEATRIZ ADRIANA</t>
  </si>
  <si>
    <t>M900945</t>
  </si>
  <si>
    <t>BEATRIZ.ASCENCIO@BBVA.COM</t>
  </si>
  <si>
    <t>BRIONES MARTINEZ HUGO ENRIQUE</t>
  </si>
  <si>
    <t>MB00156</t>
  </si>
  <si>
    <t>HUGO.BRIONES@BBVA.COM</t>
  </si>
  <si>
    <t>CRUZ REYNA SAUL</t>
  </si>
  <si>
    <t>MB00158</t>
  </si>
  <si>
    <t>SAUL.CRUZ@BBVA.COM</t>
  </si>
  <si>
    <t>LOPEZ BADILLO ADRIANA</t>
  </si>
  <si>
    <t>MB00160</t>
  </si>
  <si>
    <t>ADRIANA.LOPEZ.3@BBVA.COM</t>
  </si>
  <si>
    <t>HERRERA CAMARILLO GERARDO</t>
  </si>
  <si>
    <t>MB41504</t>
  </si>
  <si>
    <t>GERARDO.HERRERA@BBVA.COM</t>
  </si>
  <si>
    <t>VITE SOLIS LEONARDO</t>
  </si>
  <si>
    <t>MB00130</t>
  </si>
  <si>
    <t>LEONARDO.VITE@BBVA.COM</t>
  </si>
  <si>
    <t>OROZCO VAZQUEZ ADAN</t>
  </si>
  <si>
    <t>MB09488</t>
  </si>
  <si>
    <t>ADAN.OROZCO@BBVA.COM</t>
  </si>
  <si>
    <t>LOBATO RODRIGUEZ DENIA</t>
  </si>
  <si>
    <t>MH01742</t>
  </si>
  <si>
    <t>DENIA.LOBATO@BBVA.COM</t>
  </si>
  <si>
    <t>ZEA MALDONADO CLAUDIA IRENE</t>
  </si>
  <si>
    <t>M902959</t>
  </si>
  <si>
    <t>CLAUDIA.ZEA@BBVA.COM</t>
  </si>
  <si>
    <t>CANO LICONA ANGEL MARTIN</t>
  </si>
  <si>
    <t>MB00155</t>
  </si>
  <si>
    <t>ANGELCANO@BBVA.COM</t>
  </si>
  <si>
    <t>DE LA CRUZ ORTIZ ANSELMO</t>
  </si>
  <si>
    <t>MB56010</t>
  </si>
  <si>
    <t>ANSELMO.DELACRUZ@BBVA.COM</t>
  </si>
  <si>
    <t>RANGEL ROMERO CARLOS</t>
  </si>
  <si>
    <t>MB00191</t>
  </si>
  <si>
    <t>CARLOS.RANGEL.1@BBVA.COM</t>
  </si>
  <si>
    <t>CHAVEZ FLORES VICTOR HUGO</t>
  </si>
  <si>
    <t>MB00134</t>
  </si>
  <si>
    <t>VICTOR.CHAVEZ.2@BBVA.COM</t>
  </si>
  <si>
    <t>IBARRA ORTIZ GABRIELA</t>
  </si>
  <si>
    <t>MB00136</t>
  </si>
  <si>
    <t>GABRIELA.IBARRA@BBVA.COM</t>
  </si>
  <si>
    <t>CRUZ TORRES MARIA ELIZABETH</t>
  </si>
  <si>
    <t>M76736</t>
  </si>
  <si>
    <t>E.CRUZT@BBVA.COM</t>
  </si>
  <si>
    <t>GUZMAN SCHMIDT CARLOS GUILLERMO</t>
  </si>
  <si>
    <t>MB30815</t>
  </si>
  <si>
    <t>CARLOSGUILLERMO.GUZMAN@BBVA.COM</t>
  </si>
  <si>
    <t>CASTILLO GUZMAN EDGAR AUGUSTO</t>
  </si>
  <si>
    <t>MB00140</t>
  </si>
  <si>
    <t>EDGAR.CASTILLO@BBVA.COM</t>
  </si>
  <si>
    <t>MONTES VAZQUEZ REYES</t>
  </si>
  <si>
    <t>MB00139</t>
  </si>
  <si>
    <t>REYES.MONTES@BBVA.COM</t>
  </si>
  <si>
    <t>LEON LOPEZ NORMA ANGELICA</t>
  </si>
  <si>
    <t>MB00251</t>
  </si>
  <si>
    <t>NORMA.LEON@BBVA.COM</t>
  </si>
  <si>
    <t>VILLATORO YEPEZ ALEJANDRO</t>
  </si>
  <si>
    <t>M47960</t>
  </si>
  <si>
    <t>A.VILLATORO@BBVA.COM</t>
  </si>
  <si>
    <t>CHAVEZ RUIZ HECTOR</t>
  </si>
  <si>
    <t>MB00142</t>
  </si>
  <si>
    <t>HECTOR.CHAVEZ@BBVA.COM</t>
  </si>
  <si>
    <t>ARROYO ISLAS CARLOS ALBERTO</t>
  </si>
  <si>
    <t>MB00172</t>
  </si>
  <si>
    <t>CARLOS.ARROYO.1@BBVA.COM</t>
  </si>
  <si>
    <t>COLIN PEREZ JESUS IVAN</t>
  </si>
  <si>
    <t>MB00146</t>
  </si>
  <si>
    <t>JESUS.COLIN@BBVA.COM</t>
  </si>
  <si>
    <t>HERNANDEZ ROJAS ELIZABETH</t>
  </si>
  <si>
    <t>MB09662</t>
  </si>
  <si>
    <t>ELIZABETH.HERNANDEZ.2@BBVA.COM</t>
  </si>
  <si>
    <t>SANTAELLA PARRA IGNACIO JAVIER</t>
  </si>
  <si>
    <t>MB00250</t>
  </si>
  <si>
    <t>IGNACIO.SANTAELLA@BBVA.COM</t>
  </si>
  <si>
    <t>BUENROSTRO PEREZ JOSE RODRIGO</t>
  </si>
  <si>
    <t>MB71726</t>
  </si>
  <si>
    <t>JOSERODRIGO.BUENROSTRO@BBVA.COM</t>
  </si>
  <si>
    <t>BARBARINO RIZO JOSE LUIS</t>
  </si>
  <si>
    <t>MB00179</t>
  </si>
  <si>
    <t>JOSELUIS.BARBARINO@BBVA.COM</t>
  </si>
  <si>
    <t>CRUZ REYNA MIROSLABA VIRIDIANA</t>
  </si>
  <si>
    <t>MB00144</t>
  </si>
  <si>
    <t>MIROSLABA.CRUZ@BBVA.COM</t>
  </si>
  <si>
    <t>CHAVEZ CALDERON GUADALUPE</t>
  </si>
  <si>
    <t>MB00177</t>
  </si>
  <si>
    <t>GUADALUPE.GUADALUPE@BBVA.COM</t>
  </si>
  <si>
    <t>HERNANDEZ BECERRIL YOLANDA</t>
  </si>
  <si>
    <t>MB00147</t>
  </si>
  <si>
    <t>YOLANDA.HERNANDEZ.2@BBVA.COM</t>
  </si>
  <si>
    <t>PEREZ CARDENAS NETY LILIANA</t>
  </si>
  <si>
    <t>MB13351</t>
  </si>
  <si>
    <t>NETY.PEREZ@BBVA.COM</t>
  </si>
  <si>
    <t>ARRIAGA ESTRADA JOSE MANUEL</t>
  </si>
  <si>
    <t>MB00149</t>
  </si>
  <si>
    <t>JOSEMANUEL.ARRIAGA@BBVA.COM</t>
  </si>
  <si>
    <t>RODRIGUEZ ESPINOZA LORENA MONTSERRAT</t>
  </si>
  <si>
    <t>MB19770</t>
  </si>
  <si>
    <t>L.RODRIGUEZE@BBVA.COM</t>
  </si>
  <si>
    <t>GUERRERO VAZQUEZ ANGELICA CAROLINA</t>
  </si>
  <si>
    <t>MB09722</t>
  </si>
  <si>
    <t>ANGELICA.GUERRERO@BBVA.COM</t>
  </si>
  <si>
    <t>HERNANDEZ BARBOSA MIGUEL ANGEL</t>
  </si>
  <si>
    <t>MB21334</t>
  </si>
  <si>
    <t>MIGUELANGEL.HERNANDEZ@BBVA.COM</t>
  </si>
  <si>
    <t>LAZARO SALGUERO JUAN CARLOS</t>
  </si>
  <si>
    <t>MB00174</t>
  </si>
  <si>
    <t>JUANCARLOS.LAZARO@BBVA.COM</t>
  </si>
  <si>
    <t>VILLEGAS LOPEZ OSWALDO</t>
  </si>
  <si>
    <t>MB05367</t>
  </si>
  <si>
    <t>OSWALDO.VILLEGAS@BBVA.COM</t>
  </si>
  <si>
    <t>ACOSTA AGUILAR SONIA</t>
  </si>
  <si>
    <t>M203733</t>
  </si>
  <si>
    <t>SONIA.ACOSTA@BBVA.COM</t>
  </si>
  <si>
    <t>RANGEL ROMERO ALEJANDRA</t>
  </si>
  <si>
    <t>M202917</t>
  </si>
  <si>
    <t>ALEJANDRA.RANGEL@BBVA.COM</t>
  </si>
  <si>
    <t>MENDIOLA TELLO ROBERTO CARLOS</t>
  </si>
  <si>
    <t>MB00005</t>
  </si>
  <si>
    <t>ROBERTO.MENDIOLA@BBVA.COM</t>
  </si>
  <si>
    <t>HERNANDEZ RAMIREZ JESUS VICENTE</t>
  </si>
  <si>
    <t>MB00162</t>
  </si>
  <si>
    <t>JESUS.HERNANDEZ.5@BBVA.COM</t>
  </si>
  <si>
    <t>JIMENEZ GARCIA JOSE ALFREDO</t>
  </si>
  <si>
    <t>MB00137</t>
  </si>
  <si>
    <t>JOSEALFREDO.JIMENEZ.1@BBVA.COM</t>
  </si>
  <si>
    <t>BARRERA RAMIREZ URSULA</t>
  </si>
  <si>
    <t>MB00141</t>
  </si>
  <si>
    <t>URSULA.BARRERA@BBVA.COM</t>
  </si>
  <si>
    <t>QUINTANAR MEDINA JUAN</t>
  </si>
  <si>
    <t>M909129</t>
  </si>
  <si>
    <t>JUAN.QUINTANAR@BBVA.COM</t>
  </si>
  <si>
    <t>HERNANDEZ LOPEZ JOSE DOMINGO</t>
  </si>
  <si>
    <t>MB00164</t>
  </si>
  <si>
    <t>JOSEDOMINGO.HERNANDEZ@BBVA.COM</t>
  </si>
  <si>
    <t>AGUIRRE ROBLES DINORA</t>
  </si>
  <si>
    <t>MB00148</t>
  </si>
  <si>
    <t>DINORA.AGUIRRE@BBVA.COM</t>
  </si>
  <si>
    <t>TELLEZ BAZAN HECTOR</t>
  </si>
  <si>
    <t>MB00170</t>
  </si>
  <si>
    <t>HECTOR.TELLEZ@BBVA.COM</t>
  </si>
  <si>
    <t>AVALOS OROZCO JOSUE DAMIAN</t>
  </si>
  <si>
    <t>MB00165</t>
  </si>
  <si>
    <t>JOSUE.AVALOS@BBVA.COM</t>
  </si>
  <si>
    <t>YANEZ TREJO MARTHA</t>
  </si>
  <si>
    <t>MB00151</t>
  </si>
  <si>
    <t>MARTHA.YANEZ@BBVA.COM</t>
  </si>
  <si>
    <t>VERA ESPINOSA EPIFANIO</t>
  </si>
  <si>
    <t>MB59685</t>
  </si>
  <si>
    <t>EPIFANIO.VERA@BBVA.COM</t>
  </si>
  <si>
    <t>HERNANDEZ CABRERA ALMA NELLY</t>
  </si>
  <si>
    <t>MB00128</t>
  </si>
  <si>
    <t>ALMA.HERNANDEZ.1@BBVA.COM</t>
  </si>
  <si>
    <t>LEON PENA GABRIEL ANTONIO</t>
  </si>
  <si>
    <t>M56626</t>
  </si>
  <si>
    <t>GA.LEON@BBVA.COM</t>
  </si>
  <si>
    <t>HERNANDEZ GONZALEZ JOSE MARTIN</t>
  </si>
  <si>
    <t>M53977</t>
  </si>
  <si>
    <t>MARTIN.HERNANDEZ@BBVA.COM</t>
  </si>
  <si>
    <t>CORONEL ROBLES EDUARDO</t>
  </si>
  <si>
    <t>M501949</t>
  </si>
  <si>
    <t>EDUARDO.CORONEL@BBVA.COM</t>
  </si>
  <si>
    <t>GARCIA TORRES MARIA DE LOS ANGELES</t>
  </si>
  <si>
    <t>M204061</t>
  </si>
  <si>
    <t>MARIA.GARCIA.1@BBVA.COM</t>
  </si>
  <si>
    <t>VARGAS ISLAS JUANA GABRIEL</t>
  </si>
  <si>
    <t>M203955</t>
  </si>
  <si>
    <t>GA.VARGAS@BBVA.COM</t>
  </si>
  <si>
    <t>OLGUIN MONTANO MARIA DEL ROCIO</t>
  </si>
  <si>
    <t>M203612</t>
  </si>
  <si>
    <t>ROCIO.OLGUIN@BBVA.COM</t>
  </si>
  <si>
    <t>GARCIA LOPEZ EDNA JEANINE</t>
  </si>
  <si>
    <t>MB08785</t>
  </si>
  <si>
    <t>EDNA.GARCIA@BBVA.COM</t>
  </si>
  <si>
    <t>MERA DE LA CRUZ BLANCA ESTELA</t>
  </si>
  <si>
    <t>MH03512</t>
  </si>
  <si>
    <t>BLANCA.MERADELACRUZ@BBVA.COM</t>
  </si>
  <si>
    <t>GONZALEZ BERMEO MAGDALENA SANDRA</t>
  </si>
  <si>
    <t>MB45326</t>
  </si>
  <si>
    <t>MAGDALENASANDRA.GONZALEZ@BBVA.COM</t>
  </si>
  <si>
    <t>CASTILLO CHAVEZ LIZBETH</t>
  </si>
  <si>
    <t>M813118</t>
  </si>
  <si>
    <t>LIZBETH@BBVA.COM</t>
  </si>
  <si>
    <t>ORTIZ RIOS NANCY LORENA</t>
  </si>
  <si>
    <t>M203600</t>
  </si>
  <si>
    <t>NANCY.ORTIZ@BBVA.COM</t>
  </si>
  <si>
    <t>MENDEZ PENAFIEL ADRIANA</t>
  </si>
  <si>
    <t>M203825</t>
  </si>
  <si>
    <t>ADRIANA.MENDEZ@BBVA.COM</t>
  </si>
  <si>
    <t>GONZALEZ YANEZ SERGIO</t>
  </si>
  <si>
    <t>M29875</t>
  </si>
  <si>
    <t>SERGIO.GONZALEZY@BBVA.COM</t>
  </si>
  <si>
    <t>FIGUEROA CORTES KARINA</t>
  </si>
  <si>
    <t>MH00773</t>
  </si>
  <si>
    <t>K.FIGUEROA@BBVA.COM</t>
  </si>
  <si>
    <t>PERCASTRE PEREZ MARIA ELENA</t>
  </si>
  <si>
    <t>M203537</t>
  </si>
  <si>
    <t>ELENA.PERCASTRE@BBVA.COM</t>
  </si>
  <si>
    <t>MINERO GARFIAS RUBI</t>
  </si>
  <si>
    <t>M32392</t>
  </si>
  <si>
    <t>R.MINERO@BBVA.COM</t>
  </si>
  <si>
    <t>LOPEZ RUIZ IRIS GUADALUPE</t>
  </si>
  <si>
    <t>M904827</t>
  </si>
  <si>
    <t>IRIS.LOPEZ@BBVA.COM</t>
  </si>
  <si>
    <t>GODINEZ ARRIAGA JUAN PEDRO</t>
  </si>
  <si>
    <t>M46146</t>
  </si>
  <si>
    <t>JUAN.GODINEZ.1@BBVA.COM</t>
  </si>
  <si>
    <t>MANZANO RIOS DULCE GABRIELA</t>
  </si>
  <si>
    <t>MH03125</t>
  </si>
  <si>
    <t>D.MANZANO@BBVA.COM</t>
  </si>
  <si>
    <t>RUIZ GOMEZ ADRIANA</t>
  </si>
  <si>
    <t>MB14289</t>
  </si>
  <si>
    <t>MB14289@BBVA.COM</t>
  </si>
  <si>
    <t>HERNANDEZ MEJIA GUADALUPE</t>
  </si>
  <si>
    <t>M842687</t>
  </si>
  <si>
    <t>GUADALUPE.HERNANDEZ@BBVA.COM</t>
  </si>
  <si>
    <t>PACHECO CARMONA LILIA DEL CARMEN</t>
  </si>
  <si>
    <t>M48491</t>
  </si>
  <si>
    <t>L.PACHECO@BBVA.COM</t>
  </si>
  <si>
    <t>ORTIZ CONTRERAS SERGIO</t>
  </si>
  <si>
    <t>MB64152</t>
  </si>
  <si>
    <t>SERGIO.ORTIZ2@BBVA.COM</t>
  </si>
  <si>
    <t>MONTERDE ROSILLO IVONNE YOENLAY</t>
  </si>
  <si>
    <t>MB70966</t>
  </si>
  <si>
    <t>ivonneyoenlay.monterde@bbva.com</t>
  </si>
  <si>
    <t>MARTINEZ RODRIGUEZ JONATHAN ANDRES</t>
  </si>
  <si>
    <t>mb74809</t>
  </si>
  <si>
    <t>jonathanandres.martinez@bbva.com</t>
  </si>
  <si>
    <t>RENTERIA PADILLA MONICA SUSANA</t>
  </si>
  <si>
    <t>MH01646</t>
  </si>
  <si>
    <t>MONICA.RENTERIA@BBVA.COM</t>
  </si>
  <si>
    <t>TORRES HERNANDEZ ISMAEL</t>
  </si>
  <si>
    <t>MB48963</t>
  </si>
  <si>
    <t>ISMAEL.TORRES2@BBVA.COM</t>
  </si>
  <si>
    <t>TELLEZ JURADO JORGE</t>
  </si>
  <si>
    <t>MB22408</t>
  </si>
  <si>
    <t>JORGE.TELLEZ@BBVA.COM</t>
  </si>
  <si>
    <t>CHAVEZ RAMIREZ CARLOS</t>
  </si>
  <si>
    <t>M203154</t>
  </si>
  <si>
    <t>CARLOS.CHAVEZ@BBVA.COM</t>
  </si>
  <si>
    <t>FLORES RIVERA MANUEL</t>
  </si>
  <si>
    <t>M31031</t>
  </si>
  <si>
    <t>MANUEL.FLORES.1@BBVA.COM</t>
  </si>
  <si>
    <t>LABRADOR CORIA ARTURO</t>
  </si>
  <si>
    <t>MH03668</t>
  </si>
  <si>
    <t>ARTURO.LABRADOR.2@BBVA.COM</t>
  </si>
  <si>
    <t>SANCHEZ GUTIERREZ MARIA CRISTINA</t>
  </si>
  <si>
    <t>MB45280</t>
  </si>
  <si>
    <t>MC.SANCHEZ.GUTIERREZ@BBVA.COM</t>
  </si>
  <si>
    <t>MELGAREJO ESPINDOLA ARMANDO</t>
  </si>
  <si>
    <t>MB19632</t>
  </si>
  <si>
    <t>ARMANDO.MELGAREJO@BBVA.COM</t>
  </si>
  <si>
    <t>GARCIA HERNANDEZ DIANA</t>
  </si>
  <si>
    <t>MB66354</t>
  </si>
  <si>
    <t>DIANA.GARCIA.HERNANDEZ@BBVA.COM</t>
  </si>
  <si>
    <t>GONZALEZ VILLANUEVA SANDRA</t>
  </si>
  <si>
    <t>MB01824</t>
  </si>
  <si>
    <t>SANDRA.GONZALEZ.3@BBVA.COM</t>
  </si>
  <si>
    <t>SANCHEZ CHAVEZ CARLOS MANUEL</t>
  </si>
  <si>
    <t>M44613</t>
  </si>
  <si>
    <t>CM.SANCHEZ@BBVA.COM</t>
  </si>
  <si>
    <t>GONZALEZ RAMIREZ MARTHA BEATRIZ</t>
  </si>
  <si>
    <t>M56412</t>
  </si>
  <si>
    <t>MARTHA.GONZALEZ.4@BBVA.COM</t>
  </si>
  <si>
    <t>HERNANDEZ SANCHEZ GUSTAVO HUMBERTO</t>
  </si>
  <si>
    <t>M844760</t>
  </si>
  <si>
    <t>GUSTAVO.HERNANDEZ@BBVA.COM</t>
  </si>
  <si>
    <t>ZAMUDIO MARTINEZ MIRELLE AYERYM</t>
  </si>
  <si>
    <t>M911633</t>
  </si>
  <si>
    <t>MIRELLE.ZAMUDIO@BBVA.COM</t>
  </si>
  <si>
    <t>CARDOSO GARCIA JAVIER</t>
  </si>
  <si>
    <t>MB61930</t>
  </si>
  <si>
    <t>JAVIER.CARDOSO@BBVA.COM</t>
  </si>
  <si>
    <t>PEREZ TORRES MA ELENA</t>
  </si>
  <si>
    <t>M51495</t>
  </si>
  <si>
    <t>MAELENA.PEREZ@BBVA.COM</t>
  </si>
  <si>
    <t>DAVALOS GUTIERREZ MARIA SILVIA</t>
  </si>
  <si>
    <t>M55723</t>
  </si>
  <si>
    <t>MS.DAVALOS@BBVA.COM</t>
  </si>
  <si>
    <t>ROMERO SAAVEDRA VERONICA</t>
  </si>
  <si>
    <t>M57013</t>
  </si>
  <si>
    <t>V.ROMERO@BBVA.COM</t>
  </si>
  <si>
    <t>MORALES NAVA ADRIANA ELISA</t>
  </si>
  <si>
    <t>M40663</t>
  </si>
  <si>
    <t>ADRIANA.MORALES@BBVA.COM</t>
  </si>
  <si>
    <t>GARCIA RODRIGUEZ JUAN MANUEL</t>
  </si>
  <si>
    <t>M909497</t>
  </si>
  <si>
    <t>JUAN.GARCIA.10@BBVA.COM</t>
  </si>
  <si>
    <t>ANAYA ARELLANO IRMA</t>
  </si>
  <si>
    <t>MB00016</t>
  </si>
  <si>
    <t>IRMA.ANAYA@BBVA.COM</t>
  </si>
  <si>
    <t>VAZQUEZ VAZQUEZ OSWALDO</t>
  </si>
  <si>
    <t>MB47506</t>
  </si>
  <si>
    <t>OSWALDO.VAZQUEZ@BBVA.COM</t>
  </si>
  <si>
    <t>SANCHEZ HERRERA NADYA</t>
  </si>
  <si>
    <t>M57489</t>
  </si>
  <si>
    <t>NADYA.SANCHEZ@BBVA.COM</t>
  </si>
  <si>
    <t>RUBIO GARCIA ADRIANA</t>
  </si>
  <si>
    <t>ADRIANA.RUBIO@BBVA.COM</t>
  </si>
  <si>
    <t>GUIZADO AGUILERA SERGIO ROBERTO</t>
  </si>
  <si>
    <t>M332178</t>
  </si>
  <si>
    <t>SERGIO.GUIZADO@BBVA.COM</t>
  </si>
  <si>
    <t>BEDOLLA ROJAS MARTHA GRISELDA</t>
  </si>
  <si>
    <t>M3582</t>
  </si>
  <si>
    <t>GRISELDA.BEDOLLA@BBVA.COM</t>
  </si>
  <si>
    <t>BUSTAMANTE TELLO IRMA ANGELICA</t>
  </si>
  <si>
    <t>M55150</t>
  </si>
  <si>
    <t>ANGELICA.BUSTAMANTE@BBVA.COM</t>
  </si>
  <si>
    <t>CERVANTES MARTINEZ JOSE MARTIN</t>
  </si>
  <si>
    <t>M52961</t>
  </si>
  <si>
    <t>JOSEMARTIN.CERVANTES@BBVA.COM</t>
  </si>
  <si>
    <t>CARRANZA HERNANDEZ LUIS</t>
  </si>
  <si>
    <t>M42702</t>
  </si>
  <si>
    <t>LUIS.CARRANZAH@BBVA.COM</t>
  </si>
  <si>
    <t>SEGURA SANTANA SERGIO</t>
  </si>
  <si>
    <t>M4654</t>
  </si>
  <si>
    <t>SERGIO.SEGURA.1@BBVA.COM</t>
  </si>
  <si>
    <t>HERNANDEZ MARQUEZ LUIS AXEL</t>
  </si>
  <si>
    <t>MB13434</t>
  </si>
  <si>
    <t>LUISAXEL.HERNANDEZ@BBVA.COM</t>
  </si>
  <si>
    <t>IBARRA BUENDIA ELIDE ANGELICA</t>
  </si>
  <si>
    <t>MB78265</t>
  </si>
  <si>
    <t>ELIDEANGELICA.IBARRA@BBVA.COM</t>
  </si>
  <si>
    <t>PIZANO AGUILERA RAUL</t>
  </si>
  <si>
    <t>MB73900</t>
  </si>
  <si>
    <t>RAUL.PIZANO.AGUILERA@BBVA.COM</t>
  </si>
  <si>
    <t>ALEJANDRES AYALA PEDRO</t>
  </si>
  <si>
    <t>MA14495</t>
  </si>
  <si>
    <t>PEDRO.ALEJANDRES@BBVA.COM</t>
  </si>
  <si>
    <t>PEREZ GARCIA RODRIGO IGNACIO</t>
  </si>
  <si>
    <t>MB75109</t>
  </si>
  <si>
    <t>RODRIGOIGNACIO.PEREZ@BBVA.COM</t>
  </si>
  <si>
    <t>PEREZ RAMIREZ LETICIA</t>
  </si>
  <si>
    <t>M62127</t>
  </si>
  <si>
    <t>M62127@BBVA.COM</t>
  </si>
  <si>
    <t>ALVAREZ MILLAN FIDELA MARIA</t>
  </si>
  <si>
    <t>M42347</t>
  </si>
  <si>
    <t>FIDELA.ALVAREZ@BBVA.COM</t>
  </si>
  <si>
    <t>LOPEZ FERRUZ ISMAEL</t>
  </si>
  <si>
    <t>M39376</t>
  </si>
  <si>
    <t>ISMAEL.LOPEZ@BBVA.COM</t>
  </si>
  <si>
    <t>FIGUEROA ESTEVEZ NANCY MARIELA</t>
  </si>
  <si>
    <t>MB85488</t>
  </si>
  <si>
    <t>PEREZ SERRANO EDITH</t>
  </si>
  <si>
    <t>MB71004</t>
  </si>
  <si>
    <t>edith.perez.serrano@bbva.com</t>
  </si>
  <si>
    <t>ORTEGA LEON ABRAHAM ARTURO</t>
  </si>
  <si>
    <t>MB75158</t>
  </si>
  <si>
    <t>ABRAHAMARTURO.ORTEGA@BBVA.COM</t>
  </si>
  <si>
    <t>RIOS AGUILAR JUAN MAURICIO</t>
  </si>
  <si>
    <t>MB75110</t>
  </si>
  <si>
    <t>JUANMAURICIO.RIOS@BBVA.COM</t>
  </si>
  <si>
    <t>MARTINEZ JIMENEZ RUTH LIZBETH</t>
  </si>
  <si>
    <t>MB73768</t>
  </si>
  <si>
    <t>RUTHLIZBETH.MARTINEZ.JIMENEZ@BBVA.COM</t>
  </si>
  <si>
    <t>INIGUEZ GONZALEZ ROBERTO</t>
  </si>
  <si>
    <t>M13819</t>
  </si>
  <si>
    <t>R.INIGUEZ@BBVA.COM</t>
  </si>
  <si>
    <t>ROBLEDO CABALLERO MARIEL</t>
  </si>
  <si>
    <t>M825682</t>
  </si>
  <si>
    <t>MARIEL.ROBLEDO.1@BBVA.COM</t>
  </si>
  <si>
    <t>SOTO NUEVO DAVID</t>
  </si>
  <si>
    <t>M45398</t>
  </si>
  <si>
    <t>DAVID.SOTO@BBVA.COM</t>
  </si>
  <si>
    <t>RODRIGUEZ HERNANDEZ AISLINN MARIAN</t>
  </si>
  <si>
    <t>mb74798</t>
  </si>
  <si>
    <t>aislinnmarian.rodriguez@bbva.com</t>
  </si>
  <si>
    <t>GUTIERREZ CORTES NORMA MARIA</t>
  </si>
  <si>
    <t>M2596</t>
  </si>
  <si>
    <t>N.GUTIERREZC@BBVA.COM</t>
  </si>
  <si>
    <t>HERNANDEZ VILLAFAN CASIMIRO ELPIDIO SERGIO</t>
  </si>
  <si>
    <t>M77809</t>
  </si>
  <si>
    <t>CASIMIROELPI.HERNANDEZ@BBVA.COM</t>
  </si>
  <si>
    <t>NOHPAL SORIA MARY BELL</t>
  </si>
  <si>
    <t>MB73426</t>
  </si>
  <si>
    <t>MARYBELL.NOHPAL@BBVA.COM</t>
  </si>
  <si>
    <t>MONROY MONTES MARCOS</t>
  </si>
  <si>
    <t>M32804</t>
  </si>
  <si>
    <t>MARCOS.MONROY@BBVA.COM</t>
  </si>
  <si>
    <t>SANCHEZ FRANCISCO GODELEVA</t>
  </si>
  <si>
    <t>MB77942</t>
  </si>
  <si>
    <t>GODELEVA.SANCHEZ@BBVA.COM</t>
  </si>
  <si>
    <t>VASCONCELOS TREJO RAYMUNDO</t>
  </si>
  <si>
    <t>M45401</t>
  </si>
  <si>
    <t>RAYMUNDO.VASCONCELOS.1@BBVA.COM</t>
  </si>
  <si>
    <t>DIEGO RAMIREZ EDUARDO</t>
  </si>
  <si>
    <t>MB73367</t>
  </si>
  <si>
    <t>EDUARDO.DIEGO@BBVA.COM</t>
  </si>
  <si>
    <t>ONTIVEROS HERNANDEZ ALEJANDRO EMMANUEL</t>
  </si>
  <si>
    <t>MB73820</t>
  </si>
  <si>
    <t>ALEJANDROEMMANUEL.ONTIVEROS@BBVA.COM</t>
  </si>
  <si>
    <t>JUAREZ LOZA GUSTAVO</t>
  </si>
  <si>
    <t>M6818</t>
  </si>
  <si>
    <t>GUSTAVO.JUAREZ@BBVA.COM</t>
  </si>
  <si>
    <t>CASTRO RICO EDUARDO JOSUE</t>
  </si>
  <si>
    <t>MB76048</t>
  </si>
  <si>
    <t>EDUARDOJOSUE.CASTRO@BBVA.COM</t>
  </si>
  <si>
    <t>ISLAS GUZMAN DARIEL ANGEL</t>
  </si>
  <si>
    <t>MB75710</t>
  </si>
  <si>
    <t>DARIELANGEL.ISLAS@BBVA.COM</t>
  </si>
  <si>
    <t>REYES AVILA LEOBARDO ARTURO</t>
  </si>
  <si>
    <t>MB71005</t>
  </si>
  <si>
    <t>leobardoarturo.reyes.avila@bbva.com</t>
  </si>
  <si>
    <t>ORTIZ SALAZAR EDNA ARTEMISA</t>
  </si>
  <si>
    <t>M46391</t>
  </si>
  <si>
    <t>EDNA.ORTIZ@BBVA.COM</t>
  </si>
  <si>
    <t>GUERRA VEGA ELIZABETH</t>
  </si>
  <si>
    <t>MB78606</t>
  </si>
  <si>
    <t>ELIZABETH.GUERRA@BBVA.COM</t>
  </si>
  <si>
    <t>LINARES MORUA DAVID</t>
  </si>
  <si>
    <t>MB78599</t>
  </si>
  <si>
    <t>DAVID.LINARES@BBVA.COM</t>
  </si>
  <si>
    <t>SORIA OROZCO FERNANDO</t>
  </si>
  <si>
    <t>MB75171</t>
  </si>
  <si>
    <t>FERNANDO.SORIA@BBVA.COM</t>
  </si>
  <si>
    <t>REYES GUTIERREZ LUIS DANIEL</t>
  </si>
  <si>
    <t>MB77996</t>
  </si>
  <si>
    <t>LUISDANIEL.REYES@BBVA.COM</t>
  </si>
  <si>
    <t>SOLIS GONZALEZ JESUS WISEMAN</t>
  </si>
  <si>
    <t>M912550</t>
  </si>
  <si>
    <t>JESUS.SOLIS@BBVA.COM</t>
  </si>
  <si>
    <t>GALLARDO ARROYO JOSE LUIS</t>
  </si>
  <si>
    <t>M361567</t>
  </si>
  <si>
    <t>JOSELUIS.GALLARDO@BBVA.COM</t>
  </si>
  <si>
    <t>CONTRERAS PADILLA RODOLFO VALENTIN</t>
  </si>
  <si>
    <t>MB45266</t>
  </si>
  <si>
    <t>RODOLFOVALENTIN.CONTRERAS@BBVA.COM</t>
  </si>
  <si>
    <t>MORENO JIMENEZ DALIA</t>
  </si>
  <si>
    <t>MB66425</t>
  </si>
  <si>
    <t>DALIA.MORENO@BBVA.COM</t>
  </si>
  <si>
    <t>SANCHEZ IBARRECHE LUIS ERIC</t>
  </si>
  <si>
    <t>M673730</t>
  </si>
  <si>
    <t>LUIS.SANCHEZ.3@BBVA.COM</t>
  </si>
  <si>
    <t>PEREZ HIDALGO DAVID</t>
  </si>
  <si>
    <t>MB36927</t>
  </si>
  <si>
    <t>DAVID.PEREZ.HIDALGO@BBVA.COM</t>
  </si>
  <si>
    <t>ALVA VALDEZ HUGO CESAR</t>
  </si>
  <si>
    <t>MB70698</t>
  </si>
  <si>
    <t>HUGOCESAR.ALVA.VALDEZ@BBVA.COM</t>
  </si>
  <si>
    <t>LOPEZ RODRIGUEZ MIGUEL ALEJANDRO</t>
  </si>
  <si>
    <t>MB24520</t>
  </si>
  <si>
    <t>MIGUEL.LOPEZ.6@BBVA.COM</t>
  </si>
  <si>
    <t>SANCHEZ BAUTISTA ALBERTO</t>
  </si>
  <si>
    <t>MA07495</t>
  </si>
  <si>
    <t>ALBERTO.SANCHEZ@BBVA.COM</t>
  </si>
  <si>
    <t>. GARCIA SERGIO</t>
  </si>
  <si>
    <t>MB53048</t>
  </si>
  <si>
    <t>SERGIOGARCIA@BBVA.COM</t>
  </si>
  <si>
    <t>LUNA TEJEDA ROALD</t>
  </si>
  <si>
    <t>MB75304</t>
  </si>
  <si>
    <t>ROALD.LUNA@BBVA.COM</t>
  </si>
  <si>
    <t>RANGEL SANCHEZ ARMANDO</t>
  </si>
  <si>
    <t>MB24255</t>
  </si>
  <si>
    <t>ARMANDO.RANGEL@BBVA.COM</t>
  </si>
  <si>
    <t>LEON NUNEZ MARCO ANTONIO</t>
  </si>
  <si>
    <t>MB70884</t>
  </si>
  <si>
    <t>MARCOANTONIO.LEON3@BBVA.COM</t>
  </si>
  <si>
    <t>DIAZ GARCIA FRANCISCO RICARDO</t>
  </si>
  <si>
    <t>MB81459</t>
  </si>
  <si>
    <t>FRANCISCORICARDO.DIAZ@BBVA.COM</t>
  </si>
  <si>
    <t>CARMONA SOTO OMAR ERNESTO</t>
  </si>
  <si>
    <t>MB81444</t>
  </si>
  <si>
    <t>OMARERNESTO.CARMONA@BBVA.COM</t>
  </si>
  <si>
    <t>GARCIA CADENA HUGO</t>
  </si>
  <si>
    <t>MB77022</t>
  </si>
  <si>
    <t>hugo.garcia.cadena@bbva.com</t>
  </si>
  <si>
    <t>PUEBLA GONZALEZ LIOPOLDO</t>
  </si>
  <si>
    <t>M570508</t>
  </si>
  <si>
    <t>L.PUEBLAG@BBVA.COM</t>
  </si>
  <si>
    <t>CHINAS ROSALES MARGARITA</t>
  </si>
  <si>
    <t>M170828</t>
  </si>
  <si>
    <t>MAGGIE@BBVA.COM</t>
  </si>
  <si>
    <t>FLORES GOMEZ KARINA NAISE</t>
  </si>
  <si>
    <t>M827783</t>
  </si>
  <si>
    <t>KARINA.FLORES@BBVA.COM</t>
  </si>
  <si>
    <t>MARTINEZ VAZQUEZ EDGAR IVAN</t>
  </si>
  <si>
    <t>MB39150</t>
  </si>
  <si>
    <t>EDGARIVAN.MARTINEZ@BBVA.COM</t>
  </si>
  <si>
    <t>IBARRA GUTIERREZ ROBERTO FERNANDO</t>
  </si>
  <si>
    <t>M17929</t>
  </si>
  <si>
    <t>ROBERTO.IBARRA@BBVA.COM</t>
  </si>
  <si>
    <t>PINA VILLALPANDO MARIA DEL SOCORRO</t>
  </si>
  <si>
    <t>M35038</t>
  </si>
  <si>
    <t>M.PINA@BBVA.COM</t>
  </si>
  <si>
    <t>ALEJANDRES AYALA MIGUEL ANGEL</t>
  </si>
  <si>
    <t>MB60671</t>
  </si>
  <si>
    <t>MIGUELANGEL.ALEJANDRES.AYALA@BBVA.COM</t>
  </si>
  <si>
    <t>GONZALEZ HERNANDEZ ELIEL</t>
  </si>
  <si>
    <t>M202561</t>
  </si>
  <si>
    <t>E.GONZALEZH@BBVA.COM</t>
  </si>
  <si>
    <t>OCHOA GRANADOS PLUTARCO</t>
  </si>
  <si>
    <t>M403593</t>
  </si>
  <si>
    <t>PLUTARCO.OCHOA@BBVA.COM</t>
  </si>
  <si>
    <t>CORTES BALLESTEROS JOSE RAUL</t>
  </si>
  <si>
    <t>M819679</t>
  </si>
  <si>
    <t>JOSERAUL.CORTES@BBVA.COM</t>
  </si>
  <si>
    <t>VILLA DE LA CONCHA VERONICA ABRIL</t>
  </si>
  <si>
    <t>MB75817</t>
  </si>
  <si>
    <t>VERONICAABRIL.VILLA.DELACONCH@BBVA.COM</t>
  </si>
  <si>
    <t>RAMIREZ ESPITIA JONATAN JESUS</t>
  </si>
  <si>
    <t>MB73315</t>
  </si>
  <si>
    <t>JONATANJESUS.RAMIREZ.ESPITIA@BBVA.COM</t>
  </si>
  <si>
    <t>GONZALEZ FRANCO FRANCISCO JOSE</t>
  </si>
  <si>
    <t>M503516</t>
  </si>
  <si>
    <t>FRANCISCO.GONZALEZ.8@BBVA.COM</t>
  </si>
  <si>
    <t>AVALOS GONZALEZ CRISTIAN RICARDO</t>
  </si>
  <si>
    <t>MF17957</t>
  </si>
  <si>
    <t>CRISTIANRICARDO.AVALOS@BBVA.COM</t>
  </si>
  <si>
    <t>ANTONIO GOPAR RUBEN</t>
  </si>
  <si>
    <t>m470935</t>
  </si>
  <si>
    <t>ruben.antonio@bbva.com</t>
  </si>
  <si>
    <t>TOLEDO LARA FERNANDO</t>
  </si>
  <si>
    <t>MB70890</t>
  </si>
  <si>
    <t>FERNANDO.TOLEDO@BBVA.COM</t>
  </si>
  <si>
    <t>REYES NATERAS ALFREDO</t>
  </si>
  <si>
    <t>MB71305</t>
  </si>
  <si>
    <t>alfredo.reyes2@bbva.com</t>
  </si>
  <si>
    <t>VARGAS SANSON ANTONIO</t>
  </si>
  <si>
    <t>MB73320</t>
  </si>
  <si>
    <t>ANTONIO.VARGAS.SANSON@BBVA.COM</t>
  </si>
  <si>
    <t>SANCHEZ MURGUIA JOSE OMAR</t>
  </si>
  <si>
    <t>mb74624</t>
  </si>
  <si>
    <t>joseomar.sanchez.murguia@bbva.com</t>
  </si>
  <si>
    <t>MARTIN PAEZ JORGE ARTURO</t>
  </si>
  <si>
    <t>MB68548</t>
  </si>
  <si>
    <t>JORGEARTURO.MARTIN.PAEZ@BBVA.COM</t>
  </si>
  <si>
    <t>ZUNIGA CHAVEZ JOSE FRANCISCO</t>
  </si>
  <si>
    <t>M180981</t>
  </si>
  <si>
    <t>JF.ZUNIGA@BBVA.COM</t>
  </si>
  <si>
    <t>TAMEZ LEAL EDUARDO</t>
  </si>
  <si>
    <t>M526333</t>
  </si>
  <si>
    <t>E.TAMEZL@BBVA.COM</t>
  </si>
  <si>
    <t>CORDERO TREJO JONATAN DE JESUS</t>
  </si>
  <si>
    <t>MB45472</t>
  </si>
  <si>
    <t>JONATANDEJESUS.CORDERO@BBVA.COM</t>
  </si>
  <si>
    <t>HERNANDEZ OLIVO JULIO CESAR</t>
  </si>
  <si>
    <t>MB00110</t>
  </si>
  <si>
    <t>JULIO.HERNANDEZ@BBVA.COM</t>
  </si>
  <si>
    <t>GOMEZ PEREZ JOSE ARMANDO</t>
  </si>
  <si>
    <t>M221032</t>
  </si>
  <si>
    <t>JOSEARMANDO.GOMEZ.2@BBVA.COM</t>
  </si>
  <si>
    <t>CANTU RODRIGUEZ HECTOR GUADALUPE</t>
  </si>
  <si>
    <t>M817318</t>
  </si>
  <si>
    <t>HECTOR.CANTU2@BBVA.COM</t>
  </si>
  <si>
    <t>MARTINEZ FIGUEROA ALEJANDRO</t>
  </si>
  <si>
    <t>MB75686</t>
  </si>
  <si>
    <t>ALEJANDRO.MARTINEZ6@BBVA.COM</t>
  </si>
  <si>
    <t>DE LA ROSA BRAVO LUZ VERONICA</t>
  </si>
  <si>
    <t>MB75701</t>
  </si>
  <si>
    <t>LUZVERONICA.DELAROSA@BBVA.COM</t>
  </si>
  <si>
    <t>CHAVEZ GOMEZ MARTHA LUCIA</t>
  </si>
  <si>
    <t>MB77725</t>
  </si>
  <si>
    <t>MARTHALUCIA.CHAVEZ@BBVA.COM</t>
  </si>
  <si>
    <t>BARRIOS PAMANES ABRAHAM</t>
  </si>
  <si>
    <t>MB73431</t>
  </si>
  <si>
    <t>ABRAHAM.BARRIOS.PAMANES@BBVA.COM</t>
  </si>
  <si>
    <t>CASTILLO ZAMARRON EDMUNDO TEODORO</t>
  </si>
  <si>
    <t>MB73962</t>
  </si>
  <si>
    <t>EDMUNDOTEODORO.CASTILLO.ZAMAR@BBVA.COM</t>
  </si>
  <si>
    <t>SANCHEZ MENDOZA EDGAR</t>
  </si>
  <si>
    <t>M524702</t>
  </si>
  <si>
    <t>EDGAR.SANCHEZ.2@BBVA.COM</t>
  </si>
  <si>
    <t>QUINTERO SIFUENTES OSCAR OSIEL</t>
  </si>
  <si>
    <t>MB71418</t>
  </si>
  <si>
    <t>oscarosiel.quintero@bbva.com</t>
  </si>
  <si>
    <t>MARTINEZ ALCANTAR JORGE ARMANDO</t>
  </si>
  <si>
    <t>MB73598</t>
  </si>
  <si>
    <t>JORGEARMANDO.MARTINEZ.ALCANTA@BBVA.COM</t>
  </si>
  <si>
    <t>PARDO ZAMARRON ARACELY</t>
  </si>
  <si>
    <t>MB02256</t>
  </si>
  <si>
    <t>ARACELY.PARDO@BBVA.COM</t>
  </si>
  <si>
    <t>GALLEGOS DE LEON ANGEL</t>
  </si>
  <si>
    <t>MB73958</t>
  </si>
  <si>
    <t>ANGEL.GALLEGOS@BBVA.COM</t>
  </si>
  <si>
    <t>ELIZONDO OROZCO HECTOR ELEAZAR</t>
  </si>
  <si>
    <t>MA28898</t>
  </si>
  <si>
    <t>HECTORELEAZAR.ELIZONDO.OROZCO@BBVA.COM</t>
  </si>
  <si>
    <t>BALLESTEROS CASTANEDA ROGELIO</t>
  </si>
  <si>
    <t>MB74162</t>
  </si>
  <si>
    <t>ROGELIO.BALLESTEROS.CASTANEDA@BBVA.COM</t>
  </si>
  <si>
    <t>GALLEGOS SALAS ALMA ROSA</t>
  </si>
  <si>
    <t>M100757</t>
  </si>
  <si>
    <t>ALMA.GALLEGOS@BBVA.COM</t>
  </si>
  <si>
    <t>RAMIREZ GAMEZ JOSE JUAN</t>
  </si>
  <si>
    <t>M811851</t>
  </si>
  <si>
    <t>JOSEJUAN.RAMIREZ@BBVA.COM</t>
  </si>
  <si>
    <t>ALVAREZ HERNANDEZ JUAN MANUEL</t>
  </si>
  <si>
    <t>MA00637</t>
  </si>
  <si>
    <t>JUANMANUEL.ALVAREZ@BBVA.COM</t>
  </si>
  <si>
    <t>BERNAL CASTRO JESUS MANUEL</t>
  </si>
  <si>
    <t>MB84761</t>
  </si>
  <si>
    <t>JESUSMANUEL.BERNAL.CASTRO@BBVA.COM</t>
  </si>
  <si>
    <t>VAZQUEZ GONZALEZ ROMAN</t>
  </si>
  <si>
    <t>M813778</t>
  </si>
  <si>
    <t>ROMAN.VAZQUEZ@BBVA.COM</t>
  </si>
  <si>
    <t>GUTIERREZ MARTINEZ ROSA MARIA</t>
  </si>
  <si>
    <t>MB29522</t>
  </si>
  <si>
    <t>ROSAMARIA.GUTIERREZ@BBVA.COM</t>
  </si>
  <si>
    <t>NAVARRETE CLEMENTE ADOLFO</t>
  </si>
  <si>
    <t>MB70849</t>
  </si>
  <si>
    <t>ADOLFO.NAVARRETE.CLEMENTE@BBVA.COM</t>
  </si>
  <si>
    <t>CISNEROS CORRAL ERNESTO ALONSO</t>
  </si>
  <si>
    <t>MB80606</t>
  </si>
  <si>
    <t>ERNESTOALONSO.CISNEROS@BBVA.COM</t>
  </si>
  <si>
    <t>PINEDO MARTINEZ EDGAR LUIS</t>
  </si>
  <si>
    <t>MB07123</t>
  </si>
  <si>
    <t>edgar.pinedo@bbva.com</t>
  </si>
  <si>
    <t>HERRERA PEREZ JUAN CARLOS</t>
  </si>
  <si>
    <t>MB73031</t>
  </si>
  <si>
    <t>juancarlos.herrera2@bbva.com</t>
  </si>
  <si>
    <t>BORUNDA RUIZ SALVADOR</t>
  </si>
  <si>
    <t>M431265</t>
  </si>
  <si>
    <t>SALVADOR.BORUNDA@BBVA.COM</t>
  </si>
  <si>
    <t>ARAMBULA VALENZUELA MAURO MARTIN</t>
  </si>
  <si>
    <t>M430580</t>
  </si>
  <si>
    <t>MM.ARAMBULA@BBVA.COM</t>
  </si>
  <si>
    <t>DUENAS DIAZ GUILLERMO</t>
  </si>
  <si>
    <t>MA31463</t>
  </si>
  <si>
    <t>GUILLERMO.DUENAS.DIAZ@BBVA.COM</t>
  </si>
  <si>
    <t>CORRAL AMADOR JORGE ANTONIO</t>
  </si>
  <si>
    <t>MB70938</t>
  </si>
  <si>
    <t>JORGEANTONIO.CORRAL.AMADOR@BBVA.COM</t>
  </si>
  <si>
    <t>CRUZ CERVANTES SAUL DAVID</t>
  </si>
  <si>
    <t>MB59794</t>
  </si>
  <si>
    <t>SAULDAVID.CRUZ.CERVANTES@BBVA.COM</t>
  </si>
  <si>
    <t>REYES BACA ANTONIO</t>
  </si>
  <si>
    <t>M7682</t>
  </si>
  <si>
    <t>ANTONIO.REYES@BBVA.COM</t>
  </si>
  <si>
    <t>MORALES PEREZ PABLO ENRIQUE</t>
  </si>
  <si>
    <t>M276782</t>
  </si>
  <si>
    <t>PABLO.MORALES@BBVA.COM</t>
  </si>
  <si>
    <t>GUTIERREZ DEHESA MAGDALENA</t>
  </si>
  <si>
    <t>M283967</t>
  </si>
  <si>
    <t>RONDERO MARQUEZ NOE</t>
  </si>
  <si>
    <t>MH02130</t>
  </si>
  <si>
    <t>N.RONDERO@BBVA.COM</t>
  </si>
  <si>
    <t>GUERRERO ROMERO ANA LILIA</t>
  </si>
  <si>
    <t>MA10197</t>
  </si>
  <si>
    <t>A.GUERREROR@BBVA.COM</t>
  </si>
  <si>
    <t>DE LA CRUZ LOPEZ MARIA DE LOS ANGELES</t>
  </si>
  <si>
    <t>MB71064</t>
  </si>
  <si>
    <t>mariadelosangeles.delacruz.lo@bbva.com</t>
  </si>
  <si>
    <t>ACEVEDO ALCALDE JAIRO</t>
  </si>
  <si>
    <t>MB71188</t>
  </si>
  <si>
    <t>jairo.acevedo@bbva.com</t>
  </si>
  <si>
    <t>ROQUE TREJO DANIEL</t>
  </si>
  <si>
    <t>MB73860</t>
  </si>
  <si>
    <t>DANIEL.ROQUE@BBVA.COM</t>
  </si>
  <si>
    <t>LOPEZ MIRANDA KARLA IVETTE</t>
  </si>
  <si>
    <t>MB57992</t>
  </si>
  <si>
    <t>karlaivette.lopez@bbva.com</t>
  </si>
  <si>
    <t>OLAVE CARRILLO ADRIANA</t>
  </si>
  <si>
    <t>M909351</t>
  </si>
  <si>
    <t>ADRIANA.OLAVE@BBVA.COM</t>
  </si>
  <si>
    <t>RODRIGUEZ VARGAS MIGUEL ANGEL</t>
  </si>
  <si>
    <t>mb74654</t>
  </si>
  <si>
    <t>miguelangel.rodriguez.vargas@bbva.com</t>
  </si>
  <si>
    <t>ROJAS RODRIGUEZ MIGUEL ANGEL</t>
  </si>
  <si>
    <t>MB73307</t>
  </si>
  <si>
    <t>MIGUELANGEL.ROJAS@BBVA.COM</t>
  </si>
  <si>
    <t>GARCIA MARTINEZ DULCE MARIA</t>
  </si>
  <si>
    <t>MA09665</t>
  </si>
  <si>
    <t>D.GARCIAM@BBVA.COM</t>
  </si>
  <si>
    <t>VILLEGAS TELLO ROBERTO</t>
  </si>
  <si>
    <t>MB72755</t>
  </si>
  <si>
    <t>roberto.villegas.tello@bbva.com</t>
  </si>
  <si>
    <t>AMAYA HUERTA AMALIA</t>
  </si>
  <si>
    <t>M4264</t>
  </si>
  <si>
    <t>AMALIA.AMAYA@BBVA.COM</t>
  </si>
  <si>
    <t>CHIM CASTANEDA JAVIER JESUS</t>
  </si>
  <si>
    <t>M902393</t>
  </si>
  <si>
    <t>JAVIER.CHIM@BBVA.COM</t>
  </si>
  <si>
    <t>MARTINEZ DELGADO LUIS ALBERTO</t>
  </si>
  <si>
    <t>M700191</t>
  </si>
  <si>
    <t>LUIS.MARTINEZ.9@BBVA.COM</t>
  </si>
  <si>
    <t>CANO YAH JOSE ROBERTO</t>
  </si>
  <si>
    <t>MB10625</t>
  </si>
  <si>
    <t>JOSEROBERTO.CANO@BBVA.COM</t>
  </si>
  <si>
    <t>CANDELARIO GALLOSO HECTOR DANIEL</t>
  </si>
  <si>
    <t>MB72982</t>
  </si>
  <si>
    <t>hectordaniel.candelario@bbva.com</t>
  </si>
  <si>
    <t>GONZALEZ CASTRO EDGAR OMAR</t>
  </si>
  <si>
    <t>MB83989</t>
  </si>
  <si>
    <t>EDGAROMAR.GONZALEZ.CASTRO@BBVA.COM</t>
  </si>
  <si>
    <t>DEL CASTILLO RACHED JORGE MAURICIO</t>
  </si>
  <si>
    <t>MB53329</t>
  </si>
  <si>
    <t>VILLANUEVA CETINA MARCOS GERARDO</t>
  </si>
  <si>
    <t>MA03483</t>
  </si>
  <si>
    <t>MARCOS.VILLANUEVA@BBVA.COM</t>
  </si>
  <si>
    <t>LUNA MARTINEZ ALAN ISAI</t>
  </si>
  <si>
    <t>MB84396</t>
  </si>
  <si>
    <t>ALANISAI.LUNA@BBVA.COM</t>
  </si>
  <si>
    <t>GALLEGOS ZAMARRIPA MIGUEL JESUS</t>
  </si>
  <si>
    <t>M826421</t>
  </si>
  <si>
    <t>MIGUEL.GALLEGOS.2@BBVA.COM</t>
  </si>
  <si>
    <t>JIMENEZ MORENO PEDRO ALBERTO</t>
  </si>
  <si>
    <t>MB70709</t>
  </si>
  <si>
    <t>PEDROALBERTO.JIMENEZ.MORENO@BBVA.COM</t>
  </si>
  <si>
    <t>VALLADARES VARGAS JESUS ARMANDO</t>
  </si>
  <si>
    <t>MB59913</t>
  </si>
  <si>
    <t>JESUSARMANDO.VALLADARES@BBVA.COM</t>
  </si>
  <si>
    <t>CASTILLO GARCIA JOSE DANIEL</t>
  </si>
  <si>
    <t>MB70798</t>
  </si>
  <si>
    <t>JOSEDANIEL.CASTILLO@BBVA.COM</t>
  </si>
  <si>
    <t>QUE CAPDEPON GONZALO</t>
  </si>
  <si>
    <t>MB70807</t>
  </si>
  <si>
    <t>GONZALO.QUE.CAPDEPON@BBVA.COM</t>
  </si>
  <si>
    <t>GONZALEZ MURILLO MARIANA</t>
  </si>
  <si>
    <t>MH02557</t>
  </si>
  <si>
    <t>M.GONZALEZM@BBVA.COM</t>
  </si>
  <si>
    <t>TAPIA GARCIA JUAN SEBASTIAN</t>
  </si>
  <si>
    <t>MB26201</t>
  </si>
  <si>
    <t>JUANSEBASTIA.TAPIA@BBVA.COM</t>
  </si>
  <si>
    <t>PEREZ GALLARDO MARCO ANTONIO</t>
  </si>
  <si>
    <t>MB40291</t>
  </si>
  <si>
    <t>MARCOANTONIO.PEREZ.GALLARDO@BBVA.COM</t>
  </si>
  <si>
    <t>SANCHEZ RANGEL JUAN ALFREDO</t>
  </si>
  <si>
    <t>MB58206</t>
  </si>
  <si>
    <t>JUANALFREDO.SANCHEZ@BBVA.COM</t>
  </si>
  <si>
    <t>ARANDA HERNANDEZ CHRISTIAN</t>
  </si>
  <si>
    <t>CHRISTIAN.ARANDA@BBVA.COM</t>
  </si>
  <si>
    <t>OLVERA HERNANDEZ JONATHAN ROSALIO</t>
  </si>
  <si>
    <t>MB19547</t>
  </si>
  <si>
    <t>JONATHANROSA.OLVERA@BBVA.COM</t>
  </si>
  <si>
    <t>ALVAREZ SORIANO MIGUEL ANGEL</t>
  </si>
  <si>
    <t>MB12908</t>
  </si>
  <si>
    <t>MIGUELANGEL.ALVAREZ@BBVA.COM</t>
  </si>
  <si>
    <t>YEPEZ BANUELOS JAIME</t>
  </si>
  <si>
    <t>MB15225</t>
  </si>
  <si>
    <t>JAIME.YEPEZ@BBVA.COM</t>
  </si>
  <si>
    <t>ZEPEDA ARELLANO PERLA KARINA</t>
  </si>
  <si>
    <t>MB60262</t>
  </si>
  <si>
    <t>PERLAKARINA.ZEPEDA@BBVA.COM</t>
  </si>
  <si>
    <t>PEREZ MIGUEL EDGAR IVAN</t>
  </si>
  <si>
    <t>EDGAR.PEREZ@BBVA.COM</t>
  </si>
  <si>
    <t>DELGADO ANGELES TANIA FERNANDA</t>
  </si>
  <si>
    <t>M910710</t>
  </si>
  <si>
    <t>TANIA.DELGADO@BBVA.COM</t>
  </si>
  <si>
    <t>FLORES GARCIA MIGUEL ANGEL</t>
  </si>
  <si>
    <t>MB56667</t>
  </si>
  <si>
    <t>MIGUELANGEL.FLORES.GARCIA@BBVA.COM</t>
  </si>
  <si>
    <t>GOMEZ VAZQUEZ ERICK</t>
  </si>
  <si>
    <t>M905381</t>
  </si>
  <si>
    <t>ERICK.GOMEZ@BBVA.COM</t>
  </si>
  <si>
    <t>GOIZMAN AREVALO INGRID</t>
  </si>
  <si>
    <t>MB70031</t>
  </si>
  <si>
    <t>INGRID.GOIZMAN@BBVA.COM</t>
  </si>
  <si>
    <t>CASTRO SANCHEZ EDGAR YOLOTL</t>
  </si>
  <si>
    <t>M907123</t>
  </si>
  <si>
    <t>EDGAR.CASTRO@BBVA.COM</t>
  </si>
  <si>
    <t>BORGES NATAREN PATRICIA</t>
  </si>
  <si>
    <t>M8675</t>
  </si>
  <si>
    <t>PATRICIA.BORGES@BBVA.COM</t>
  </si>
  <si>
    <t>VENTURA URIBE MARIA CRISTINA</t>
  </si>
  <si>
    <t>M842583</t>
  </si>
  <si>
    <t>M.VENTURAU@BBVA.COM</t>
  </si>
  <si>
    <t>NAVARRO GARCIA GERARDO EZEQUIEL</t>
  </si>
  <si>
    <t>GERARDO.NAVARRO@BBVA.COM</t>
  </si>
  <si>
    <t>CORTES SOTO GLADYS ISABEL</t>
  </si>
  <si>
    <t>M55784</t>
  </si>
  <si>
    <t>GLADYS.CORTES@BBVA.COM</t>
  </si>
  <si>
    <t>GONZALEZ MUNOZ ERIKA</t>
  </si>
  <si>
    <t>MB76451</t>
  </si>
  <si>
    <t>ERIKA.GONZALEZ.MUNOZ@BBVA.COM</t>
  </si>
  <si>
    <t>VICHIQUI VALLEJO VICTORIA</t>
  </si>
  <si>
    <t>MB76319</t>
  </si>
  <si>
    <t>VICTORIA.VICHIQUI@BBVA.COM</t>
  </si>
  <si>
    <t>HUERTA DURAN NESTOR JOVANY</t>
  </si>
  <si>
    <t>MB76339</t>
  </si>
  <si>
    <t>NESTORJOVANY.HUERTA@BBVA.COM</t>
  </si>
  <si>
    <t>RIOS BALDERAS JANET</t>
  </si>
  <si>
    <t>MB78264</t>
  </si>
  <si>
    <t>JANET.RIOS@BBVA.COM</t>
  </si>
  <si>
    <t>OLIVERA RIOS SERGIO</t>
  </si>
  <si>
    <t>MB84530</t>
  </si>
  <si>
    <t>SERGIO.OLIVERA@BBVA.COM</t>
  </si>
  <si>
    <t>CURIEL MUNOZ ANAYELI</t>
  </si>
  <si>
    <t>MB84525</t>
  </si>
  <si>
    <t>ANAYELI.CURIEL@BBVA.COM</t>
  </si>
  <si>
    <t>VELAZQUEZ VALENCIA GUADALUPE</t>
  </si>
  <si>
    <t>MB80254</t>
  </si>
  <si>
    <t>GUDALAUPE.VELAZQUEZ.VALENCIA@BBVA.COM</t>
  </si>
  <si>
    <t>GARCIA VARGAS KARINA</t>
  </si>
  <si>
    <t>MB76457</t>
  </si>
  <si>
    <t>KARINA.GARCIA.VARGAS@BBVA.COM</t>
  </si>
  <si>
    <t>GARCIA GARCIA JOSE EDUARDO</t>
  </si>
  <si>
    <t>MB80258</t>
  </si>
  <si>
    <t>JOSEEDUARGO.GARCIA.GARCIA@BBVA.COM</t>
  </si>
  <si>
    <t>CASTELAN FLORES JUAN CARLOS</t>
  </si>
  <si>
    <t>MB82101</t>
  </si>
  <si>
    <t>JUANCARLOS.CASTELAN@BBVA.COM</t>
  </si>
  <si>
    <t>ENCISO BANUELOS NORA PAULINA</t>
  </si>
  <si>
    <t>MB76909</t>
  </si>
  <si>
    <t>NORAPAULINA.ENCISO@BBVA.COM</t>
  </si>
  <si>
    <t>VILLASECA MARTINEZ KARLA XIMENA</t>
  </si>
  <si>
    <t>MB82028</t>
  </si>
  <si>
    <t>KARLAXIMENA.VILLASECA@BBVA.COM</t>
  </si>
  <si>
    <t>GONZALEZ MIJANGOS ISHKRA WALLEZKA</t>
  </si>
  <si>
    <t>MB80269</t>
  </si>
  <si>
    <t>ISHKRAWALLEZKA.GONZALEZ@BBVA.COM</t>
  </si>
  <si>
    <t>ROMAN CASTRO DENISSE ADRIANA</t>
  </si>
  <si>
    <t>MB76904</t>
  </si>
  <si>
    <t>DENISSEADRIANA.ROMAN@BBVA.COM</t>
  </si>
  <si>
    <t>RODRIGUEZ ORIBIO MONICA</t>
  </si>
  <si>
    <t>MB76940</t>
  </si>
  <si>
    <t>MONICA.RODRIGUEZ.ORIBIO@BBVA.COM</t>
  </si>
  <si>
    <t>ROCHA HUERTA LIDIA GABRIELA</t>
  </si>
  <si>
    <t>MB77850</t>
  </si>
  <si>
    <t>LIDIAGABRIELA.ROCHA@BBVA.COM</t>
  </si>
  <si>
    <t>LOPEZ MORENO ILSE PAMELA</t>
  </si>
  <si>
    <t>MB83270</t>
  </si>
  <si>
    <t>ILSEPAMELA.LOPEZ@BBVA.COM</t>
  </si>
  <si>
    <t>MARQUEZ ANAYA GABRIEL</t>
  </si>
  <si>
    <t>MB53580</t>
  </si>
  <si>
    <t>GABRIEL.MARQUEZ.ANAYA@BBVA.COM</t>
  </si>
  <si>
    <t>MUNOZ GOMEZ JOSE ANTONIO</t>
  </si>
  <si>
    <t>MB53057</t>
  </si>
  <si>
    <t>JOSEANTONIO.MUNOZ.GOMEZ@BBVA.COM</t>
  </si>
  <si>
    <t>GUTIERREZ TREJO CAROLINA</t>
  </si>
  <si>
    <t>MB20138</t>
  </si>
  <si>
    <t>CAROLINA.GUTIERREZ.1@BBVA.COM</t>
  </si>
  <si>
    <t>GRIMALDI DURAN ROBERTO</t>
  </si>
  <si>
    <t>MB07568</t>
  </si>
  <si>
    <t>ROBERTO.GRIMALDI@BBVA.COM</t>
  </si>
  <si>
    <t>REYES ARRIAGA CLAUDIA LIZBETH</t>
  </si>
  <si>
    <t>MB80255</t>
  </si>
  <si>
    <t>CLAUDIALIZBETH.REYES@BBVA.COM</t>
  </si>
  <si>
    <t>VARGAS CORDERO DAVID</t>
  </si>
  <si>
    <t>MB78623</t>
  </si>
  <si>
    <t>DAVID.VARGAS.CORDERO@BBVA.COM</t>
  </si>
  <si>
    <t>RODRIGUEZ ARCE ADRIANA</t>
  </si>
  <si>
    <t>MB48732</t>
  </si>
  <si>
    <t>ADRIANA.RODRIGUEZ.ARCE@BBVA.COM</t>
  </si>
  <si>
    <t>CASTRO CASTELLANOS ADRIANA ITZEL</t>
  </si>
  <si>
    <t>MB76460</t>
  </si>
  <si>
    <t>ADRIANAITZEL.CASTRO@BBVA.COM</t>
  </si>
  <si>
    <t>MUNGUIA ESPINOSA CARLOS</t>
  </si>
  <si>
    <t>M102878</t>
  </si>
  <si>
    <t>CARLOS.MUNGUIA@BBVA.COM</t>
  </si>
  <si>
    <t>REYES FALCON EVA GUILLERMINA</t>
  </si>
  <si>
    <t>M822568</t>
  </si>
  <si>
    <t>M822568@BBVA.COM</t>
  </si>
  <si>
    <t>SANCHEZ ALVARADO IVONNE</t>
  </si>
  <si>
    <t>M910906</t>
  </si>
  <si>
    <t>I.SANCHEZA@BBVA.COM</t>
  </si>
  <si>
    <t>ESTRADA CARBAJAL JESUS ALAN</t>
  </si>
  <si>
    <t>MB73348</t>
  </si>
  <si>
    <t>JESUSALAN.ESTRADA@BBVA.COM</t>
  </si>
  <si>
    <t>HERNANDEZ LOPEZ FRANCISCO JAVIER</t>
  </si>
  <si>
    <t>M819929</t>
  </si>
  <si>
    <t>FRANCISCO.HERNANDEZ.8@BBVA.COM</t>
  </si>
  <si>
    <t>JUAREZ HERNANDEZ JOSE LUIS</t>
  </si>
  <si>
    <t>M7058</t>
  </si>
  <si>
    <t>JOSELUIS.JUAREZ.1@BBVA.COM</t>
  </si>
  <si>
    <t>MONTELLANO VEGA MARIA MAGDALENA</t>
  </si>
  <si>
    <t>MB76341</t>
  </si>
  <si>
    <t>MARIAMAGADALENA.MONTELLANO@BBVA.COM</t>
  </si>
  <si>
    <t>FERNANDEZ VALERIO ARMANDO</t>
  </si>
  <si>
    <t>MB73361</t>
  </si>
  <si>
    <t>ARMANDO.FERNANDEZ.VALERIO@BBVA.COM</t>
  </si>
  <si>
    <t>HERRERA OLAY ISAI</t>
  </si>
  <si>
    <t>MB63367</t>
  </si>
  <si>
    <t>ISAI.HERRERA@BBVA.COM</t>
  </si>
  <si>
    <t>NAVARRETE BUENDIA MAYRA LUCERO</t>
  </si>
  <si>
    <t>MB06761</t>
  </si>
  <si>
    <t>MAYRA.NAVARRETE@BBVA.COM</t>
  </si>
  <si>
    <t>HERRERA GUZMAN ALEJANDRA</t>
  </si>
  <si>
    <t>MB76316</t>
  </si>
  <si>
    <t>ALEJANDRA.HERRERA.GUZMAN@BBVA.COM</t>
  </si>
  <si>
    <t>CAVAZOS GONZALEZ ALEJANDRO</t>
  </si>
  <si>
    <t>M914089</t>
  </si>
  <si>
    <t>ALEJANDRO.CAVAZOS@BBVA.COM</t>
  </si>
  <si>
    <t>HERNANDEZ FUENTES GUADALUPE ESMERALDA</t>
  </si>
  <si>
    <t>MB77682</t>
  </si>
  <si>
    <t>GUADALUPEESMERALDA.HERNANDEZ@BBVA.COM</t>
  </si>
  <si>
    <t>LEAL LUGO EDGAR</t>
  </si>
  <si>
    <t>MB77635</t>
  </si>
  <si>
    <t>EDGAR.LEAL@BBVA.COM</t>
  </si>
  <si>
    <t>VAZQUEZ GUTIERREZ PEDRO IVAN</t>
  </si>
  <si>
    <t>MB77846</t>
  </si>
  <si>
    <t>PEDROIVAN.VAZQUEZ@BBVA.COM</t>
  </si>
  <si>
    <t>ESCOBAR MONDRAGON ROSALBA</t>
  </si>
  <si>
    <t>R.ESCOBAR@BBVA.COM</t>
  </si>
  <si>
    <t>ESTRADA REYES ENRIQUE ALBERTO</t>
  </si>
  <si>
    <t>M57820</t>
  </si>
  <si>
    <t>ENRIQUE.ESTRADA@BBVA.COM</t>
  </si>
  <si>
    <t>TOVAR VALENCIA HECTOR</t>
  </si>
  <si>
    <t>M48867</t>
  </si>
  <si>
    <t>HECTOR.TOVAR@BBVA.COM</t>
  </si>
  <si>
    <t>ANDRES VAZQUEZ MARIA BEATRIZ</t>
  </si>
  <si>
    <t>MB67448</t>
  </si>
  <si>
    <t>MARIABEATRIZ.ANDRES.VAZQUEZ@BBVA.COM</t>
  </si>
  <si>
    <t>ALVAREZ PALOMARES LIZETH</t>
  </si>
  <si>
    <t>MB84257</t>
  </si>
  <si>
    <t>LIZETH.ALVAREZ.PALOMARES@BBVA.COM</t>
  </si>
  <si>
    <t>CANDI FABELA JUAN ARMANDO</t>
  </si>
  <si>
    <t>MB53286</t>
  </si>
  <si>
    <t>JUANARMANDO.CANDI.FABELA@BBVA.COM</t>
  </si>
  <si>
    <t>CANCINO MOSQUEDA BETSABEE AMEYALTZIN</t>
  </si>
  <si>
    <t>M910928</t>
  </si>
  <si>
    <t>BETSABEE.CANCINO@BBVA.COM</t>
  </si>
  <si>
    <t>PATLAN VAZQUEZ JARIT ARMANDO</t>
  </si>
  <si>
    <t>MA12725</t>
  </si>
  <si>
    <t>JARIT.PATLAN@BBVA.COM</t>
  </si>
  <si>
    <t>MORENO RODRIGUEZ JOSE CARLOS</t>
  </si>
  <si>
    <t>MH02076</t>
  </si>
  <si>
    <t>JOSECARLOS.MORENOR@BBVA.COM</t>
  </si>
  <si>
    <t>FLORES MORAN VICTOR MANUEL</t>
  </si>
  <si>
    <t>M902791</t>
  </si>
  <si>
    <t>VICTOR.FLORES@BBVA.COM</t>
  </si>
  <si>
    <t>RIVERA JUAREZ LUIS ANGEL</t>
  </si>
  <si>
    <t>MB10708</t>
  </si>
  <si>
    <t>LUISANGEL.RIVERA@BBVA.COM</t>
  </si>
  <si>
    <t>MARTINEZ MONTOYA CECILIA</t>
  </si>
  <si>
    <t>MB61223</t>
  </si>
  <si>
    <t>CECILIA.MARTINEZ3@BBVA.COM</t>
  </si>
  <si>
    <t>RAMOS GOMEZ GABRIELA</t>
  </si>
  <si>
    <t>MB31315</t>
  </si>
  <si>
    <t>GABRIELA.RAMOS.GOMEZ@BBVA.COM</t>
  </si>
  <si>
    <t>JIMENEZ ARTEAGA KARLA MARIA</t>
  </si>
  <si>
    <t>M76886</t>
  </si>
  <si>
    <t>KARLA.JIMENEZ.1@BBVA.COM</t>
  </si>
  <si>
    <t>LOZANO LAMAS VICTOR ALFONSO</t>
  </si>
  <si>
    <t>VICTOR.LOZANO@BBVA.COM</t>
  </si>
  <si>
    <t>RAMIREZ RODRIGUEZ MARCELA EUGENIA</t>
  </si>
  <si>
    <t>M38735</t>
  </si>
  <si>
    <t>MARCELA.RAMIREZ.1@BBVA.COM</t>
  </si>
  <si>
    <t>LOPEZ DEFACIO OSCAR OSVALDO</t>
  </si>
  <si>
    <t>O.LOPEZ@BBVA.COM</t>
  </si>
  <si>
    <t>HAM LOPEZ GISELA</t>
  </si>
  <si>
    <t>M901829</t>
  </si>
  <si>
    <t>GISELA.HAM@BBVA.COM</t>
  </si>
  <si>
    <t>ARCE ZAPATA RODRIGO DAVID</t>
  </si>
  <si>
    <t>RODRIGODAVID.ARCE.ZAPATA@BBVA.COM</t>
  </si>
  <si>
    <t>CABRERA ALVAREZ LEOPOLDO</t>
  </si>
  <si>
    <t>M53614</t>
  </si>
  <si>
    <t>L.CABRERA@BBVA.COM</t>
  </si>
  <si>
    <t>ANTELIZ GELVES CARMEN ISBELIA</t>
  </si>
  <si>
    <t>C024805</t>
  </si>
  <si>
    <t>CARMEN.ANTELIZ@BBVA.COM</t>
  </si>
  <si>
    <t>REBOLLAR HERNANDEZ HUMBERTO</t>
  </si>
  <si>
    <t>M46180</t>
  </si>
  <si>
    <t>HUMBERTO.REBOLLAR@BBVA.COM</t>
  </si>
  <si>
    <t>ONTIVEROS VILLARREAL GABRIELA</t>
  </si>
  <si>
    <t>M47631</t>
  </si>
  <si>
    <t>G.ONTIVEROS1@BBVA.COM</t>
  </si>
  <si>
    <t>NUNEZ ARROYO JOSE LUIS</t>
  </si>
  <si>
    <t>M53995</t>
  </si>
  <si>
    <t>JL.NUNEZ@BBVA.COM</t>
  </si>
  <si>
    <t>GONZALEZ MARTINEZ ROBERTO CARLOS</t>
  </si>
  <si>
    <t>MH01922</t>
  </si>
  <si>
    <t>ROBERTO.GONZALEZ.3@BBVA.COM</t>
  </si>
  <si>
    <t>NARVAEZ VARELA FERNANDO</t>
  </si>
  <si>
    <t>MB24277</t>
  </si>
  <si>
    <t>FERNANDO.NARVAEZ@BBVA.COM</t>
  </si>
  <si>
    <t>M58961</t>
  </si>
  <si>
    <t>MOISES.SALMERON@BBVA.COM</t>
  </si>
  <si>
    <t>MATIAS AGUILAR DAVID EDUARDO</t>
  </si>
  <si>
    <t>mb74800</t>
  </si>
  <si>
    <t>davideduardo.matias.aguilar@bbva.com</t>
  </si>
  <si>
    <t>ROSALES MEDELLIN ZULLY</t>
  </si>
  <si>
    <t>M839549</t>
  </si>
  <si>
    <t>Z.ROSALES@BBVA.COM</t>
  </si>
  <si>
    <t>PAREDES GUERRERO CLAUDIA PATRICIA</t>
  </si>
  <si>
    <t>MB26648</t>
  </si>
  <si>
    <t>CLAUDIA.PAREDES@BBVA.COM</t>
  </si>
  <si>
    <t>REYES VILLARREAL GILBERTO ADOLFO</t>
  </si>
  <si>
    <t>M62193</t>
  </si>
  <si>
    <t>G.REYES8@BBVA.COM</t>
  </si>
  <si>
    <t>ALANIS ORTIZ NORMA VERONICA</t>
  </si>
  <si>
    <t>M31918</t>
  </si>
  <si>
    <t>NORMA.ALANIS@BBVA.COM</t>
  </si>
  <si>
    <t>YUNES ANCONA ISAAC ELIAS</t>
  </si>
  <si>
    <t>MB81252</t>
  </si>
  <si>
    <t>ISAACELIAS.YUNES@BBVA.COM</t>
  </si>
  <si>
    <t>GAONA CRUZ GABRIELA</t>
  </si>
  <si>
    <t>GABRIELA.GAONA@BBVA.COM</t>
  </si>
  <si>
    <t>GALICIA VAZQUEZ ADRIANA</t>
  </si>
  <si>
    <t>M841870</t>
  </si>
  <si>
    <t>ADRIANA.GALICIA@BBVA.COM</t>
  </si>
  <si>
    <t>SOLORIO CRISOSTOMO MILTON</t>
  </si>
  <si>
    <t>M906656</t>
  </si>
  <si>
    <t>MILTON.SOLORIO@BBVA.COM</t>
  </si>
  <si>
    <t>SANTIAGO RIVERA ANGEL</t>
  </si>
  <si>
    <t>MB59589</t>
  </si>
  <si>
    <t>ANGEL.SANTIAGO.RIVERA@BBVA.COM</t>
  </si>
  <si>
    <t>LOPEZ SERNAS ESTEFANIA</t>
  </si>
  <si>
    <t>MB70391</t>
  </si>
  <si>
    <t>ESTEFANIA.LOPEZ.SERNAS@BBVA.COM</t>
  </si>
  <si>
    <t>GONZALEZ ESPINOSA DAAN TONATIUH</t>
  </si>
  <si>
    <t>MB77576</t>
  </si>
  <si>
    <t>DAANTONATIUH.GONZALEZ@BBVA.COM</t>
  </si>
  <si>
    <t>FRANCISCO MARTINEZ HENRY</t>
  </si>
  <si>
    <t>MB76058</t>
  </si>
  <si>
    <t>HENRY.FRANCISCO.MARTINEZ@BBVA.COM</t>
  </si>
  <si>
    <t>ACOSTA TIRADO EDGAR</t>
  </si>
  <si>
    <t>M52651</t>
  </si>
  <si>
    <t>EDGAR.ACOSTA@BBVA.COM</t>
  </si>
  <si>
    <t>ORTIZ PENA LAURA ELENA</t>
  </si>
  <si>
    <t>M5548</t>
  </si>
  <si>
    <t>L.ORTIZP@BBVA.COM</t>
  </si>
  <si>
    <t>TORRES LOPEZ LILIA</t>
  </si>
  <si>
    <t>M815586</t>
  </si>
  <si>
    <t>LILIA.TORRES@BBVA.COM</t>
  </si>
  <si>
    <t>CARREJO MARIN SOCORRO ALMENDRA</t>
  </si>
  <si>
    <t>MB11570</t>
  </si>
  <si>
    <t>ALMENDRA.CARREJO@BBVA.COM</t>
  </si>
  <si>
    <t>DONCEL SANCHEZ DIANA ALICIA</t>
  </si>
  <si>
    <t>M31121</t>
  </si>
  <si>
    <t>DA.DONCEL@BBVA.COM</t>
  </si>
  <si>
    <t>CATALAN TENORIO LUIS ALBERTO</t>
  </si>
  <si>
    <t>MB56159</t>
  </si>
  <si>
    <t>LUISALBERTO.CATALAN@BBVA.COM</t>
  </si>
  <si>
    <t>MADRIGAL LOPEZ LETICIA</t>
  </si>
  <si>
    <t>M40342</t>
  </si>
  <si>
    <t>L.MADRIGAL@BBVA.COM</t>
  </si>
  <si>
    <t>MENDIETA . MARIO ALEJANDRO</t>
  </si>
  <si>
    <t>MARIO.MENDIETA@BBVA.COM</t>
  </si>
  <si>
    <t>OLGUIN MARTINEZ MARCOS</t>
  </si>
  <si>
    <t>MB67403</t>
  </si>
  <si>
    <t>MARCOS.OLGUIN@BBVA.COM</t>
  </si>
  <si>
    <t>DIAZ LANDA OMAR</t>
  </si>
  <si>
    <t>MB49616</t>
  </si>
  <si>
    <t>OMAR.DIAZ.LANDA@BBVA.COM</t>
  </si>
  <si>
    <t>RODRIGUEZ VILLARREAL JOSE GREGORIO</t>
  </si>
  <si>
    <t>MB68387</t>
  </si>
  <si>
    <t>JOSEGREGORIO.RODRIGUEZ@BBVA.COM</t>
  </si>
  <si>
    <t>SUAREZ RUIZ OSCAR JONATHAN</t>
  </si>
  <si>
    <t>MB23283</t>
  </si>
  <si>
    <t>OSCAR.SUAREZ@BBVA.COM</t>
  </si>
  <si>
    <t>LARRAZOLO DE LA CRUZ RAFAEL</t>
  </si>
  <si>
    <t>MB82891</t>
  </si>
  <si>
    <t>RAFAEL.LARRAZOLO@BBVA.COM</t>
  </si>
  <si>
    <t>YANEZ DELGADO JUAN MANUEL</t>
  </si>
  <si>
    <t>JUAN.YANEZ.2@BBVA.COM</t>
  </si>
  <si>
    <t>SANCHEZ HUERTA JUAN MANUEL</t>
  </si>
  <si>
    <t>MB70495</t>
  </si>
  <si>
    <t>JUANMANUEL.SANCHEZ.HUERTA@BBVA.COM</t>
  </si>
  <si>
    <t>GARCIA AGUILLON HECTOR</t>
  </si>
  <si>
    <t>M906570</t>
  </si>
  <si>
    <t>HECTOR.GARCIA.4@BBVA.COM</t>
  </si>
  <si>
    <t>MARTINEZ CARRASCO MAURICIO</t>
  </si>
  <si>
    <t>MB75727</t>
  </si>
  <si>
    <t>MAURICIO.MARTINEZ.CARRASCO@BBVA.COM</t>
  </si>
  <si>
    <t>MORALES GARCILAZO BRIAN FABIAN</t>
  </si>
  <si>
    <t>MB52995</t>
  </si>
  <si>
    <t>BRIANFABIAN.MORALES@BBVA.COM</t>
  </si>
  <si>
    <t>MUNOZ FERNANDEZ DE CORDOVA ITZEL ZAYIL</t>
  </si>
  <si>
    <t>MB55311</t>
  </si>
  <si>
    <t>ITZELZAYIL.MUNOZ@BBVA.COM</t>
  </si>
  <si>
    <t>QUINTANILLA TERMINEL SEBASTIAN</t>
  </si>
  <si>
    <t>MB84524</t>
  </si>
  <si>
    <t>SEBASTIAN.QUINTANILLA@BBVA.COM</t>
  </si>
  <si>
    <t>MARTINEZ WARNHOLTZ BRUNO</t>
  </si>
  <si>
    <t>mb74806</t>
  </si>
  <si>
    <t>bruno.martinez.warnholtz@bbva.com</t>
  </si>
  <si>
    <t>SOLORZANO DOMINGUEZ IVAN</t>
  </si>
  <si>
    <t>IVAN.SOLORZANO@BBVA.COM</t>
  </si>
  <si>
    <t>ORTIZ OCHOA JULIETA VIANEY</t>
  </si>
  <si>
    <t>MB24966</t>
  </si>
  <si>
    <t>JULIETAVIANE.ORTIZ@BBVA.COM</t>
  </si>
  <si>
    <t>DE LA CRUZ SALOME JOSE CARLOS</t>
  </si>
  <si>
    <t>MB76458</t>
  </si>
  <si>
    <t>JOSECARLOS.DELACRUZ@BBVA.COM</t>
  </si>
  <si>
    <t>GONZALEZ VELEZ AMALIA</t>
  </si>
  <si>
    <t>MB11871</t>
  </si>
  <si>
    <t>AMALIA.GONZALEZ@BBVA.COM</t>
  </si>
  <si>
    <t>MENDEZ BARRERA JOSE ALFREDO</t>
  </si>
  <si>
    <t>MB68972</t>
  </si>
  <si>
    <t>JOSEALFREDO.MENDEZ.BARRERA@BBVA.COM</t>
  </si>
  <si>
    <t>CERVANTES AVILA JUAN JOSE DE JESUS</t>
  </si>
  <si>
    <t>MB48177</t>
  </si>
  <si>
    <t>JUANJOSEDEJESUS.CERVANTES@BBVA.COM</t>
  </si>
  <si>
    <t>TELLEZ GIRON ENRIQUEZ MARIA FERNANDA</t>
  </si>
  <si>
    <t>MB72732</t>
  </si>
  <si>
    <t>mariafernanda.tellezgiron@bbva.com</t>
  </si>
  <si>
    <t>ROCHA GUZMAN SAMUEL</t>
  </si>
  <si>
    <t>MB71310</t>
  </si>
  <si>
    <t>SAMUEL.ROCHA@BBVA.COM</t>
  </si>
  <si>
    <t>ROMANO SANCHEZ ALLAN BRANDON</t>
  </si>
  <si>
    <t>MB76050</t>
  </si>
  <si>
    <t>ALLANBRANDON.ROMANO@BBVA.COM</t>
  </si>
  <si>
    <t>SINILOV NIKOLAY BORISOVITCH</t>
  </si>
  <si>
    <t>NICK.SINILOV@BBVA.COM</t>
  </si>
  <si>
    <t>GONZALEZ MORENO MARIA DE LOURDES</t>
  </si>
  <si>
    <t>M36655</t>
  </si>
  <si>
    <t>MARIA.GONZALEZ.MORENO@BBVA.COM</t>
  </si>
  <si>
    <t>VERDUZCO MARTINEZ RICARDO</t>
  </si>
  <si>
    <t>RICARDO.VMARTINEZ@BBVA.COM</t>
  </si>
  <si>
    <t>GARCIA GOMEZ ARTURO JAVIER</t>
  </si>
  <si>
    <t>MB74001</t>
  </si>
  <si>
    <t>ARTUROJAVIER.GARCIA@BBVA.COM</t>
  </si>
  <si>
    <t>LEON HERNANDEZ MAURA KARLA</t>
  </si>
  <si>
    <t>MB60402</t>
  </si>
  <si>
    <t>MAURAKARLA.LEON.HERNANDEZ@BBVA.COM</t>
  </si>
  <si>
    <t>RAMIREZ RODRIGUEZ SAMUEL</t>
  </si>
  <si>
    <t>S.RAMIREZ@BBVA.COM</t>
  </si>
  <si>
    <t>RODRIGUEZ MORAN ROBERTO DE JESUS</t>
  </si>
  <si>
    <t>M906994</t>
  </si>
  <si>
    <t>ROBERTO.RODRIGUEZ@BBVA.COM</t>
  </si>
  <si>
    <t>VARELA PEREZ DIEGO EDUARDO</t>
  </si>
  <si>
    <t>MB75089</t>
  </si>
  <si>
    <t>DIEGOEDUARDO.VARELA@BBVA.COM</t>
  </si>
  <si>
    <t>GONZALEZ CASTELAN LINDA KARINA</t>
  </si>
  <si>
    <t>MB43285</t>
  </si>
  <si>
    <t>LINDAKARINA.GONZALEZ@BBVA.COM</t>
  </si>
  <si>
    <t>VEGA ORTEGA RAFAEL BENJAMIN</t>
  </si>
  <si>
    <t>MB76444</t>
  </si>
  <si>
    <t>RAFAELBENJAMIN.VEGA@BBVA.COM</t>
  </si>
  <si>
    <t>MUNOZ CAMACHO ARELI</t>
  </si>
  <si>
    <t>MB70246</t>
  </si>
  <si>
    <t>ARELI.MUNOZ@BBVA.COM</t>
  </si>
  <si>
    <t>VAZQUEZ BANOS ARMANDO</t>
  </si>
  <si>
    <t>M52419</t>
  </si>
  <si>
    <t>A.VAZQUEZ10@BBVA.COM</t>
  </si>
  <si>
    <t>AGUILAR ROQUE MARIA DE LOURDES</t>
  </si>
  <si>
    <t>M39100</t>
  </si>
  <si>
    <t>ML.AGUILAR1@BBVA.COM</t>
  </si>
  <si>
    <t>CHAVEZ TINOCO KENIA IVETT</t>
  </si>
  <si>
    <t>MB70661</t>
  </si>
  <si>
    <t>KENIAIVETT.CHAVEZ@BBVA.COM</t>
  </si>
  <si>
    <t>ESTEVES GARCIA NATALY GABRIELA</t>
  </si>
  <si>
    <t>MB68381</t>
  </si>
  <si>
    <t>NATALYGABRIELA.ESTEVES@BBVA.COM</t>
  </si>
  <si>
    <t>TELLEZ RENDON JUAN JOSE</t>
  </si>
  <si>
    <t>MB13763</t>
  </si>
  <si>
    <t>JUANJOSE.TELLEZ@BBVA.COM</t>
  </si>
  <si>
    <t>MENDEZ VAZQUEZ GUADALUPE ANTONIO</t>
  </si>
  <si>
    <t>GUADALUPE.MENDEZ.1@BBVA.COM</t>
  </si>
  <si>
    <t>RAMIREZ RODRIGUEZ JOSE SEBASTIAN</t>
  </si>
  <si>
    <t>MB43566</t>
  </si>
  <si>
    <t>JOSESEBASTIAN.RAMIREZ@BBVA.COM</t>
  </si>
  <si>
    <t>OSORIO PINTO KEILA ROSALIA</t>
  </si>
  <si>
    <t>MB59204</t>
  </si>
  <si>
    <t>KEILAROSALIA.OSORIO@BBVA.COM</t>
  </si>
  <si>
    <t>PORRAZ LAVARIEGA JUAN</t>
  </si>
  <si>
    <t>M814848</t>
  </si>
  <si>
    <t>JPORRAZ.LAVARIEGA@BBVA.COM</t>
  </si>
  <si>
    <t>MARTINEZ NAVARRO HECTOR RODRIGO</t>
  </si>
  <si>
    <t>MB64326</t>
  </si>
  <si>
    <t>HECTORRODRIGO.MARTINEZ@BBVA.COM</t>
  </si>
  <si>
    <t>VELAZQUEZ VERDEJA JORGE SAHIB</t>
  </si>
  <si>
    <t>MB14970</t>
  </si>
  <si>
    <t>JORGESAHIB.VELAZQUEZ@BBVA.COM</t>
  </si>
  <si>
    <t>ROMERO SUAREZ JUAN XAVIER</t>
  </si>
  <si>
    <t>M75980</t>
  </si>
  <si>
    <t>JX.ROMERO@BBVA.COM</t>
  </si>
  <si>
    <t>RAMIREZ DELGADO DAVID</t>
  </si>
  <si>
    <t>MB81639</t>
  </si>
  <si>
    <t>DAVID.RAMIREZ.DELGADO@BBVA.COM</t>
  </si>
  <si>
    <t>FUENTES DE MARIA CASTILLO MARCO ANTONIO</t>
  </si>
  <si>
    <t>M75292</t>
  </si>
  <si>
    <t>MA.FUENTESDEMARIA@BBVA.COM</t>
  </si>
  <si>
    <t>RAMOS LOPEZ ERNESTO</t>
  </si>
  <si>
    <t>MB79565</t>
  </si>
  <si>
    <t>ernesto.ramos@bbva.com</t>
  </si>
  <si>
    <t>AYALA CARDENAS OMAR JESUS</t>
  </si>
  <si>
    <t>MB70029</t>
  </si>
  <si>
    <t>OMARJESUS.AYALA@BBVA.COM</t>
  </si>
  <si>
    <t>ORTIZ RANGEL HECTOR MIGUEL</t>
  </si>
  <si>
    <t>MB31586</t>
  </si>
  <si>
    <t>HECTORMIGUEL.ORTIZ@BBVA.COM</t>
  </si>
  <si>
    <t>DURAN AGUILAR JUAN CARLOS</t>
  </si>
  <si>
    <t>MB65917</t>
  </si>
  <si>
    <t>JUANCARLOS.DURAN@BBVA.COM</t>
  </si>
  <si>
    <t>DE LEON PALACIOS KARINA ITZELT</t>
  </si>
  <si>
    <t>MB79313</t>
  </si>
  <si>
    <t>KARINAITZELT.DELEON@BBVA.COM</t>
  </si>
  <si>
    <t>LOPEZ GARCIA MIGUEL ANGEL</t>
  </si>
  <si>
    <t>M900447</t>
  </si>
  <si>
    <t>MIGUEL.LOPEZG@BBVA.COM</t>
  </si>
  <si>
    <t>ORTEGA ULLOA GERARDO</t>
  </si>
  <si>
    <t>MB69002</t>
  </si>
  <si>
    <t>GERARDO.ORTEGA.ULLOA@BBVA.COM</t>
  </si>
  <si>
    <t>GONZALEZ MENDEZ LETICIA SIGRID</t>
  </si>
  <si>
    <t>LS.GONZALEZ@BBVA.COM</t>
  </si>
  <si>
    <t>LARA MENDEZ ALICIA DE JESUS</t>
  </si>
  <si>
    <t>M907380</t>
  </si>
  <si>
    <t>ALICIA.LARA@BBVA.COM</t>
  </si>
  <si>
    <t>VELAZQUEZ LOPEZ LIZBETH</t>
  </si>
  <si>
    <t>MB56295</t>
  </si>
  <si>
    <t>LIZBETH.VELAZQUEZ@BBVA.COM</t>
  </si>
  <si>
    <t>RETA MARTINEZ LISSETH ALEJANDRA</t>
  </si>
  <si>
    <t>MB10086</t>
  </si>
  <si>
    <t>LISSETH.RETA@BBVA.COM</t>
  </si>
  <si>
    <t>PALAFOX ROSAS MA TERESA FRANCISCA</t>
  </si>
  <si>
    <t>M8505</t>
  </si>
  <si>
    <t>T.PALAFOX@BBVA.COM</t>
  </si>
  <si>
    <t>AVILES GARCIA CARLOS</t>
  </si>
  <si>
    <t>MB54658</t>
  </si>
  <si>
    <t>CARLOS.AVILES@BBVA.COM</t>
  </si>
  <si>
    <t>GARCIA GANDARA FRANCISCO JAVIER</t>
  </si>
  <si>
    <t>MB26588</t>
  </si>
  <si>
    <t>FRANCISCOJAV.GARCIA@BBVA.COM</t>
  </si>
  <si>
    <t>LOPEZ TEJEDA REYNALDO</t>
  </si>
  <si>
    <t>MB30585</t>
  </si>
  <si>
    <t>REYNALDO.LOPEZ@BBVA.COM</t>
  </si>
  <si>
    <t>ANGULO ALCANTARA MARTHA</t>
  </si>
  <si>
    <t>M909266</t>
  </si>
  <si>
    <t>MARTHA.ANGULO@BBVA.COM</t>
  </si>
  <si>
    <t>MENDIOLA CASTILLO SONIA ARIANA</t>
  </si>
  <si>
    <t>MB64871</t>
  </si>
  <si>
    <t>SONIAARIANA.MENDIOLA@BBVA.COM</t>
  </si>
  <si>
    <t>GARCIA VIDAL ERIKA MARCELA</t>
  </si>
  <si>
    <t>MB68005</t>
  </si>
  <si>
    <t>ERIKAMARCELA.GARCIA@BBVA.COM</t>
  </si>
  <si>
    <t>LOPEZ MORENO MONICA</t>
  </si>
  <si>
    <t>M.LOPEZ17@BBVA.COM</t>
  </si>
  <si>
    <t>AROS TORRES ALAN RUBEN</t>
  </si>
  <si>
    <t>MB62500</t>
  </si>
  <si>
    <t>ALANRUBEN.AROS@BBVA.COM</t>
  </si>
  <si>
    <t>BANOS GOMEZ LUIS GERARDO</t>
  </si>
  <si>
    <t>MB66449</t>
  </si>
  <si>
    <t>LUISGERARDO.BANOS@BBVA.COM</t>
  </si>
  <si>
    <t>GUTIERREZ CEJA SERGIO ENRIQUE</t>
  </si>
  <si>
    <t>MB54722</t>
  </si>
  <si>
    <t>SERGIOENRIQUE.GUTIERREZ@BBVA.COM</t>
  </si>
  <si>
    <t>OCHOA TOPETE LUIS</t>
  </si>
  <si>
    <t>UA43926</t>
  </si>
  <si>
    <t>LUIS.OCHOA@BBVA.COM</t>
  </si>
  <si>
    <t>ROMERO TORNERO BLANCA ORALIA</t>
  </si>
  <si>
    <t>MB45437</t>
  </si>
  <si>
    <t>BLANCA.ROMERO@BBVA.COM</t>
  </si>
  <si>
    <t>CASTRO CHAVEZ RAUL ADAD</t>
  </si>
  <si>
    <t>MB60892</t>
  </si>
  <si>
    <t>RAULADAD.CASTRO@BBVA.COM</t>
  </si>
  <si>
    <t>CONTRERAS MONTOYA ADRIAN</t>
  </si>
  <si>
    <t>MH01103</t>
  </si>
  <si>
    <t>ADRIAN.CONTRERAS@BBVA.COM</t>
  </si>
  <si>
    <t>REYES MUNIZ CARLOS ALBERTO</t>
  </si>
  <si>
    <t>MB53680</t>
  </si>
  <si>
    <t>CARLOSALBERTO.REYES.MUNIZ@BBVA.COM</t>
  </si>
  <si>
    <t>VELARDE CURIEL EDGAR</t>
  </si>
  <si>
    <t>MH02753</t>
  </si>
  <si>
    <t>E.VELARDE@BBVA.COM</t>
  </si>
  <si>
    <t>VALENCIA HERRERA ARMANDO</t>
  </si>
  <si>
    <t>MB43154</t>
  </si>
  <si>
    <t>ARMANDO.VALENCIA@BBVA.COM</t>
  </si>
  <si>
    <t>CABRERA MARTINEZ JORGE ALBERTO</t>
  </si>
  <si>
    <t>MA05641</t>
  </si>
  <si>
    <t>JORGEALBERTO.CABRERA@BBVA.COM</t>
  </si>
  <si>
    <t>OCAMPO RULL CINTHYA</t>
  </si>
  <si>
    <t>M913743</t>
  </si>
  <si>
    <t>CINTHYA.OCAMPO@BBVA.COM</t>
  </si>
  <si>
    <t>PALMA ALVAREZ MARTHA ALEJANDRA</t>
  </si>
  <si>
    <t>MB21723</t>
  </si>
  <si>
    <t>MARTHAALEJAN.PALMA@BBVA.COM</t>
  </si>
  <si>
    <t>VALERIANO GOMEZ ELENA OLIMPIA</t>
  </si>
  <si>
    <t>MB57139</t>
  </si>
  <si>
    <t>ELENAOLIMPIA.VALERIANO.GOMEZ@BBVA.COM</t>
  </si>
  <si>
    <t>RODRIGUEZ PARRA ISABEL CRISTINA</t>
  </si>
  <si>
    <t>MB81236</t>
  </si>
  <si>
    <t>ISABELCRISTINA.RODRIGUEZ.PARR@BBVA.COM</t>
  </si>
  <si>
    <t>BLANCAS ROSAS MARIA TERESA</t>
  </si>
  <si>
    <t>MB30258</t>
  </si>
  <si>
    <t>MARIATERESA.BLANCAS@BBVA.COM</t>
  </si>
  <si>
    <t>MIRANDA QUEREA DALILA</t>
  </si>
  <si>
    <t>MB23783</t>
  </si>
  <si>
    <t>DALILA.MIRANDA@BBVA.COM</t>
  </si>
  <si>
    <t>RODRIGUEZ MEDINA ANGEL ARTURO</t>
  </si>
  <si>
    <t>MB65447</t>
  </si>
  <si>
    <t>ANGELARTURO.RODRIGUEZ.MEDINA@BBVA.COM</t>
  </si>
  <si>
    <t>CAZARES FRUTOS ZUGEYRI NOEMI</t>
  </si>
  <si>
    <t>MH03337</t>
  </si>
  <si>
    <t>RODRIGUEZ FERNANDEZ MARIA ALEJANDRA</t>
  </si>
  <si>
    <t>M34617</t>
  </si>
  <si>
    <t>MARIAALEJANDRA.RODRIGUEZ.1@BBVA.COM</t>
  </si>
  <si>
    <t>VILLA BELMONT ROSA ICELA</t>
  </si>
  <si>
    <t>M34458</t>
  </si>
  <si>
    <t>ROSA.VILLAB@BBVA.COM</t>
  </si>
  <si>
    <t>ALVAREZ NINO OMAR</t>
  </si>
  <si>
    <t>MB65446</t>
  </si>
  <si>
    <t>OMAR.ALVAREZ.NINO@BBVA.COM</t>
  </si>
  <si>
    <t>GARCIA GODINEZ ROSAURA</t>
  </si>
  <si>
    <t>M816591</t>
  </si>
  <si>
    <t>ROSAURA.GARCIA.1@BBVA.COM</t>
  </si>
  <si>
    <t>MACIAS ORTIZ ANNALI NOHEMI</t>
  </si>
  <si>
    <t>MB66296</t>
  </si>
  <si>
    <t>ANNALINOHEMI.MACIAS.ORTIZ@BBVA.COM</t>
  </si>
  <si>
    <t>VILLEGAS MORALES GUILLERMINA</t>
  </si>
  <si>
    <t>MB65465</t>
  </si>
  <si>
    <t>GUILLERMINA.VILLEGAS@BBVA.COM</t>
  </si>
  <si>
    <t>RAMOS ALMAZO LEONOR EDITH</t>
  </si>
  <si>
    <t>MH00100</t>
  </si>
  <si>
    <t>L.RAMOS@BBVA.COM</t>
  </si>
  <si>
    <t>SALAZAR SAENZ MARTHA ALICIA</t>
  </si>
  <si>
    <t>MB65466</t>
  </si>
  <si>
    <t>MARTHAALICIA.SALAZAR.SAENZ@BBVA.COM</t>
  </si>
  <si>
    <t>CASSO CUEVAS GRISELDA ELIZABETH</t>
  </si>
  <si>
    <t>MB65456</t>
  </si>
  <si>
    <t>GRISELDA.CASSO@BBVA.COM</t>
  </si>
  <si>
    <t>MARTINEZ MEDINA IRAIS XAGNITTE</t>
  </si>
  <si>
    <t>M913275</t>
  </si>
  <si>
    <t>IRAIS.MARTINEZ@BBVA.COM</t>
  </si>
  <si>
    <t>NARANJO CARRASCO JAVIER</t>
  </si>
  <si>
    <t>J.NARANJO@BBVA.COM</t>
  </si>
  <si>
    <t>SANDOVAL ROJAS RODRIGO DAVID</t>
  </si>
  <si>
    <t>MB81270</t>
  </si>
  <si>
    <t>RODRIGO.SANDOVAL@BBVA.COM</t>
  </si>
  <si>
    <t>REYES CASILLAS JOSE EDUARDO</t>
  </si>
  <si>
    <t>JOSEEDUARDO.REYES@BBVA.COM</t>
  </si>
  <si>
    <t>PEREZ ROMAN JUAN CARLOS</t>
  </si>
  <si>
    <t>MB03080</t>
  </si>
  <si>
    <t>JC.PEREZROMAN@BBVA.COM</t>
  </si>
  <si>
    <t>RUIZ LOPEZ IVAN OMAR</t>
  </si>
  <si>
    <t>MH02853</t>
  </si>
  <si>
    <t>I.RUIZ@BBVA.COM</t>
  </si>
  <si>
    <t>MARTIN DEL CAMPO MENA RAFAEL</t>
  </si>
  <si>
    <t>M902985</t>
  </si>
  <si>
    <t>RAFAEL.MARTINDELC@BBVA.COM</t>
  </si>
  <si>
    <t>MEDINA RODRIGUEZ GERARDO MARTIN</t>
  </si>
  <si>
    <t>MA05649</t>
  </si>
  <si>
    <t>GERARDO.MEDINA@BBVA.COM</t>
  </si>
  <si>
    <t>RODRIGUEZ MAURI LEON FERNANDO</t>
  </si>
  <si>
    <t>M50848</t>
  </si>
  <si>
    <t>LEON.RODRIGUEZ@BBVA.COM</t>
  </si>
  <si>
    <t>HERNANDEZ VARGAS JOSE DANIEL</t>
  </si>
  <si>
    <t>MB65003</t>
  </si>
  <si>
    <t>JOSEDANIEL.HERNANDEZ.VARGAS@BBVA.COM</t>
  </si>
  <si>
    <t>PRADO MANON KARINA MACHINTZA</t>
  </si>
  <si>
    <t>MB65445</t>
  </si>
  <si>
    <t>KARINAMACHINTZA.PRADO.MANON@BBVA.COM</t>
  </si>
  <si>
    <t>JEREZ ARMENDARIZ ARTURO AUGUSTO</t>
  </si>
  <si>
    <t>MB65440</t>
  </si>
  <si>
    <t>ARTUROAUGUSTO.JEREZ@BBVA.COM</t>
  </si>
  <si>
    <t>FLORES AGUILAR LUISA CRISTINA</t>
  </si>
  <si>
    <t>MB66123</t>
  </si>
  <si>
    <t>LUISACRISTINA.FLORES@BBVA.COM</t>
  </si>
  <si>
    <t>LOYA ALMADA PEDRO MARTIN</t>
  </si>
  <si>
    <t>M341451</t>
  </si>
  <si>
    <t>PEDRO.LOYA@BBVA.COM</t>
  </si>
  <si>
    <t>ZAMORA ALBA SANDRA MARISOL</t>
  </si>
  <si>
    <t>MB65450</t>
  </si>
  <si>
    <t>SANDRAMARISOL.ZAMORA.ALBA@BBVA.COM</t>
  </si>
  <si>
    <t>ZENDEJAS ROBLES DIEGO</t>
  </si>
  <si>
    <t>MB65467</t>
  </si>
  <si>
    <t>DIEGO.ZENDEJAS.ROBLES@BBVA.COM</t>
  </si>
  <si>
    <t>DELGADO SANDOVAL JAIME</t>
  </si>
  <si>
    <t>MB65471</t>
  </si>
  <si>
    <t>JAIME.DELGADO2@BBVA.COM</t>
  </si>
  <si>
    <t>GONZALEZ ORTIZ OSCAR ALEJANDRO</t>
  </si>
  <si>
    <t>MB65441</t>
  </si>
  <si>
    <t>OSCARALEJANDRO.GONZALEZ@BBVA.COM</t>
  </si>
  <si>
    <t>AGUERO MIRANDA ALEJANDRO</t>
  </si>
  <si>
    <t>MB64906</t>
  </si>
  <si>
    <t>ALEJANDRO.AGUERO@BBVA.COM</t>
  </si>
  <si>
    <t>BALDERRAMA ALCANTAR DANIELA ALICIA</t>
  </si>
  <si>
    <t>MB58236</t>
  </si>
  <si>
    <t>DANIELAALICIA.BALDERRAMA@BBVA.COM</t>
  </si>
  <si>
    <t>CONTRERAS SALAS LAURO ANTONIO</t>
  </si>
  <si>
    <t>MB65500</t>
  </si>
  <si>
    <t>LAUROANTONIO.CONTRERAS@BBVA.COM</t>
  </si>
  <si>
    <t>ALMARAZ MONTESINOS MARIA BELEM</t>
  </si>
  <si>
    <t>MB65436</t>
  </si>
  <si>
    <t>MARIABELEM.ALMARAZ@BBVA.COM</t>
  </si>
  <si>
    <t>GARCIA ZUNIGA ANDRES ARMANDO</t>
  </si>
  <si>
    <t>MB65437</t>
  </si>
  <si>
    <t>ANDRESARMANDO.GARCIA@BBVA.COM</t>
  </si>
  <si>
    <t>ALANIS GONZALEZ MARGARITO</t>
  </si>
  <si>
    <t>MB75669</t>
  </si>
  <si>
    <t>MARGARITO.ALANIS@BBVA.COM</t>
  </si>
  <si>
    <t>ORTEGON ORTEGA JOSE ENRIQUE</t>
  </si>
  <si>
    <t>MB65443</t>
  </si>
  <si>
    <t>JOSEENRIQUE.ORTEGA@BBVA.COM</t>
  </si>
  <si>
    <t>GARCIA PEREZ LUIS ALBERTO</t>
  </si>
  <si>
    <t>MA06354</t>
  </si>
  <si>
    <t>LUISALBERTO.GARCIA2@BBVA.COM</t>
  </si>
  <si>
    <t>ALBERTO NIETO BAYONA</t>
  </si>
  <si>
    <t>GONZALEZ CORDOVA VELIA ELIZABETH</t>
  </si>
  <si>
    <t>M31530</t>
  </si>
  <si>
    <t>VELIA.GONZALEZ.1@BBVA.COM</t>
  </si>
  <si>
    <t>BAUTISTA SALAZAR LEONARDO</t>
  </si>
  <si>
    <t>L.BAUTISTA@BBVA.COM</t>
  </si>
  <si>
    <t>SAINT REQUIER X JULIEN PIERRE</t>
  </si>
  <si>
    <t>MB37905</t>
  </si>
  <si>
    <t>JULIEN.SAINT-REQUIER@BBVA.COM</t>
  </si>
  <si>
    <t>EGUILUZ LOZANO ALEJANDRA</t>
  </si>
  <si>
    <t>MB09893</t>
  </si>
  <si>
    <t>ALEJANDRA.EGUILUZ@BBVA.COM</t>
  </si>
  <si>
    <t>MUJICA GARCIA JESUS DANIEL</t>
  </si>
  <si>
    <t>MB84515</t>
  </si>
  <si>
    <t>JESUSDANIEL.MUJICA@BBVA.COM</t>
  </si>
  <si>
    <t>LUNA GIL ARACELI</t>
  </si>
  <si>
    <t>M57954</t>
  </si>
  <si>
    <t>ARACELI.LUNA@BBVA.COM</t>
  </si>
  <si>
    <t>GARCIA MONROY TANIA BEATRIZ</t>
  </si>
  <si>
    <t>mb74807</t>
  </si>
  <si>
    <t>taniabeatriz.garcia@bbva.com</t>
  </si>
  <si>
    <t>ROBLES MALDONADO DIANA GABRIELA</t>
  </si>
  <si>
    <t>MB10837</t>
  </si>
  <si>
    <t>DIANA.ROBLES@BBVA.COM</t>
  </si>
  <si>
    <t>CADENA RODRIGUEZ MAURICIO</t>
  </si>
  <si>
    <t>MB10829</t>
  </si>
  <si>
    <t>MAURICIO.CADENA@BBVA.COM</t>
  </si>
  <si>
    <t>GARCIA GUTIERREZ MAURICIO</t>
  </si>
  <si>
    <t>MB54557</t>
  </si>
  <si>
    <t>MAURICIO.GARCIA.GUTIERREZ@BBVA.COM</t>
  </si>
  <si>
    <t>LUGO ESPINO CINTHYA NALLELI</t>
  </si>
  <si>
    <t>MB13955</t>
  </si>
  <si>
    <t>CINTHYANALLE.LUGO@BBVA.COM</t>
  </si>
  <si>
    <t>SANCHEZ GOMEZ FERNANDO</t>
  </si>
  <si>
    <t>MA30938</t>
  </si>
  <si>
    <t>FERNANDO.SANCHEZ@BBVA.COM</t>
  </si>
  <si>
    <t>CORREA BOLIO KARLA</t>
  </si>
  <si>
    <t>M77747</t>
  </si>
  <si>
    <t>K.CORREA@BBVA.COM</t>
  </si>
  <si>
    <t>MANSUR SALAZAR CARLOS FEDERICO</t>
  </si>
  <si>
    <t>M844492</t>
  </si>
  <si>
    <t>C.MANSURS@BBVA.COM</t>
  </si>
  <si>
    <t>ESTRADA AGUILAR MIRIAM PATRICIA</t>
  </si>
  <si>
    <t>MB33770</t>
  </si>
  <si>
    <t>MIRIAMPATRICIA.ESTRADA@BBVA.COM</t>
  </si>
  <si>
    <t>PAREDES ARROYO ANA LAURA</t>
  </si>
  <si>
    <t>MB05452</t>
  </si>
  <si>
    <t>ANA.PAREDES.1@BBVA.COM</t>
  </si>
  <si>
    <t>FERNANDEZ REGULES GUILLERMO</t>
  </si>
  <si>
    <t>MB44861</t>
  </si>
  <si>
    <t>GUILLERMO.FERNANDEZ.REGULES@BBVA.COM</t>
  </si>
  <si>
    <t>NARANJO GARCIA JOSE MARTIN</t>
  </si>
  <si>
    <t>M406823</t>
  </si>
  <si>
    <t>JOSEMARTIN.NARANJO@BBVA.COM</t>
  </si>
  <si>
    <t>RIVAS TINAJERO ROCIO</t>
  </si>
  <si>
    <t>MB68822</t>
  </si>
  <si>
    <t>ROCIO.RIVAS.TINAJERO@BBVA.COM</t>
  </si>
  <si>
    <t>BERMUDEZ ARMENTA OSCAR</t>
  </si>
  <si>
    <t>M240258</t>
  </si>
  <si>
    <t>O.BERMUDEZ@BBVA.COM</t>
  </si>
  <si>
    <t>LOYO GUERRERO NANCY COREY</t>
  </si>
  <si>
    <t>MB05455</t>
  </si>
  <si>
    <t>NANCY.LOYO@BBVA.COM</t>
  </si>
  <si>
    <t>VARGAS AGUILAR MARIA DENISSE</t>
  </si>
  <si>
    <t>M844493</t>
  </si>
  <si>
    <t>MARIADENISSE.VARGAS@BBVA.COM</t>
  </si>
  <si>
    <t>UVERA ENRIQUEZ ANA ELENA</t>
  </si>
  <si>
    <t>M844910</t>
  </si>
  <si>
    <t>A.UVERAE@BBVA.COM</t>
  </si>
  <si>
    <t>MARTINEZ DOMINGUEZ JOSE NICOLAS</t>
  </si>
  <si>
    <t>M283159</t>
  </si>
  <si>
    <t>JN.MARTINEZ@BBVA.COM</t>
  </si>
  <si>
    <t>YEPEZ CAMPOS MARTIN</t>
  </si>
  <si>
    <t>M4747</t>
  </si>
  <si>
    <t>M.YEPEZ@BBVA.COM</t>
  </si>
  <si>
    <t>NUNEZ ARRIETA FLAVIA DANIELA</t>
  </si>
  <si>
    <t>MB57658</t>
  </si>
  <si>
    <t>FLAVIADANIELA.NUNEZ@BBVA.COM</t>
  </si>
  <si>
    <t>LABORDE LAFUENTE JOSE CARLOS</t>
  </si>
  <si>
    <t>MB66260</t>
  </si>
  <si>
    <t>JOSECARLOS.LABORDE@BBVA.COM</t>
  </si>
  <si>
    <t>VELAZQUEZ CERCADO DAVID</t>
  </si>
  <si>
    <t>M839111</t>
  </si>
  <si>
    <t>DAVID.VELAZQUEZC@BBVA.COM</t>
  </si>
  <si>
    <t>ZAVALA HERNANDEZ ROBERTO</t>
  </si>
  <si>
    <t>M839164</t>
  </si>
  <si>
    <t>ROBERTO.ZAVALA@BBVA.COM</t>
  </si>
  <si>
    <t>MEDELLIN ESPINOSA IGNACIO</t>
  </si>
  <si>
    <t>M9277</t>
  </si>
  <si>
    <t>IGNACIO.MEDELLIN@BBVA.COM</t>
  </si>
  <si>
    <t>GARCIA PONCE DIANA ELIZABETH</t>
  </si>
  <si>
    <t>MB53771</t>
  </si>
  <si>
    <t>DIANAELIZABETH.GARCIA@BBVA.COM</t>
  </si>
  <si>
    <t>RIVERA ZARATE JESUS EDUARDO</t>
  </si>
  <si>
    <t>MB59088</t>
  </si>
  <si>
    <t>JESUSEDUARDO.RIVERA@BBVA.COM</t>
  </si>
  <si>
    <t>RAMIREZ GODINEZ CLAUDIA EVELYN</t>
  </si>
  <si>
    <t>MB70931</t>
  </si>
  <si>
    <t>CLAUDIAEVELYN.RAMIREZ@BBVA.COM</t>
  </si>
  <si>
    <t>AGUIRRE PONCE DE LEON VICTOR HUGO</t>
  </si>
  <si>
    <t>MB67289</t>
  </si>
  <si>
    <t>VICTORHUGO.AGUIRRE@BBVA.COM</t>
  </si>
  <si>
    <t>WALDO JIMENEZ LUIS NEZAHUALPILI</t>
  </si>
  <si>
    <t>MB75811</t>
  </si>
  <si>
    <t>LUISNEZAHUALPILI.WALDO@BBVA.COM</t>
  </si>
  <si>
    <t>REYES MORALES GABRIEL</t>
  </si>
  <si>
    <t>M283665</t>
  </si>
  <si>
    <t>GABRIEL.REYES@BBVA.COM</t>
  </si>
  <si>
    <t>MENDOZA RAMIREZ RUBEN ALFONSO</t>
  </si>
  <si>
    <t>M38637</t>
  </si>
  <si>
    <t>RALFONSO.MENDOZA@BBVA.COM</t>
  </si>
  <si>
    <t>ZAMARRIPA SANCHEZ LUIS ALBERTO</t>
  </si>
  <si>
    <t>MH03689</t>
  </si>
  <si>
    <t>LUIS.ZAMARRIPA@BBVA.COM</t>
  </si>
  <si>
    <t>REYNOSO VALLECILLO SEBASTIAN ALFREDO</t>
  </si>
  <si>
    <t>M56126</t>
  </si>
  <si>
    <t>ALFREDO.REYNOSO@BBVA.COM</t>
  </si>
  <si>
    <t>GONZALEZ MARTIN ANA GABRIELA</t>
  </si>
  <si>
    <t>M913332</t>
  </si>
  <si>
    <t>ANA.GONZALEZ.3@BBVA.COM</t>
  </si>
  <si>
    <t>NAVARRETE LOPEZ MACIEL</t>
  </si>
  <si>
    <t>MB58562</t>
  </si>
  <si>
    <t>MACIEL.NAVARRETE@BBVA.COM</t>
  </si>
  <si>
    <t>GARCIA SOLIS OMAR</t>
  </si>
  <si>
    <t>M910540</t>
  </si>
  <si>
    <t>OMAR.GARCIA.4@BBVA.COM</t>
  </si>
  <si>
    <t>FERNANDEZ GONZALEZ RAUL ALBERTO</t>
  </si>
  <si>
    <t>MB36408</t>
  </si>
  <si>
    <t>RAULALBERTO.FERNANDEZ@BBVA.COM</t>
  </si>
  <si>
    <t>GONZALEZ TREJO RAUL</t>
  </si>
  <si>
    <t>M191360</t>
  </si>
  <si>
    <t>R.GONZALEZ16@BBVA.COM</t>
  </si>
  <si>
    <t>REYES MARTINEZ SUSANA DALILA</t>
  </si>
  <si>
    <t>MB00767</t>
  </si>
  <si>
    <t>SUSANA.REYESM@BBVA.COM</t>
  </si>
  <si>
    <t>SANCHEZ RANGEL MONICA</t>
  </si>
  <si>
    <t>MB63893</t>
  </si>
  <si>
    <t>MONICA.SANCHEZ.RANGEL@BBVA.COM</t>
  </si>
  <si>
    <t>ALVAREZ MARTINEZ GABRIELA</t>
  </si>
  <si>
    <t>MB58084</t>
  </si>
  <si>
    <t>GABRIELA.ALVAREZ.MARTINEZ@BBVA.COM</t>
  </si>
  <si>
    <t>CUEVAS RIOS GERARDO</t>
  </si>
  <si>
    <t>MB06086</t>
  </si>
  <si>
    <t>GERARDO.CUEVAS@BBVA.COM</t>
  </si>
  <si>
    <t>TREJO ARMENTA ANGEL</t>
  </si>
  <si>
    <t>M903551</t>
  </si>
  <si>
    <t>ANGEL.TREJO@BBVA.COM</t>
  </si>
  <si>
    <t>VERA VEGA SOFIA</t>
  </si>
  <si>
    <t>M841569</t>
  </si>
  <si>
    <t>S.VERA@BBVA.COM</t>
  </si>
  <si>
    <t>MONTANO PENA JOSE DANIEL</t>
  </si>
  <si>
    <t>MB05464</t>
  </si>
  <si>
    <t>JOSEDANIEL.MONTANO@BBVA.COM</t>
  </si>
  <si>
    <t>TELLEZ GARCIA LORENA GUADALUPE</t>
  </si>
  <si>
    <t>MB40607</t>
  </si>
  <si>
    <t>LORENAGUADALUPE.TELLEZ@BBVA.COM</t>
  </si>
  <si>
    <t>VELAZQUEZ IBARRA ANGEL</t>
  </si>
  <si>
    <t>M54902</t>
  </si>
  <si>
    <t>A.VELAZQUEZ4@BBVA.COM</t>
  </si>
  <si>
    <t>ALVAREZ RAMOS ALEJANDRO</t>
  </si>
  <si>
    <t>MH03454</t>
  </si>
  <si>
    <t>ALEJANDRO.ALVAREZ.2@BBVA.COM</t>
  </si>
  <si>
    <t>BRIONES MORENO CARLA JANETH</t>
  </si>
  <si>
    <t>MB34658</t>
  </si>
  <si>
    <t>CARLAJANETH.BRIONES@BBVA.COM</t>
  </si>
  <si>
    <t>BONIFACIO RUIZ QUISAY</t>
  </si>
  <si>
    <t>M8155</t>
  </si>
  <si>
    <t>QUISAY@BBVA.COM</t>
  </si>
  <si>
    <t>CASTANEDA ALVAREZ LUIS ROBERTO</t>
  </si>
  <si>
    <t>M292470</t>
  </si>
  <si>
    <t>LUIS.CASTANEDA@BBVA.COM</t>
  </si>
  <si>
    <t>GONZALEZ PEREZ RURI</t>
  </si>
  <si>
    <t>M12419</t>
  </si>
  <si>
    <t>RURI.GONZALEZ@BBVA.COM</t>
  </si>
  <si>
    <t>CERVANTES VELAZQUEZ INOCENCIO</t>
  </si>
  <si>
    <t>M12440</t>
  </si>
  <si>
    <t>INOCENCIO.CERVANTES@BBVA.COM</t>
  </si>
  <si>
    <t>HERNANDEZ LEYVA CRISTOBAL</t>
  </si>
  <si>
    <t>M441332</t>
  </si>
  <si>
    <t>C.HERNANDEZL@BBVA.COM</t>
  </si>
  <si>
    <t>NAVARRETE RODRIGUEZ CARLOS</t>
  </si>
  <si>
    <t>M51956</t>
  </si>
  <si>
    <t>C.NAVARRETE@BBVA.COM</t>
  </si>
  <si>
    <t>CAMACHO CORONA JOSE</t>
  </si>
  <si>
    <t>M823671</t>
  </si>
  <si>
    <t>J.CAMACHO2@BBVA.COM</t>
  </si>
  <si>
    <t>PALAZUELOS URIAS MARISOL</t>
  </si>
  <si>
    <t>M825369</t>
  </si>
  <si>
    <t>M.PALAZUELOS@BBVA.COM</t>
  </si>
  <si>
    <t>MERA JARERO DANIELA</t>
  </si>
  <si>
    <t>MB05446</t>
  </si>
  <si>
    <t>DANIELA.MERA@BBVA.COM</t>
  </si>
  <si>
    <t>MARTINEZ MARTINEZ MIGUEL ANGEL</t>
  </si>
  <si>
    <t>MB36262</t>
  </si>
  <si>
    <t>MIGUELANGEL.MARTINEZ.MARTINEZ@BBVA.COM</t>
  </si>
  <si>
    <t>CARRETO RODRIGUEZ ANGEL ULISES</t>
  </si>
  <si>
    <t>MB58677</t>
  </si>
  <si>
    <t>ANGELULISES.CARRETO@BBVA.COM</t>
  </si>
  <si>
    <t>PANTOJA BARBA JOSE ALBERTO</t>
  </si>
  <si>
    <t>M125179</t>
  </si>
  <si>
    <t>JA.PANTOJA@BBVA.COM</t>
  </si>
  <si>
    <t>RODRIGUEZ VALENZUELA MARCO ANTONIO</t>
  </si>
  <si>
    <t>M113760</t>
  </si>
  <si>
    <t>MARCO.RODRIGUEZ@BBVA.COM</t>
  </si>
  <si>
    <t>ORTIZ SANJUAN EDMUNDO DANIEL</t>
  </si>
  <si>
    <t>M825017</t>
  </si>
  <si>
    <t>EDMUNDO.ORTIZ@BBVA.COM</t>
  </si>
  <si>
    <t>RUAN RIVERA RICARDO</t>
  </si>
  <si>
    <t>M819869</t>
  </si>
  <si>
    <t>RICARDO.RUAN@BBVA.COM</t>
  </si>
  <si>
    <t>ROMERO DAVILA BIANCA</t>
  </si>
  <si>
    <t>MB44777</t>
  </si>
  <si>
    <t>BIANCA.ROMERO@BBVA.COM</t>
  </si>
  <si>
    <t>HUERTA MONROY JUAN</t>
  </si>
  <si>
    <t>M212648</t>
  </si>
  <si>
    <t>J.HUERTA@BBVA.COM</t>
  </si>
  <si>
    <t>SCHMIDT RAMIREZ MARIO</t>
  </si>
  <si>
    <t>MB05434</t>
  </si>
  <si>
    <t>MARIO.SCHMIDT@BBVA.COM</t>
  </si>
  <si>
    <t>SOLIS ROMANO MARIA CECILIA</t>
  </si>
  <si>
    <t>MB04539</t>
  </si>
  <si>
    <t>MARIACECILIA.SOLIS@BBVA.COM</t>
  </si>
  <si>
    <t>TIRADO GAXIOLA ANABELLA</t>
  </si>
  <si>
    <t>MB05466</t>
  </si>
  <si>
    <t>ANABELLA.TIRADO@BBVA.COM</t>
  </si>
  <si>
    <t>CASTILLO TRUCIOS MARTHA ISABEL</t>
  </si>
  <si>
    <t>MB41950</t>
  </si>
  <si>
    <t>MARTHAISABEL.CASTILLO@BBVA.COM</t>
  </si>
  <si>
    <t>ARANDA BRETON EVERARDO</t>
  </si>
  <si>
    <t>MB60961</t>
  </si>
  <si>
    <t>EVERARDO.ARANDA@BBVA.COM</t>
  </si>
  <si>
    <t>HERNANDEZ RUBIO JAIME ALBERTO</t>
  </si>
  <si>
    <t>MB19764</t>
  </si>
  <si>
    <t>JAIME.HERNANDEZ.3@BBVA.COM</t>
  </si>
  <si>
    <t>VARGAS MENDIOLA JUAN ANTONIO</t>
  </si>
  <si>
    <t>MB61387</t>
  </si>
  <si>
    <t>JUANANTONIO.VARGAS.MENDIOLA@BBVA.COM</t>
  </si>
  <si>
    <t>ARELLANO CHAVEZ ABEL</t>
  </si>
  <si>
    <t>M403820</t>
  </si>
  <si>
    <t>A.ARELLANO@BBVA.COM</t>
  </si>
  <si>
    <t>LOPEZ CAMPOS VIOLETA LAURA</t>
  </si>
  <si>
    <t>M845383</t>
  </si>
  <si>
    <t>V.LOPEZC@BBVA.COM</t>
  </si>
  <si>
    <t>LUCIO DAVILA HUMBERTO</t>
  </si>
  <si>
    <t>M525786</t>
  </si>
  <si>
    <t>HUMBERTO.LUCIO@BBVA.COM</t>
  </si>
  <si>
    <t>CASTILLO PEREZ JOSE FRANCISCO</t>
  </si>
  <si>
    <t>M62389</t>
  </si>
  <si>
    <t>JF.CASTILLO@BBVA.COM</t>
  </si>
  <si>
    <t>ESCAMILLA ESCAMILLA JESUS HECTOR</t>
  </si>
  <si>
    <t>M523746</t>
  </si>
  <si>
    <t>JH.ESCAMILLA1@BBVA.COM</t>
  </si>
  <si>
    <t>RUBIO DELGADILLO JESUS</t>
  </si>
  <si>
    <t>M62314</t>
  </si>
  <si>
    <t>JESUS.RUBIO@BBVA.COM</t>
  </si>
  <si>
    <t>REYNA GAMBOA ELVIA</t>
  </si>
  <si>
    <t>M9017</t>
  </si>
  <si>
    <t>E.REYNA@BBVA.COM</t>
  </si>
  <si>
    <t>QUISTIAN PEREZ THELMA KATIA</t>
  </si>
  <si>
    <t>MB77205</t>
  </si>
  <si>
    <t>THELMAKATIA.QUISTIAN@BBVA.COM</t>
  </si>
  <si>
    <t>SALINAS RODRIGUEZ MARTHA DEYANIRA</t>
  </si>
  <si>
    <t>MB69158</t>
  </si>
  <si>
    <t>MARTHADEYANIRA.SALINAS@BBVA.COM</t>
  </si>
  <si>
    <t>JIMENEZ CELIS GERARDO</t>
  </si>
  <si>
    <t>MB46652</t>
  </si>
  <si>
    <t>GERARDO.JIMENEZ.CELIS@BBVA.COM</t>
  </si>
  <si>
    <t>REYNA RODRIGUEZ RUTH ARIADNA</t>
  </si>
  <si>
    <t>MB81198</t>
  </si>
  <si>
    <t>RUTHARIADNA.REYNA@BBVA.COM</t>
  </si>
  <si>
    <t>GUERRA MARTINEZ HECTOR GERARDO</t>
  </si>
  <si>
    <t>M524149</t>
  </si>
  <si>
    <t>HG.GUERRA@BBVA.COM</t>
  </si>
  <si>
    <t>RODRIGUEZ HERRERA JESSICA KARINA</t>
  </si>
  <si>
    <t>M54353</t>
  </si>
  <si>
    <t>JK.RODRIGUEZ@BBVA.COM</t>
  </si>
  <si>
    <t>SIERES GARCIA JULIO</t>
  </si>
  <si>
    <t>M9445</t>
  </si>
  <si>
    <t>JULIO.SIERES@BBVA.COM</t>
  </si>
  <si>
    <t>MEJIA GARCIA OMAR</t>
  </si>
  <si>
    <t>M82548</t>
  </si>
  <si>
    <t>OMAR.MEJIA@BBVA.COM</t>
  </si>
  <si>
    <t>PARRA CORDOVA LUIS GILBERTO</t>
  </si>
  <si>
    <t>MB07944</t>
  </si>
  <si>
    <t>LUISGILBERTO.PARRA@BBVA.COM</t>
  </si>
  <si>
    <t>SALINAS REYES MARIA DE LOS ANGELES</t>
  </si>
  <si>
    <t>M55948</t>
  </si>
  <si>
    <t>MARIADELOSANGELES.SALINAS@BBVA.COM</t>
  </si>
  <si>
    <t>GOMEZ ROJAS ARIADNA</t>
  </si>
  <si>
    <t>M839981</t>
  </si>
  <si>
    <t>ARIADNA.GOMEZ.2@BBVA.COM</t>
  </si>
  <si>
    <t>CASTILLO BARRERA MARGARITA</t>
  </si>
  <si>
    <t>M56978</t>
  </si>
  <si>
    <t>M.CASTILLOB@BBVA.COM</t>
  </si>
  <si>
    <t>SANCHEZ OCANA EDGAR ALAN</t>
  </si>
  <si>
    <t>M49688</t>
  </si>
  <si>
    <t>EA.SANCHEZ@BBVA.COM</t>
  </si>
  <si>
    <t>ZALDIVAR RUIZ PAULINA</t>
  </si>
  <si>
    <t>M909932</t>
  </si>
  <si>
    <t>PAULINA.ZALDIVAR@BBVA.COM</t>
  </si>
  <si>
    <t>PANIAGUA JUAREZ MARTHA VELIA</t>
  </si>
  <si>
    <t>MB61794</t>
  </si>
  <si>
    <t>MARTHAVELIA.PANIAGUA@BBVA.COM</t>
  </si>
  <si>
    <t>CALECO OSORIO FANNY</t>
  </si>
  <si>
    <t>MB63606</t>
  </si>
  <si>
    <t>FANNY.CALECO@BBVA.COM</t>
  </si>
  <si>
    <t>VARGAS ARROYO GEORGINA</t>
  </si>
  <si>
    <t>M8273</t>
  </si>
  <si>
    <t>GEORGINA.VARGAS@BBVA.COM</t>
  </si>
  <si>
    <t>LEMUS LEAL ESTEBAN MARTIN</t>
  </si>
  <si>
    <t>MB75092</t>
  </si>
  <si>
    <t>ESTEBANMARTIN.LEMUS@BBVA.COM</t>
  </si>
  <si>
    <t>CASTANEDA CASTRO JESUS</t>
  </si>
  <si>
    <t>M34289</t>
  </si>
  <si>
    <t>JESUS.CASTANEDA@BBVA.COM</t>
  </si>
  <si>
    <t>ORTEGA ARREDONDO LEONARDO MANUEL</t>
  </si>
  <si>
    <t>M37031</t>
  </si>
  <si>
    <t>LEONARDO.ORTEGA@BBVA.COM</t>
  </si>
  <si>
    <t>PULIDO VILLASENOR EDGAR RENE</t>
  </si>
  <si>
    <t>M6167</t>
  </si>
  <si>
    <t>EDGAR.PULIDOV@BBVA.COM</t>
  </si>
  <si>
    <t>CAMARA ZARAGOZA JUAN CARLOS</t>
  </si>
  <si>
    <t>MB44652</t>
  </si>
  <si>
    <t>JUANCARLOS.CAMARA@BBVA.COM</t>
  </si>
  <si>
    <t>UZARRAGA GUTIERREZ IGNACIO</t>
  </si>
  <si>
    <t>M49838</t>
  </si>
  <si>
    <t>I.UZARRAGA@BBVA.COM</t>
  </si>
  <si>
    <t>BAEZ CERVANTES CARLOS MARTIN</t>
  </si>
  <si>
    <t>M39472</t>
  </si>
  <si>
    <t>CARLOS.BAEZ@BBVA.COM</t>
  </si>
  <si>
    <t>CHAVEZ SOLIS ADRIANA</t>
  </si>
  <si>
    <t>MB85452</t>
  </si>
  <si>
    <t>GAFFARE MACIAS SAYURI</t>
  </si>
  <si>
    <t>MB48551</t>
  </si>
  <si>
    <t>SAYURI.GAFFARE@BBVA.COM</t>
  </si>
  <si>
    <t>TOUSSAINT MARTINEZ DE CASTRO BERNARDO</t>
  </si>
  <si>
    <t>M100840</t>
  </si>
  <si>
    <t>B.TOUSSAINT@BBVA.COM</t>
  </si>
  <si>
    <t>MARTINEZ MARTINEZ JUAN LUIS</t>
  </si>
  <si>
    <t>M28893</t>
  </si>
  <si>
    <t>JUAN.MARTINEZ.10@BBVA.COM</t>
  </si>
  <si>
    <t>PALACIOS VERA CLAUDIA ANGELICA</t>
  </si>
  <si>
    <t>MB46751</t>
  </si>
  <si>
    <t>CLAUDIAANGELICA.PALACIOS@BBVA.COM</t>
  </si>
  <si>
    <t>ESQUIVEL PEREZ DE LEON JESUS</t>
  </si>
  <si>
    <t>M824238</t>
  </si>
  <si>
    <t>JESUS.ESQUIVEL@BBVA.COM</t>
  </si>
  <si>
    <t>TUZ CORRAL VIANEY</t>
  </si>
  <si>
    <t>M431143</t>
  </si>
  <si>
    <t>VIANEY.TUZ@BBVA.COM</t>
  </si>
  <si>
    <t>MARTINEZ MARTINEZ JAIRO ANTONIO</t>
  </si>
  <si>
    <t>MB39405</t>
  </si>
  <si>
    <t>JAIROANTONIO.MARTINEZ@BBVA.COM</t>
  </si>
  <si>
    <t>PUC RUIZ MAURA ANGELICA</t>
  </si>
  <si>
    <t>M33804</t>
  </si>
  <si>
    <t>MA.PUC@BBVA.COM</t>
  </si>
  <si>
    <t>GONZALEZ ALMANZA DANIEL</t>
  </si>
  <si>
    <t>DANIEL.GONZALEZ.5@BBVA.COM</t>
  </si>
  <si>
    <t>AGONIZANTE HUERTA ELSA VIVIANA</t>
  </si>
  <si>
    <t>MB09577</t>
  </si>
  <si>
    <t>ELSA.AGONIZANTE@BBVA.COM</t>
  </si>
  <si>
    <t>BARRERA ARENAS JUAN MANUEL</t>
  </si>
  <si>
    <t>MB84258</t>
  </si>
  <si>
    <t>JUANMANUEL.BARRERA@BBVA.COM</t>
  </si>
  <si>
    <t>SANDOVAL LOZOYA ADRIANA</t>
  </si>
  <si>
    <t>MH02056</t>
  </si>
  <si>
    <t>A.SANDOVAL@BBVA.COM</t>
  </si>
  <si>
    <t>CRUZ CERON CYNTHIA ITZELL</t>
  </si>
  <si>
    <t>MB65673</t>
  </si>
  <si>
    <t>CYNTHIAITZELL.CRUZ@BBVA.COM</t>
  </si>
  <si>
    <t>CABRERA RAMOS JUAN MANUEL</t>
  </si>
  <si>
    <t>MB84271</t>
  </si>
  <si>
    <t>JUANMANUEL.CABRERA@BBVA.COM</t>
  </si>
  <si>
    <t>PARADA CARMONA ALAN</t>
  </si>
  <si>
    <t>MB12197</t>
  </si>
  <si>
    <t>ALAN.PARADA@BBVA.COM</t>
  </si>
  <si>
    <t>RODRIGUEZ ROJAS FAUSTINO</t>
  </si>
  <si>
    <t>MB64470</t>
  </si>
  <si>
    <t>FAUSTINO.RODRIGUEZ.ROJAS@BBVA.COM</t>
  </si>
  <si>
    <t>VALENTINI REYES VIOLETTE</t>
  </si>
  <si>
    <t>M907893</t>
  </si>
  <si>
    <t>VIOLETTE.VALENTINI@BBVA.COM</t>
  </si>
  <si>
    <t>CABALLERO VAZQUEZ GUILLERMO FERNANDO</t>
  </si>
  <si>
    <t>M51018</t>
  </si>
  <si>
    <t>F.CABALLERO@BBVA.COM</t>
  </si>
  <si>
    <t>RIVERA SANDOVAL GUILLERMO</t>
  </si>
  <si>
    <t>M55240</t>
  </si>
  <si>
    <t>GUILLERMO.RIVERA@BBVA.COM</t>
  </si>
  <si>
    <t>RODA CARRASCO CHRISTOPHER ALFREDO</t>
  </si>
  <si>
    <t>MB67155</t>
  </si>
  <si>
    <t>CHRISTOPHERALFREDO.RODA@BBVA.COM</t>
  </si>
  <si>
    <t>ORNELAS ZAMBRANO MARIANA CATALINA</t>
  </si>
  <si>
    <t>M840926</t>
  </si>
  <si>
    <t>MC.ORNELAS@BBVA.COM</t>
  </si>
  <si>
    <t>MOLLEDA HERNANDEZ LUIS FRANCISCO</t>
  </si>
  <si>
    <t>MB45032</t>
  </si>
  <si>
    <t>LUISFRANCISCO.MOLLEDA@BBVA.COM</t>
  </si>
  <si>
    <t>PELAEZ VAZQUEZ ANTONIO</t>
  </si>
  <si>
    <t>MB58998</t>
  </si>
  <si>
    <t>ANTONIO.PELAEZ@BBVA.COM</t>
  </si>
  <si>
    <t>RENOUD VIRGEN HAZARAEL JESUS</t>
  </si>
  <si>
    <t>MB31068</t>
  </si>
  <si>
    <t>HAZARAELJESUS.RENOUD@BBVA.COM</t>
  </si>
  <si>
    <t>RIVERA GARCIA ORLANDO</t>
  </si>
  <si>
    <t>MB31066</t>
  </si>
  <si>
    <t>ORLANDO.RIVERA@BBVA.COM</t>
  </si>
  <si>
    <t>ESCUDERO IBARRA OCTAVIO</t>
  </si>
  <si>
    <t>MB06564</t>
  </si>
  <si>
    <t>OCTAVIO.ESCUDERO@BBVA.COM</t>
  </si>
  <si>
    <t>HERNANDEZ SANDOVAL MIGUEL ANGEL</t>
  </si>
  <si>
    <t>MB00726</t>
  </si>
  <si>
    <t>MIGUEL.HERNANDEZ.4@BBVA.COM</t>
  </si>
  <si>
    <t>GARCIA DE PRESNO GARCIA MARIA DEL PILAR</t>
  </si>
  <si>
    <t>M822009</t>
  </si>
  <si>
    <t>MARIADELPILAR.GARCIADEPRESNO@BBVA.COM</t>
  </si>
  <si>
    <t>PACHECO DOMINGUEZ MARIA CECILIA</t>
  </si>
  <si>
    <t>M37250</t>
  </si>
  <si>
    <t>MACECILIA.PACHECO@BBVA.COM</t>
  </si>
  <si>
    <t>REYES BASTIDA JULIO CESAR</t>
  </si>
  <si>
    <t>MH03636</t>
  </si>
  <si>
    <t>JULIO.REYES@BBVA.COM</t>
  </si>
  <si>
    <t>NAJERA RODRIGUEZ BENJAMIN ANTONIO</t>
  </si>
  <si>
    <t>MB76685</t>
  </si>
  <si>
    <t>BENJAMINANTONIO.NAJERA@BBVA.COM</t>
  </si>
  <si>
    <t>PREZA MORA JOSE DE JESUS</t>
  </si>
  <si>
    <t>JOSE.PREZA@BBVA.COM</t>
  </si>
  <si>
    <t>VILLANUEVA LEMUS MICHELE</t>
  </si>
  <si>
    <t>MH01066</t>
  </si>
  <si>
    <t>M.VILLANUEVA@BBVA.COM</t>
  </si>
  <si>
    <t>AVENDANO GONZALEZ ALBERTO</t>
  </si>
  <si>
    <t>MH02099</t>
  </si>
  <si>
    <t>ALBERTO.AVENDANO@BBVA.COM</t>
  </si>
  <si>
    <t>SALAZAR CAPISTRAN FERNANDO</t>
  </si>
  <si>
    <t>MH00772</t>
  </si>
  <si>
    <t>FERNANDO.SALAZAR@BBVA.COM</t>
  </si>
  <si>
    <t>LOPEZ ALFARO JOSE ANTONIO</t>
  </si>
  <si>
    <t>MH03138</t>
  </si>
  <si>
    <t>JOSEANTONIO.LOPEZ.1@BBVA.COM</t>
  </si>
  <si>
    <t>GONZALEZ RAMIREZ CONCEPCION ADRIANA</t>
  </si>
  <si>
    <t>MH01460</t>
  </si>
  <si>
    <t>CONCEPCIONAD.GONZALEZ@BBVA.COM</t>
  </si>
  <si>
    <t>MORENO SANCHEZ LUIS MANUEL</t>
  </si>
  <si>
    <t>MH03721</t>
  </si>
  <si>
    <t>LUIS.MORENO@BBVA.COM</t>
  </si>
  <si>
    <t>RAMIREZ RINCON JOSE ESTEBAN</t>
  </si>
  <si>
    <t>M818306</t>
  </si>
  <si>
    <t>ESTEBAN.RAMIREZ@BBVA.COM</t>
  </si>
  <si>
    <t>RUFINO APASEO CECILIA VERONICA</t>
  </si>
  <si>
    <t>MH00522</t>
  </si>
  <si>
    <t>C.RUFINO@BBVA.COM</t>
  </si>
  <si>
    <t>ALQUICIRA JIMENEZ GRECI NABILE</t>
  </si>
  <si>
    <t>MB83625</t>
  </si>
  <si>
    <t>GRECINABILE.ALQUICIRA@BBVA.COM</t>
  </si>
  <si>
    <t>ESTRADA BERNAL PATRICIA</t>
  </si>
  <si>
    <t>MB75096</t>
  </si>
  <si>
    <t>PATRICIA.ESTRADA@BBVA.COM</t>
  </si>
  <si>
    <t>TORICES VIVERO EDGAR ALBERTO</t>
  </si>
  <si>
    <t>MB75179</t>
  </si>
  <si>
    <t>EDGARALBERTO.TORICES@BBVA.COM</t>
  </si>
  <si>
    <t>RAYGOZA MEDINA FRANCISCO JAVIER</t>
  </si>
  <si>
    <t>MH01858</t>
  </si>
  <si>
    <t>F.RAYGOZA@BBVA.COM</t>
  </si>
  <si>
    <t>LOPEZ LOPEZ HUGO</t>
  </si>
  <si>
    <t>MB21304</t>
  </si>
  <si>
    <t>HUGO.LOPEZ.4@BBVA.COM</t>
  </si>
  <si>
    <t>GONZALEZ VELAZQUEZ EDUARDO</t>
  </si>
  <si>
    <t>MB84066</t>
  </si>
  <si>
    <t>EDUARDO.GONZALEZ.VELAZQUEZ@BBVA.COM</t>
  </si>
  <si>
    <t>JAQUEZ CORRALES JOSE RAMON</t>
  </si>
  <si>
    <t>MH03657</t>
  </si>
  <si>
    <t>JOSERAMON.JAQUEZ@BBVA.COM</t>
  </si>
  <si>
    <t>ENRIQUEZ OCAMPO KARLA IMELDA</t>
  </si>
  <si>
    <t>MB14022</t>
  </si>
  <si>
    <t>KARLAIMELDA.ENRIQUEZ@BBVA.COM</t>
  </si>
  <si>
    <t>ARMENDARIZ ROSALES SERGIO OCTAVIO</t>
  </si>
  <si>
    <t>MB20978</t>
  </si>
  <si>
    <t>S.ARMENDARIZ@BBVA.COM</t>
  </si>
  <si>
    <t>HERNANDEZ RAMIREZ MARTIN</t>
  </si>
  <si>
    <t>MH00262</t>
  </si>
  <si>
    <t>M.HERNANDEZR@BBVA.COM</t>
  </si>
  <si>
    <t>LOPEZ FLORES RAFAEL ALBERTO</t>
  </si>
  <si>
    <t>MB15207</t>
  </si>
  <si>
    <t>RAFAELALBERT.LOPEZ@BBVA.COM</t>
  </si>
  <si>
    <t>ORTEGA HERNANDEZ MARIA DEL ROSARIO</t>
  </si>
  <si>
    <t>MH00116</t>
  </si>
  <si>
    <t>R.ORTEGA1@BBVA.COM</t>
  </si>
  <si>
    <t>MORALES ZEMPOALTECATL DIANA KAREN</t>
  </si>
  <si>
    <t>MB74081</t>
  </si>
  <si>
    <t>DIANAKAREN.MORALES@BBVA.COM</t>
  </si>
  <si>
    <t>NOCHEBUENA HERNANDEZ YAZMIN</t>
  </si>
  <si>
    <t>MB82165</t>
  </si>
  <si>
    <t>yazmin.nochebuena@bbva.com</t>
  </si>
  <si>
    <t>INIGUEZ GONZALEZ RAFAEL</t>
  </si>
  <si>
    <t>M373044</t>
  </si>
  <si>
    <t>RAFAEL.INIGUEZ@BBVA.COM</t>
  </si>
  <si>
    <t>PEREZ SOTO JORGE ARTURO</t>
  </si>
  <si>
    <t>M251859</t>
  </si>
  <si>
    <t>JORGE.PEREZ2@BBVA.COM</t>
  </si>
  <si>
    <t>CRUZ CANTORAL FRANCISCO</t>
  </si>
  <si>
    <t>F.CRUZ@BBVA.COM</t>
  </si>
  <si>
    <t>VAZQUEZ AVILA JUAN JOSE</t>
  </si>
  <si>
    <t>M330689</t>
  </si>
  <si>
    <t>JUAN.VAZQUEZ.4@BBVA.COM</t>
  </si>
  <si>
    <t>IRETA PEREZ LESLY YITSSEL</t>
  </si>
  <si>
    <t>MB66146</t>
  </si>
  <si>
    <t>LESLYYITSSEL.IRETA@BBVA.COM</t>
  </si>
  <si>
    <t>GARDUNO SOBERANES RICARDO MANUEL</t>
  </si>
  <si>
    <t>M905517</t>
  </si>
  <si>
    <t>RICARDO.GARDUNO.2@BBVA.COM</t>
  </si>
  <si>
    <t>RUIZ RODRIGUEZ ALEJANDRO</t>
  </si>
  <si>
    <t>MB84791</t>
  </si>
  <si>
    <t>JIMENEZ RIVAS LILIANA DOLORES</t>
  </si>
  <si>
    <t>M56227</t>
  </si>
  <si>
    <t>LD.JIMENEZ@BBVA.COM</t>
  </si>
  <si>
    <t>CHAVEZ RUIZ CESAR AUGUSTO</t>
  </si>
  <si>
    <t>MB45478</t>
  </si>
  <si>
    <t>CESARAUGUSTO.CHAVEZ@BBVA.COM</t>
  </si>
  <si>
    <t>MONTANO RENTERIA IVETH</t>
  </si>
  <si>
    <t>MB47165</t>
  </si>
  <si>
    <t>IVETH.MONTANO.RENTERIA@BBVA.COM</t>
  </si>
  <si>
    <t>LEON PARTIDA ANA ELVIRA</t>
  </si>
  <si>
    <t>MB61455</t>
  </si>
  <si>
    <t xml:space="preserve"> ANAELVIRA.LEON@BBVA.COM</t>
  </si>
  <si>
    <t>BUSTOS OSORIO ISRAEL</t>
  </si>
  <si>
    <t>MB63510</t>
  </si>
  <si>
    <t>ISRAEL.BUSTOS@BBVA.COM</t>
  </si>
  <si>
    <t>ZEPEDA ARELLANO RICARDO ARTURO</t>
  </si>
  <si>
    <t>RICARDO.ZEPEDA@BBVA.COM</t>
  </si>
  <si>
    <t>ARANA ZETINA MARIO ALBERTO</t>
  </si>
  <si>
    <t>M45116</t>
  </si>
  <si>
    <t>MARIO.ARANA@BBVA.COM</t>
  </si>
  <si>
    <t>RIVERA GRANADOS STEVEN ALFREDO</t>
  </si>
  <si>
    <t>MB74698</t>
  </si>
  <si>
    <t>DELGADO RODRIGUEZ RENATO</t>
  </si>
  <si>
    <t>MA29871</t>
  </si>
  <si>
    <t>RENATO.DELGADO@BBVA.COM</t>
  </si>
  <si>
    <t>SOTO JIMENEZ MARIA FERNANDA</t>
  </si>
  <si>
    <t>M907603</t>
  </si>
  <si>
    <t>MARIAFERNANDA.SOTO@BBVA.COM</t>
  </si>
  <si>
    <t>JIMENEZ SANCHEZ VANIA MARIA</t>
  </si>
  <si>
    <t>MB21708</t>
  </si>
  <si>
    <t>VANIAMARIA.JIMENEZ@BBVA.COM</t>
  </si>
  <si>
    <t>RAMIREZ RODRIGUEZ OTHON BENITO</t>
  </si>
  <si>
    <t>M47963</t>
  </si>
  <si>
    <t>B.RAMIREZ6@BBVA.COM</t>
  </si>
  <si>
    <t>SANTISTEVAN MIRANDA JUAN CARLOS</t>
  </si>
  <si>
    <t>MB07203</t>
  </si>
  <si>
    <t>JUANCARLOS.SANTISTEVAN@BBVA.COM</t>
  </si>
  <si>
    <t>MARTINEZ PEREZ VICTOR</t>
  </si>
  <si>
    <t>M27992</t>
  </si>
  <si>
    <t>VICTOR.MARTINEZP@BBVA.COM</t>
  </si>
  <si>
    <t>SALDANA ORTIZ CARLOS RODRIGO</t>
  </si>
  <si>
    <t>MB72796</t>
  </si>
  <si>
    <t>carlosrodrigo.saldana@bbva.com</t>
  </si>
  <si>
    <t>HERNANDEZ CORREA VERONICA NATALI</t>
  </si>
  <si>
    <t>MB73421</t>
  </si>
  <si>
    <t>VERONICANATALI.HERNANDEZ@BBVA.COM</t>
  </si>
  <si>
    <t>REYES RODRIGUEZ ARTURO</t>
  </si>
  <si>
    <t>MH00954</t>
  </si>
  <si>
    <t>A.REYES1@BBVA.COM</t>
  </si>
  <si>
    <t>OSTOA SALOMA ALEJANDRO MARTIN</t>
  </si>
  <si>
    <t>M75975</t>
  </si>
  <si>
    <t>ALEJANDRO.OSTOA@BBVA.COM</t>
  </si>
  <si>
    <t>GUILLEN JACOME RAMON</t>
  </si>
  <si>
    <t>M4690</t>
  </si>
  <si>
    <t>R.GUILLEN@BBVA.COM</t>
  </si>
  <si>
    <t>BELLO SALINAS LUIS ANTONIO</t>
  </si>
  <si>
    <t>MB70025</t>
  </si>
  <si>
    <t>LUISANTONIO.BELLO@BBVA.COM</t>
  </si>
  <si>
    <t>PEREZ HERNANDEZ MIGUEL ANGEL</t>
  </si>
  <si>
    <t>M844394</t>
  </si>
  <si>
    <t>MIGUEL.PEREZH@BBVA.COM</t>
  </si>
  <si>
    <t>MURILLO MARTINEZ MARIANA PAOLA</t>
  </si>
  <si>
    <t>MB85454</t>
  </si>
  <si>
    <t>SANCHEZ MONTIEL MARIA TERESITA</t>
  </si>
  <si>
    <t>MB63078</t>
  </si>
  <si>
    <t>MARIATERESITA.SANCHEZ@BBVA.COM</t>
  </si>
  <si>
    <t>BERISTAIN GUZMAN ROBERTO</t>
  </si>
  <si>
    <t>M827619</t>
  </si>
  <si>
    <t>R.BERISTAIN@BBVA.COM</t>
  </si>
  <si>
    <t>VALLE MANILLA LILIA JULIETA</t>
  </si>
  <si>
    <t>MB72791</t>
  </si>
  <si>
    <t>liliajulieta.valle@bbva.com</t>
  </si>
  <si>
    <t>CHAVEZ BELLO JUAN CARLOS</t>
  </si>
  <si>
    <t>M8047</t>
  </si>
  <si>
    <t>JCARLOS.CHAVEZ@BBVA.COM</t>
  </si>
  <si>
    <t>NEQUIZ GOMEZ BERNARDINO</t>
  </si>
  <si>
    <t>M818133</t>
  </si>
  <si>
    <t>BERNARDINO.NEQUIZ@BBVA.COM</t>
  </si>
  <si>
    <t>RODRIGUEZ GUTIERREZ PABLO ARTURO</t>
  </si>
  <si>
    <t>MB85490</t>
  </si>
  <si>
    <t>GONZALEZ REYES MARTHA ALICIA</t>
  </si>
  <si>
    <t>MB54826</t>
  </si>
  <si>
    <t>MARTHAALICIA.GONZALEZ@BBVA.COM</t>
  </si>
  <si>
    <t>LOPEZ LOPEZ JOSE LUIS</t>
  </si>
  <si>
    <t>M843600</t>
  </si>
  <si>
    <t>JLUIS.LOPEZ@BBVA.COM</t>
  </si>
  <si>
    <t>NAVA OSORIO MONICA</t>
  </si>
  <si>
    <t>MB61008</t>
  </si>
  <si>
    <t>MONICA.NAVA.OSORIO@BBVA.COM</t>
  </si>
  <si>
    <t>LOPEZ FLORES EDUARDO ALEJANDRO</t>
  </si>
  <si>
    <t>MB39196</t>
  </si>
  <si>
    <t>EDUARDOALEJANDRO.LOPEZ@BBVA.COM</t>
  </si>
  <si>
    <t>RIVERA RAMIREZ FRANCISCO JAVIER</t>
  </si>
  <si>
    <t>MB84542</t>
  </si>
  <si>
    <t>AMADOR NERI IMELDA</t>
  </si>
  <si>
    <t>M911896</t>
  </si>
  <si>
    <t>IMELDA.AMADOR@BBVA.COM</t>
  </si>
  <si>
    <t>LOPEZ CLARO ANA LILIA</t>
  </si>
  <si>
    <t>MB67019</t>
  </si>
  <si>
    <t>ANALILIA.LOPEZ@BBVA.COM</t>
  </si>
  <si>
    <t>VASCONCELOS PALACIOS PAOLA</t>
  </si>
  <si>
    <t>MA23901</t>
  </si>
  <si>
    <t>PAOLA.VASCONCELOS@BBVA.COM</t>
  </si>
  <si>
    <t>CHAVEZ NAVA BUENDIA LAURA EDUWIGIS</t>
  </si>
  <si>
    <t>M38935</t>
  </si>
  <si>
    <t>LAURA.CHAVEZ@BBVA.COM</t>
  </si>
  <si>
    <t>VARGAS TELLEZ MARIA CAROLINA</t>
  </si>
  <si>
    <t>MH00697</t>
  </si>
  <si>
    <t>C.VARGAS@BBVA.COM</t>
  </si>
  <si>
    <t>OLIVIER FALCON EDUARDO</t>
  </si>
  <si>
    <t>MH03607</t>
  </si>
  <si>
    <t>EDUARDO.OLIVER@BBVA.COM</t>
  </si>
  <si>
    <t>CORTES LUGO CESAR</t>
  </si>
  <si>
    <t>MB12873</t>
  </si>
  <si>
    <t>CESAR.CORTES@BBVA.COM</t>
  </si>
  <si>
    <t>CASTANEDA ESCALANTE RODRIGO</t>
  </si>
  <si>
    <t>MH03684</t>
  </si>
  <si>
    <t>RODRIGO.CASTANEDA@BBVA.COM</t>
  </si>
  <si>
    <t>BARRIENTOS NAVAR ARLETH ASTRID</t>
  </si>
  <si>
    <t>MB43280</t>
  </si>
  <si>
    <t>ARLETHASTRID.BARRIENTOS@BBVA.COM</t>
  </si>
  <si>
    <t>VAZQUEZ MUNOZ MARIA IVONNE</t>
  </si>
  <si>
    <t>MH01782</t>
  </si>
  <si>
    <t>MARIAIVONNE.VAZQUEZ@BBVA.COM</t>
  </si>
  <si>
    <t>ZENON ARROYO VICTOR EMMANUEL</t>
  </si>
  <si>
    <t>MB70256</t>
  </si>
  <si>
    <t>VICTOREMMANUEL.ZENON@BBVA.COM</t>
  </si>
  <si>
    <t>CAMACHO CERVANTES MISAEL HUMBERTO</t>
  </si>
  <si>
    <t>M838996</t>
  </si>
  <si>
    <t>MISAEL.CAMACHO@BBVA.COM</t>
  </si>
  <si>
    <t>BAUTISTA SOLIS ALFONSO</t>
  </si>
  <si>
    <t>MB54252</t>
  </si>
  <si>
    <t>ALFONSO.BAUTISTA@BBVA.COM</t>
  </si>
  <si>
    <t>TORRES BRIONES MARTHA PATRICIA</t>
  </si>
  <si>
    <t>M50283</t>
  </si>
  <si>
    <t>MARTHA.TORRES.1@BBVA.COM</t>
  </si>
  <si>
    <t>MARTINEZ SANTOYO RAMON OCTAVIO</t>
  </si>
  <si>
    <t>M47256</t>
  </si>
  <si>
    <t>OCTAVIO.MARTINEZ@BBVA.COM</t>
  </si>
  <si>
    <t>OLMOS MENDOZA ZULEMA</t>
  </si>
  <si>
    <t>M900467</t>
  </si>
  <si>
    <t>ZULEMA.OLMOS@BBVA.COM</t>
  </si>
  <si>
    <t>RIVERA HERNANDEZ ESTEFANIA CAROLINA</t>
  </si>
  <si>
    <t>MB61006</t>
  </si>
  <si>
    <t>ESTEFANIACAROLINA.RIVERA@BBVA.COM</t>
  </si>
  <si>
    <t>MORENO JUAREZ CORAL</t>
  </si>
  <si>
    <t>MB80263</t>
  </si>
  <si>
    <t>CORAL.MORENO@BBVA.COM</t>
  </si>
  <si>
    <t>LOZANO MERCADO ELOISA IRENE</t>
  </si>
  <si>
    <t>M55502</t>
  </si>
  <si>
    <t>ELOISA.LOZANO@BBVA.COM</t>
  </si>
  <si>
    <t>ARENAS ARENAS BRENDA DEL CARMEN</t>
  </si>
  <si>
    <t>M102553</t>
  </si>
  <si>
    <t>BRENDA.ARENAS@BBVA.COM</t>
  </si>
  <si>
    <t>CARDOZO RAMON CRISTIAN</t>
  </si>
  <si>
    <t>MB75162</t>
  </si>
  <si>
    <t>CRISTIAN.CARDOZO@BBVA.COM</t>
  </si>
  <si>
    <t>SANTANA ROSAS JULIO ALEJANDRO</t>
  </si>
  <si>
    <t>MB75178</t>
  </si>
  <si>
    <t>JULIOALEJANDRO.SANTANA@BBVA.COM</t>
  </si>
  <si>
    <t>DELGADILLO PAEZ ROSALIA</t>
  </si>
  <si>
    <t>MB78880</t>
  </si>
  <si>
    <t>ROSALIA.DELGADILLO@BBVA.COM</t>
  </si>
  <si>
    <t>VAZQUEZ MARTINEZ LUIS LEONARDO</t>
  </si>
  <si>
    <t>MB75174</t>
  </si>
  <si>
    <t>LUISLEONARDO.VAZQUEZ@BBVA.COM</t>
  </si>
  <si>
    <t>MARTINEZ GARCIA BRENDA GUADALUPE</t>
  </si>
  <si>
    <t>MB75160</t>
  </si>
  <si>
    <t>BRENDAGUADALUPE.MARTINEZ@BBVA.COM</t>
  </si>
  <si>
    <t>CID CASTRO IRMA LUCERO</t>
  </si>
  <si>
    <t>MB75173</t>
  </si>
  <si>
    <t>IRMALUCERO.CID.CASTRO@BBVA.COM</t>
  </si>
  <si>
    <t>MIXTECATL CASTRO CHRISTIAN</t>
  </si>
  <si>
    <t>MB75146</t>
  </si>
  <si>
    <t>CHRISTIAN.MIXTECATL@BBVA.COM</t>
  </si>
  <si>
    <t>ROSAS AVENDANO PEDRO GUADALUPE</t>
  </si>
  <si>
    <t>MB75188</t>
  </si>
  <si>
    <t>PEDROGUADALUPE.ROSAS@BBVA.COM</t>
  </si>
  <si>
    <t>CASTILLO GUTIERREZ CESAR OMAR</t>
  </si>
  <si>
    <t>mb75432</t>
  </si>
  <si>
    <t>cesaromar.castillo@bbva.com</t>
  </si>
  <si>
    <t>PATLAN MARTINEZ JOADA ANDREA</t>
  </si>
  <si>
    <t>MB75147</t>
  </si>
  <si>
    <t>JOADAANDREA.PATLAN@BBVA.COM</t>
  </si>
  <si>
    <t>RUIZ CHAVEZ ALEJANDRA</t>
  </si>
  <si>
    <t>MB75177</t>
  </si>
  <si>
    <t>ALEJANDRA.RUIZ.CHAVEZ@BBVA.COM</t>
  </si>
  <si>
    <t>GUERRERO FUENTES EFRAIN</t>
  </si>
  <si>
    <t>MB75185</t>
  </si>
  <si>
    <t>EFRAIN.GUERRERO@BBVA.COM</t>
  </si>
  <si>
    <t>NAVA HERNANDEZ CARLOS ALBERTO</t>
  </si>
  <si>
    <t>MB75161</t>
  </si>
  <si>
    <t>CARLOSALBERTO.NAVA@BBVA.COM</t>
  </si>
  <si>
    <t>LUNA CRUZ ALBERTO</t>
  </si>
  <si>
    <t>MB75176</t>
  </si>
  <si>
    <t>ALBERTO.LUNA@BBVA.COM</t>
  </si>
  <si>
    <t>MONTERO REYNA LUIS ALFREDO</t>
  </si>
  <si>
    <t>MB75148</t>
  </si>
  <si>
    <t>LUISALFREDO.MONTERO@BBVA.COM</t>
  </si>
  <si>
    <t>MONTANEZ ARCE MIGUEL ANGEL</t>
  </si>
  <si>
    <t>M40230</t>
  </si>
  <si>
    <t>MIGUEL.MONTANEZ@BBVA.COM</t>
  </si>
  <si>
    <t>CAZARES MANZANO BRENDA</t>
  </si>
  <si>
    <t>MB75156</t>
  </si>
  <si>
    <t>BRENDA.CAZARES@BBVA.COM</t>
  </si>
  <si>
    <t>SORIANO SORIANO CHRISTOPHER PAUL</t>
  </si>
  <si>
    <t>mb75433</t>
  </si>
  <si>
    <t>christopherpaul.soriano@bbva.com</t>
  </si>
  <si>
    <t>GARCIA MERIDA YARELI GUADALUPE</t>
  </si>
  <si>
    <t>MB75159</t>
  </si>
  <si>
    <t>YARELIGUADALUPE.GARCIA@BBVA.COM</t>
  </si>
  <si>
    <t>VALENCIA GONZALEZ MARIO ALBERTO</t>
  </si>
  <si>
    <t>mb75434</t>
  </si>
  <si>
    <t>marioalberto.valencia@bbva.com</t>
  </si>
  <si>
    <t>GOMEZ PEREZ MARIA LETICIA</t>
  </si>
  <si>
    <t>M39647</t>
  </si>
  <si>
    <t>ML.GOMEZ@BBVA.COM</t>
  </si>
  <si>
    <t>RODRIGUEZ INCAPIE CARLOS ALBERTO</t>
  </si>
  <si>
    <t>M8432</t>
  </si>
  <si>
    <t>CA.RODRIGUEZ@BBVA.COM</t>
  </si>
  <si>
    <t>LOPEZ GALEANA SERGIO</t>
  </si>
  <si>
    <t>M812345</t>
  </si>
  <si>
    <t>SERGIO.LOPEZ@BBVA.COM</t>
  </si>
  <si>
    <t>OROPEZA ISLAS MARIA ALEJANDRA</t>
  </si>
  <si>
    <t>M6368</t>
  </si>
  <si>
    <t>MARIAALEJANDRA.OROPEZA@BBVA.COM</t>
  </si>
  <si>
    <t>MERLIN ROMERO MARIA ISABEL</t>
  </si>
  <si>
    <t>MH03159</t>
  </si>
  <si>
    <t>MARIAISABEL.MERLIN@BBVA.COM</t>
  </si>
  <si>
    <t>CANALES MARTINEZ ARELI IVONNE</t>
  </si>
  <si>
    <t>MB61007</t>
  </si>
  <si>
    <t>ARELIIVONNE.CANALES@BBVA.COM</t>
  </si>
  <si>
    <t>REYES ISLAS MARCO ANTONIO</t>
  </si>
  <si>
    <t>MB55505</t>
  </si>
  <si>
    <t>MARCOANTONIO.REYES@BBVA.COM</t>
  </si>
  <si>
    <t>MORENO GUERRERO IRMA</t>
  </si>
  <si>
    <t>M37537</t>
  </si>
  <si>
    <t>I.MORENO2@BBVA.COM</t>
  </si>
  <si>
    <t>ORTIZ MARISCAL SERGIO ALFREDO</t>
  </si>
  <si>
    <t>M35536</t>
  </si>
  <si>
    <t>SERGIO.ORTIZ@BBVA.COM</t>
  </si>
  <si>
    <t>HERNANDEZ CONTRERAS MANUEL ALEJANDRO</t>
  </si>
  <si>
    <t>MB45964</t>
  </si>
  <si>
    <t>MA.HERNANDEZ.CONTRERAS@BBVA.COM</t>
  </si>
  <si>
    <t>ALARCON ALARCON IRASEMA</t>
  </si>
  <si>
    <t>M57577</t>
  </si>
  <si>
    <t>IRASEMA.ALARCON@BBVA.COM</t>
  </si>
  <si>
    <t>VARGAS TEJEDA IRMA ANGELICA</t>
  </si>
  <si>
    <t>MB60771</t>
  </si>
  <si>
    <t>IRMAANGELICA.VARGAS.TEJEDA@BBVA.COM</t>
  </si>
  <si>
    <t>PINEDA ROMERO MARIA DEL CARMEN</t>
  </si>
  <si>
    <t>M35817</t>
  </si>
  <si>
    <t>MARIADELCARMEN.PINEDA@BBVA.COM</t>
  </si>
  <si>
    <t>DEL RIO ORTIZ ARTURO</t>
  </si>
  <si>
    <t>MB72790</t>
  </si>
  <si>
    <t>arturo.delrio@bbva.com</t>
  </si>
  <si>
    <t>BAUTISTA ROMERO MARCO ANTONIO</t>
  </si>
  <si>
    <t>MARCO.BAUTISTA@BBVA.COM</t>
  </si>
  <si>
    <t>CHAINE ANGULO CARLOS AXEL</t>
  </si>
  <si>
    <t>MH03285</t>
  </si>
  <si>
    <t>AXEL.CHAINE@BBVA.COM</t>
  </si>
  <si>
    <t>AYALA SORIANO MARIO GERMAN</t>
  </si>
  <si>
    <t>MH03267</t>
  </si>
  <si>
    <t>MARIO.AYALA@BBVA.COM</t>
  </si>
  <si>
    <t>MORALES RAMIREZ DANIEL</t>
  </si>
  <si>
    <t>MB47536</t>
  </si>
  <si>
    <t>DANIEL.MORALES.RAMIREZ@BBVA.COM</t>
  </si>
  <si>
    <t>RAMIREZ BAUTISTA ROSA ESTHER</t>
  </si>
  <si>
    <t>MB65473</t>
  </si>
  <si>
    <t>ROSAESTHER.RAMIREZ.BAUTISTA@BBVA.COM</t>
  </si>
  <si>
    <t>VEGA RANGEL IRIS ANAHI</t>
  </si>
  <si>
    <t>MB74085</t>
  </si>
  <si>
    <t>IRISANAHI.VEGA@BBVA.COM</t>
  </si>
  <si>
    <t>RIOS GUTIERREZ LILIANA</t>
  </si>
  <si>
    <t>MH03291</t>
  </si>
  <si>
    <t>L.RIOSG@BBVA.COM</t>
  </si>
  <si>
    <t>NAVA MEDINA MONICA</t>
  </si>
  <si>
    <t>MH02762</t>
  </si>
  <si>
    <t>MONICA.NAVA@BBVA.COM</t>
  </si>
  <si>
    <t>VEGA ALDAMA ADRIANA</t>
  </si>
  <si>
    <t>MB80282</t>
  </si>
  <si>
    <t>ADRIANA.VEGA@BBVA.COM</t>
  </si>
  <si>
    <t>ARREOLA MONTIEL JUAN CARLOS</t>
  </si>
  <si>
    <t>mb74808</t>
  </si>
  <si>
    <t>juancarlos.arreola@bbva.com</t>
  </si>
  <si>
    <t>ALVAREZ JUAREZ CARLOS ARMANDO</t>
  </si>
  <si>
    <t>MB60752</t>
  </si>
  <si>
    <t>CARLOSARMANDO.ALVAREZ.JUAREZ@BBVA.COM</t>
  </si>
  <si>
    <t>AGUIRRE NIEVES YUNUEN</t>
  </si>
  <si>
    <t>MB60772</t>
  </si>
  <si>
    <t>YUNUEN.AGUIRRE.NIEVES@BBVA.COM</t>
  </si>
  <si>
    <t>CARRILLO CITALAN LUCIA JANE</t>
  </si>
  <si>
    <t>MB76925</t>
  </si>
  <si>
    <t>LUCIAJANE.CARRILLO@BBVA.COM</t>
  </si>
  <si>
    <t>TOVAR LASTIRI ALAN</t>
  </si>
  <si>
    <t>MB83656</t>
  </si>
  <si>
    <t>ALAN.TOVAR@BBVA.COM</t>
  </si>
  <si>
    <t>LOMELI MORA RUBEN</t>
  </si>
  <si>
    <t>MH00464</t>
  </si>
  <si>
    <t>RUBEN.LOMELI.MORA@BBVA.COM</t>
  </si>
  <si>
    <t>FAJARDO ALVA EDGAR</t>
  </si>
  <si>
    <t>MB47889</t>
  </si>
  <si>
    <t>EDGAR.FAJARDO@BBVA.COM</t>
  </si>
  <si>
    <t>OSORNIO CORREA GRISELDA ALICIA</t>
  </si>
  <si>
    <t>MH03407</t>
  </si>
  <si>
    <t>GRISELDA.OSORNIO@BBVA.COM</t>
  </si>
  <si>
    <t>CHAIRES HIDALGO MAGDALENA</t>
  </si>
  <si>
    <t>MH03823</t>
  </si>
  <si>
    <t>MAGDALENA.CHAIRES.1@BBVA.COM</t>
  </si>
  <si>
    <t>GUDINO VALENCIA FEDERICO JESUS MIGUEL</t>
  </si>
  <si>
    <t>MB45019</t>
  </si>
  <si>
    <t>FEDERICOJESUSMIGUEL.GUDINO@BBVA.COM</t>
  </si>
  <si>
    <t>RENDON GARCIA LILIANA</t>
  </si>
  <si>
    <t>M76297</t>
  </si>
  <si>
    <t>L.RENDON@BBVA.COM</t>
  </si>
  <si>
    <t>MARTINEZ ROJAS JESUS</t>
  </si>
  <si>
    <t>M49447</t>
  </si>
  <si>
    <t>J.MARTINEZ14@BBVA.COM</t>
  </si>
  <si>
    <t>ARELLANO RAFAEL FRANCISCO JAVIER</t>
  </si>
  <si>
    <t>MH01147</t>
  </si>
  <si>
    <t>FRANCISCO.ARELLANO@BBVA.COM</t>
  </si>
  <si>
    <t>PEREZ GONZALEZ MIGUEL ANGEL</t>
  </si>
  <si>
    <t>MB61927</t>
  </si>
  <si>
    <t>MIGUELANGEL.PEREZ.GONZALEZ@BBVA.COM</t>
  </si>
  <si>
    <t>GALLEGOS VEGA ETNA ITZU</t>
  </si>
  <si>
    <t>MH03559</t>
  </si>
  <si>
    <t>ETNA.GALLEGOS@BBVA.COM</t>
  </si>
  <si>
    <t>MARENTES FLORES MARIO IVAN</t>
  </si>
  <si>
    <t>MB38441</t>
  </si>
  <si>
    <t>MARIOIVAN.MARENTES@BBVA.COM</t>
  </si>
  <si>
    <t>CHAVEZ PEREZ GUSTAVO</t>
  </si>
  <si>
    <t>MB55445</t>
  </si>
  <si>
    <t>GUSTAVO.CHAVEZ@BBVA.COM</t>
  </si>
  <si>
    <t>POSADAS TELLEZ MARIA SILVIA</t>
  </si>
  <si>
    <t>M41822</t>
  </si>
  <si>
    <t>MARIASILVIA.POSADAS@BBVA.COM</t>
  </si>
  <si>
    <t>VENTURA RIVERA OSKAR MANUEL</t>
  </si>
  <si>
    <t>MH02892</t>
  </si>
  <si>
    <t>O.VENTURA@BBVA.COM</t>
  </si>
  <si>
    <t>MONTES DE OCA BARRON MARIA DE LOS ANGELES</t>
  </si>
  <si>
    <t>MH03843</t>
  </si>
  <si>
    <t>MARIADELOSANGELES.MONTESDEOCA@BBVA.COM</t>
  </si>
  <si>
    <t>GONZALEZ ALVAREZ YOLANDA</t>
  </si>
  <si>
    <t>M6113</t>
  </si>
  <si>
    <t>YOLANDA.GONZALEZA@BBVA.COM</t>
  </si>
  <si>
    <t>HUERTA VALTIERRA LUIS ALEJANDRO</t>
  </si>
  <si>
    <t>MB71662</t>
  </si>
  <si>
    <t>LUISALEJANDRO.HUERTA@BBVA.COM</t>
  </si>
  <si>
    <t>JUAREZ MORALES ANA GABRIELA</t>
  </si>
  <si>
    <t>MB71001</t>
  </si>
  <si>
    <t>anagabriela.juarez@bbva.com</t>
  </si>
  <si>
    <t>CASTILLO HERNANDEZ VICTORIA</t>
  </si>
  <si>
    <t>MB47345</t>
  </si>
  <si>
    <t>VICTORIA.CASTILLO.HERNANDEZ@BBVA.COM</t>
  </si>
  <si>
    <t>CANCHOLA OCHOA BRENDA ESTELA</t>
  </si>
  <si>
    <t>MB76684</t>
  </si>
  <si>
    <t>BRENDAESTELA.CANCHOLA@BBVA.COM</t>
  </si>
  <si>
    <t>BELTRAN NIETO JOSE ANTONIO</t>
  </si>
  <si>
    <t>MB83295</t>
  </si>
  <si>
    <t>JOSEANTONIO.BELTRAN.NIETO@BBVA.COM</t>
  </si>
  <si>
    <t>ARTEAGA SANTOS ABRAHAM ARTURO</t>
  </si>
  <si>
    <t>MB72771</t>
  </si>
  <si>
    <t>abrahamarturo.arteaga@bbva.com</t>
  </si>
  <si>
    <t>CERVANTES EUROZA JENNIFER VANESSA</t>
  </si>
  <si>
    <t>MB70035</t>
  </si>
  <si>
    <t>JENNIFERVANESSA.CERVANTES@BBVA.COM</t>
  </si>
  <si>
    <t>VILLALPANDO BLAS ERIK EDUARDO</t>
  </si>
  <si>
    <t>MH02965</t>
  </si>
  <si>
    <t>EE.VILLALPANDO@BBVA.COM</t>
  </si>
  <si>
    <t>MORALES ALVARADO JOSE</t>
  </si>
  <si>
    <t>MB13320</t>
  </si>
  <si>
    <t>JOSE.MORALES@BBVA.COM</t>
  </si>
  <si>
    <t>ZAPATA CAMACHO JOSE ERNESTO</t>
  </si>
  <si>
    <t>MH03322</t>
  </si>
  <si>
    <t>JOSE.ZAPATA@BBVA.COM</t>
  </si>
  <si>
    <t>FARRERA RODRIGUEZ LUIS DANIEL</t>
  </si>
  <si>
    <t>MB76927</t>
  </si>
  <si>
    <t>LUISDANIEL.FARRERA@BBVA.COM</t>
  </si>
  <si>
    <t>MOLINA JIMENEZ OSCAR</t>
  </si>
  <si>
    <t>MB55365</t>
  </si>
  <si>
    <t>OSCAR.MOLINA@BBVA.COM</t>
  </si>
  <si>
    <t>PARENT MARTINEZ DAVID</t>
  </si>
  <si>
    <t>MB41524</t>
  </si>
  <si>
    <t>david.parent@bbva.com</t>
  </si>
  <si>
    <t>UVENCE CHAIRES RICARDO</t>
  </si>
  <si>
    <t>MB60559</t>
  </si>
  <si>
    <t>RICARDO.UVENCE@BBVA.COM</t>
  </si>
  <si>
    <t>SEANEZ BELTRAN ALEJANDRO</t>
  </si>
  <si>
    <t>MH00902</t>
  </si>
  <si>
    <t>A.SEANEZ@BBVA.COM</t>
  </si>
  <si>
    <t>TREJO ESCUADRA ISRAEL ANTONIO</t>
  </si>
  <si>
    <t>MB72706</t>
  </si>
  <si>
    <t>israelantonio.trejo@bbva.com</t>
  </si>
  <si>
    <t>MORA ALVAREZ ANTONIO BISMARCK</t>
  </si>
  <si>
    <t>MH02408</t>
  </si>
  <si>
    <t>ANTONIOBISMA.MORA@BBVA.COM</t>
  </si>
  <si>
    <t>CARRERA SOTO GABRIEL</t>
  </si>
  <si>
    <t>MH01583</t>
  </si>
  <si>
    <t>GABRIEL.CARRERA@BBVA.COM</t>
  </si>
  <si>
    <t>MEDINA FLORES JUAN ANTONIO</t>
  </si>
  <si>
    <t>MH01422</t>
  </si>
  <si>
    <t>J.MEDINA2@BBVA.COM</t>
  </si>
  <si>
    <t>MARTINEZ MARTINEZ JESUS NOEL</t>
  </si>
  <si>
    <t>MH03568</t>
  </si>
  <si>
    <t>JESUS.MARTINEZ@BBVA.COM</t>
  </si>
  <si>
    <t>AVELINO TOLEDO VICTOR HUGO</t>
  </si>
  <si>
    <t>MH01145</t>
  </si>
  <si>
    <t>VICTOR.AVELINO@BBVA.COM</t>
  </si>
  <si>
    <t>MARCIAL JIMENEZ LUCILA ESTRELLA</t>
  </si>
  <si>
    <t>MH02021</t>
  </si>
  <si>
    <t>LUCILA.MARCIAL@BBVA.COM</t>
  </si>
  <si>
    <t>AGUIRRE LOPEZ JUAN NICANOR JOSE</t>
  </si>
  <si>
    <t>MB65282</t>
  </si>
  <si>
    <t>JUANNICANORJOSE.AGUIRRE@BBVA.COM</t>
  </si>
  <si>
    <t>ZAMUDIO BLASQUEZ LUIS MANUEL</t>
  </si>
  <si>
    <t>MB50500</t>
  </si>
  <si>
    <t>LUISMANUEL.ZAMUDIO@BBVA.COM</t>
  </si>
  <si>
    <t>CORONA TEPETLA HECTOR</t>
  </si>
  <si>
    <t>MH02856</t>
  </si>
  <si>
    <t>HECTOR.CORONA@BBVA.COM</t>
  </si>
  <si>
    <t>BAUTISTA CORONA ANGEL</t>
  </si>
  <si>
    <t>MH02502</t>
  </si>
  <si>
    <t>ANGEL.BAUTISTA@BBVA.COM</t>
  </si>
  <si>
    <t>ALVAREZ COLUNGA MIGUEL ANGEL</t>
  </si>
  <si>
    <t>MH01727</t>
  </si>
  <si>
    <t>M.ALVAREZC@BBVA.COM</t>
  </si>
  <si>
    <t>FLORES MORALES NANCY GUADALUPE</t>
  </si>
  <si>
    <t>MH03113</t>
  </si>
  <si>
    <t>N.FLORES@BBVA.COM</t>
  </si>
  <si>
    <t>PONCE COLORADO JOSE ENRIQUE</t>
  </si>
  <si>
    <t>MB38417</t>
  </si>
  <si>
    <t>JOSEENRIQUE.PONCE@BBVA.COM</t>
  </si>
  <si>
    <t>NAJERA NEVAREZ FRANCISCO ARTURO</t>
  </si>
  <si>
    <t>MH02110</t>
  </si>
  <si>
    <t>F.NAJERA@BBVA.COM</t>
  </si>
  <si>
    <t>CARRILLO RUVALCABA JOSE EDUARDO</t>
  </si>
  <si>
    <t>MH00112</t>
  </si>
  <si>
    <t>E.CARRILLO@BBVA.COM</t>
  </si>
  <si>
    <t>VARGAS AVALOS XAVIER ARMANDO</t>
  </si>
  <si>
    <t>MB09532</t>
  </si>
  <si>
    <t>XAVIER.VARGAS@BBVA.COM</t>
  </si>
  <si>
    <t>GARCIA GALVAN ROSA ALEJANDRA</t>
  </si>
  <si>
    <t>MH02830</t>
  </si>
  <si>
    <t>R.GARCIA3@BBVA.COM</t>
  </si>
  <si>
    <t>MELGAREJO RAMOS FELIPE ISRAEL</t>
  </si>
  <si>
    <t>MB46878</t>
  </si>
  <si>
    <t>FELIPEISRAEL.MELGAREJO@BBVA.COM</t>
  </si>
  <si>
    <t>RIVERA LOPEZ ADAN EDGARDO</t>
  </si>
  <si>
    <t>MH01391</t>
  </si>
  <si>
    <t>ADAN.RIVERA@BBVA.COM</t>
  </si>
  <si>
    <t>CAMACHO SALAZAR JAVIER</t>
  </si>
  <si>
    <t>MH01302</t>
  </si>
  <si>
    <t>JAVIER.CAMACHO@BBVA.COM</t>
  </si>
  <si>
    <t>OLEA HERNANDEZ REYNA ISABEL</t>
  </si>
  <si>
    <t>MH03483</t>
  </si>
  <si>
    <t>REYNA.OLEA@BBVA.COM</t>
  </si>
  <si>
    <t>LOPEZ VALENZUELA JOSE MIGUEL</t>
  </si>
  <si>
    <t>MH02849</t>
  </si>
  <si>
    <t>JOSEMIGUEL.LOPEZ@BBVA.COM</t>
  </si>
  <si>
    <t>ESCALANTE APODACA EMMANUEL</t>
  </si>
  <si>
    <t>MB09439</t>
  </si>
  <si>
    <t>EMMANUEL.ESCALANTE@BBVA.COM</t>
  </si>
  <si>
    <t>CORELLA FIGUEROA JUAN MANUEL</t>
  </si>
  <si>
    <t>MB72141</t>
  </si>
  <si>
    <t>juanmanuel.corella@bbva.com</t>
  </si>
  <si>
    <t>MOSS CASTRO EDGAR</t>
  </si>
  <si>
    <t>MB71528</t>
  </si>
  <si>
    <t>EDGAR.MOSS@BBVA.COM</t>
  </si>
  <si>
    <t>URIZA ALARID AXEL</t>
  </si>
  <si>
    <t>MH02544</t>
  </si>
  <si>
    <t>A.URIZA@BBVA.COM</t>
  </si>
  <si>
    <t>CABRERA DAVILA CONCEPCION GABRIELA</t>
  </si>
  <si>
    <t>MH01600</t>
  </si>
  <si>
    <t>GABRIELA.CABRERA@BBVA.COM</t>
  </si>
  <si>
    <t>CHI AGUILAR LUIS JESUS</t>
  </si>
  <si>
    <t>MB64813</t>
  </si>
  <si>
    <t>LUISJESUS.CHI@BBVA.COM</t>
  </si>
  <si>
    <t>DOMINGUEZ CRUZ JOSE JOAQUIN</t>
  </si>
  <si>
    <t>MB60751</t>
  </si>
  <si>
    <t>JOSEJOAQUIN.DOMINGUEZ@BBVA.COM</t>
  </si>
  <si>
    <t>MARTINEZ GUILLEN HEYBERT ALEXANDER</t>
  </si>
  <si>
    <t>MB81004</t>
  </si>
  <si>
    <t>HEYBERTALEXANDER.MARTINZ@BBVA.COM</t>
  </si>
  <si>
    <t>GODINEZ ESTRADA EDGAR FRANCISCO</t>
  </si>
  <si>
    <t>MH02835</t>
  </si>
  <si>
    <t>E.GODINEZE@BBVA.COM</t>
  </si>
  <si>
    <t>MONTENEGRO JURADO MONICA MARIA</t>
  </si>
  <si>
    <t>M.MONTENEGRO@BBVA.COM</t>
  </si>
  <si>
    <t>MARTINEZ AYALA CARLOS ERNESTO</t>
  </si>
  <si>
    <t>CE.MARTINEZ1@BBVA.COM</t>
  </si>
  <si>
    <t>HUERTA ORTEGA MISAEL</t>
  </si>
  <si>
    <t>MB63549</t>
  </si>
  <si>
    <t>MISAEL.HUERTA@BBVA.COM</t>
  </si>
  <si>
    <t>CRUZ LONA EDUARDO ALFONSO</t>
  </si>
  <si>
    <t>M53702</t>
  </si>
  <si>
    <t>EDUARDO.CRUZ.1@BBVA.COM</t>
  </si>
  <si>
    <t>SANTILLAN ALVAREZ LUIS MANUEL</t>
  </si>
  <si>
    <t>MB55688</t>
  </si>
  <si>
    <t>LUISMANUEL.SANTILLAN@BBVA.COM</t>
  </si>
  <si>
    <t>RAMIREZ RIVAS MONICA VALERIA</t>
  </si>
  <si>
    <t>M843953</t>
  </si>
  <si>
    <t>MONICA.RAMIREZ.1@BBVA.COM</t>
  </si>
  <si>
    <t>ESQUIVEL HERNANDEZ LOURDES YANINE</t>
  </si>
  <si>
    <t>MB70033</t>
  </si>
  <si>
    <t>LOURDESYANINE.ESQUIVEL@BBVA.COM</t>
  </si>
  <si>
    <t>HERDEZ GONZALEZ AHIEZER</t>
  </si>
  <si>
    <t>MB35959</t>
  </si>
  <si>
    <t>AHIEZER.HERDEZ@BBVA.COM</t>
  </si>
  <si>
    <t>ARRIAGA HERNANDEZ GUILLERMINA</t>
  </si>
  <si>
    <t>M912801</t>
  </si>
  <si>
    <t>GUILLERMINA.ARRIAGA@BBVA.COM</t>
  </si>
  <si>
    <t>BECERRIL REYES ADRIAN</t>
  </si>
  <si>
    <t>M817346</t>
  </si>
  <si>
    <t>A.BECERRIL1@BBVA.COM</t>
  </si>
  <si>
    <t>GRANADOS ZAMORA ISAAC JACOB</t>
  </si>
  <si>
    <t>M40434</t>
  </si>
  <si>
    <t>IE.NARVAEZ@BBVA.COM</t>
  </si>
  <si>
    <t>ALVAREZ DEL CASTILLO MONTOYA DIEGO ANUAR</t>
  </si>
  <si>
    <t>M839469</t>
  </si>
  <si>
    <t>D.ALVAREZDELC@BBVA.COM</t>
  </si>
  <si>
    <t>GARCIA HERNANDEZ JOSE ILDEFONSO</t>
  </si>
  <si>
    <t>M910660</t>
  </si>
  <si>
    <t>JOSEILDEFONSO.GARCIA@BBVA.COM</t>
  </si>
  <si>
    <t>SAAVEDRA PEREZ NORMA PATRICIA</t>
  </si>
  <si>
    <t>M5999</t>
  </si>
  <si>
    <t>NORMA.SAAVEDRA@BBVA.COM</t>
  </si>
  <si>
    <t>DE LA TORRE DESENTIS LILIANA</t>
  </si>
  <si>
    <t>M825234</t>
  </si>
  <si>
    <t>L.DELATORRE@BBVA.COM</t>
  </si>
  <si>
    <t>TORRES VIDALES FERNANDO GILBERTO</t>
  </si>
  <si>
    <t>M57836</t>
  </si>
  <si>
    <t>F.TORRES5@BBVA.COM</t>
  </si>
  <si>
    <t>BERNAL GUTIERREZ DAPHNE AMELIA</t>
  </si>
  <si>
    <t>M905321</t>
  </si>
  <si>
    <t>DAPHNE.BERNAL@BBVA.COM</t>
  </si>
  <si>
    <t>CAZARES QUIROZ GUILLERMO</t>
  </si>
  <si>
    <t>M821588</t>
  </si>
  <si>
    <t>GUILLERMO.CAZARES@BBVA.COM</t>
  </si>
  <si>
    <t>topico</t>
  </si>
  <si>
    <t>tema</t>
  </si>
  <si>
    <t>pregunta</t>
  </si>
  <si>
    <t>opcion_1</t>
  </si>
  <si>
    <t>retro_bien</t>
  </si>
  <si>
    <t>retro_mal</t>
  </si>
  <si>
    <t>tipo</t>
  </si>
  <si>
    <t>correcta</t>
  </si>
  <si>
    <t>opcion_2</t>
  </si>
  <si>
    <t>opcion_3</t>
  </si>
  <si>
    <t>opcion_4</t>
  </si>
  <si>
    <t>opcion_5</t>
  </si>
  <si>
    <t>opcion_6</t>
  </si>
  <si>
    <t>bd_preguntas</t>
  </si>
  <si>
    <t>opcion_multiple</t>
  </si>
  <si>
    <t>tema1</t>
  </si>
  <si>
    <t>videoclip</t>
  </si>
  <si>
    <t>tema2</t>
  </si>
  <si>
    <t>Conocer</t>
  </si>
  <si>
    <t>tema3</t>
  </si>
  <si>
    <t>Comprender1y2</t>
  </si>
  <si>
    <t>Conectar</t>
  </si>
  <si>
    <t>tema4</t>
  </si>
  <si>
    <t>tema5</t>
  </si>
  <si>
    <t>Concretar</t>
  </si>
  <si>
    <t>falso_verdadero</t>
  </si>
  <si>
    <t>1. Investigo el negocio, 2. Identifico los objetivos de negocio del prospecto, 3. Investigo el impacto financiero, 4. Selecciono nuestros diferenciadores</t>
  </si>
  <si>
    <t>1. Identifico los objetivos de negocio del prospecto, 2. Investigo el impacto financiero, 3. Investigo el negocio y la solución, 4. Selecciono nuestros diferenciadores</t>
  </si>
  <si>
    <t>1. Selecciono nuestros diferenciadores, 2. Investigo el impacto financiero, 3. Investigo el negocio y la solución, 4. Selecciono los objetivos del prospecto</t>
  </si>
  <si>
    <t>1. Investigo el impacto financiero, 2. Selecciono los objetivos del prospecto, 3. Selecciono nuestros diferenciadores, 4. Investigo el negocio y la solución</t>
  </si>
  <si>
    <t>COMMET nos permitirá lograr que nuestros clientes dejen de vernos como proveedores de servicios y nos vean como…</t>
  </si>
  <si>
    <t>¿Cuál de la siguientes, no es una de las fases de COMMET?</t>
  </si>
  <si>
    <t>¿Qué es COMMET?</t>
  </si>
  <si>
    <t>Son algunos criterios para calificar la oportunidad de nuestros prospectos...</t>
  </si>
  <si>
    <t>Visitaste la página web de la empresa con la que quieres hablar de negocios y obtuviste información sobre su cultura y filosofía organizacional, ¿a qué dimensión de la información corresponden estos datos?</t>
  </si>
  <si>
    <t>Alejandro Morales es una persona muy reconocida dentro de la organización con la que quieres conectar, a pesar de sus múltiples responsabilidades, siempre tiene tiempo para escucharte y orientarte; gracias a él has conseguido información muy valiosa, ¿qué tipo de jugador es?</t>
  </si>
  <si>
    <t>Es la fase de COMMET donde tienes la misión de investigar profundamente a tu prospecto y analizar las maneras en que existe alineacion entre ambas compañías.</t>
  </si>
  <si>
    <t>Para comprender mejor a tu prospecto, has decidido realizar visitas a sus instalaciones y obtener información interna, pero también has obtenido datos públicos de gran utilidad. Además de esta información, has podido observar e interpretar datos que solo conseguiste a través del análisis que lograste, ¿qué tipo de información es?</t>
  </si>
  <si>
    <t>En tu investigación hacia una compañía en particular has identificado a Adrián Ramírez, él normalmente establece la prioridad de los proyectos internos, tiene una visión hacia el futuro y tiende a enfocarse en el valor del los negocios más que en sus costos. Has intentado localizarlo para entrevistarte con él pero es de difícil acceso, ¿qué rol crees que puede tener él en tu proceso?</t>
  </si>
  <si>
    <t>Propone un producto o servicio para atender las características particulares y necesidades del cliente con el que Solistica hace negocios a corto plazo.</t>
  </si>
  <si>
    <t>¿Qué descripción define mejor una reunión de exploración?</t>
  </si>
  <si>
    <t>Entraste a un proceso de licitación para crear una relación con un cliente muy importante. Tu estrategia de participación en estos procesos debe basarse en tu capacidad para asumir riesgos y atreverte a apostar todo tu trabajo y esfuerzo invertido aún existiendo altas posibilidades de perder la licitación.</t>
  </si>
  <si>
    <t>El Tomador de Decisiones se caracteriza, entre otras cosas, por:</t>
  </si>
  <si>
    <t>En la presentación, hay un elemento propio de ti que debes de cuidar para transmitir el mensaje correcto, ¿cuál es?</t>
  </si>
  <si>
    <t>¿Cuál es el flujo para la estructura de una presentación COMMET?</t>
  </si>
  <si>
    <t>Para clasificar nuestra cartera de clientes.</t>
  </si>
  <si>
    <t>Es el momento más importante del proceso. Es cuando te presentas ante el Tomador de Decisiones para presentarle tu propuesta de valor.</t>
  </si>
  <si>
    <t>Tener el presupuesto e interés para comprar valor, puede decir que "sí" cuando todos dicen que "no" y viceversa, raramente acepta ser quien tiene la última palabra y es difícil de impresionar.</t>
  </si>
  <si>
    <t>Tener el presupuesto e interés para comprar valor, puede decir que "sí" cuando todos dicen que "no" y decir que "no" cuando los demás dicen "sí", raramente acepta ser quien toma las decisiones y es difícil de impresionar.</t>
  </si>
  <si>
    <t>Una metodología comercial que nos ofrece herramientas y técnicas para posicionarnos como generadores de valor ante nuestros clientes para gestionar nuevas oportunidades y crear relaciones de negocio a largo plazo.</t>
  </si>
  <si>
    <t>Hacer citas con todos los Leads para saber qué puedes ofrecerles.</t>
  </si>
  <si>
    <t>Es el primer contacto que haces con la compañía del prospecto para tener acceso a sus colaboradores e información que te permita iniciar tu investigación.</t>
  </si>
  <si>
    <t>Restringir tu acceso a la compañía, bloquear tu estrategia de venta y limitar tu efectividad.</t>
  </si>
  <si>
    <t>Restringir tu acceso a la compañía, bloquear tu estrategia de venta y limitar tu efectividad, puede ser una persona o proceso.</t>
  </si>
  <si>
    <t>Es la fase del proceso comercial que busca entender a detalle el negocio de nuestros clientes, sus objetivos, estrategias y los retos que enfrenta.</t>
  </si>
  <si>
    <t>Estudiar sus páginas web para ver si hay oportunidad de negocio.</t>
  </si>
  <si>
    <t>Nos permite conocer los criterios que son importantes para vender nuestras soluciones.</t>
  </si>
  <si>
    <t>Ayudar a darle dirección a las ideas, tiene disposición para apoyar en el desarrollo de la estrategia de negocio y proporciona información completa y confiable sobre la organización.</t>
  </si>
  <si>
    <t>Ayudar a darle dirección a las ideas, tiene disposición para apoyar en el desarrollo de la estrategia de negocio y proporciona información completa y confiable sobre la organización, posee credibilidad.</t>
  </si>
  <si>
    <t>Es una herramienta para darnos visibilidad profesional ante nuestros clientes para la mejora de los servicios y el rediseño de nuestra estructura.</t>
  </si>
  <si>
    <t>Conocer su dirección y perfil del proceso logístico.</t>
  </si>
  <si>
    <t>Es una reunión que tienes con tu equipo de trabajo para calificar la oportunidad de tu prospecto y definir si existe posibilidad de crear una alineación entre ambas compañías.</t>
  </si>
  <si>
    <t>Puede ser cualquier persona. Son aquellas que no necesariamente participarán o apoyarán en el proceso comercial.</t>
  </si>
  <si>
    <t>¡Correcto! COMMET es una metodología que se compone de 4 fases y que nos ayuda a Conocer, Comprender, Conectar y Concretar mejores prospectos.</t>
  </si>
  <si>
    <t>¡Incorrecto! Las fases de COMMET responden a una metodología para Conocer, Comprender, Conectar y Concretar con mejores prospectos para crear más oportunidades de negocios.</t>
  </si>
  <si>
    <t>¡Incorrecto! Con COMMET queremos llevar a otro nivel la percepción de nuestros clientes para que nos vean como un recurso estratégico para su negocio.</t>
  </si>
  <si>
    <t>¡Correcto! Las cuatro fases son: Conocer, Comprender, Conectar y Concretar.</t>
  </si>
  <si>
    <t>¡Incorrecto! La fase que no corresponde a la metodología COMMET es "Seleccionar".</t>
  </si>
  <si>
    <t>Un proyecto estratégico integrado por seis líneas de negocios que buscan ejecutar la aspiración de Solistica.</t>
  </si>
  <si>
    <t>¡Correcto! COMMET es una metodología que nos ofrece las herramientas para que nuestros clientes nos perciban como un recurso estratégico y así gestionar nuevas oportunidades y crear relaciones a largo plazo.</t>
  </si>
  <si>
    <t>¡Incorrecto! COMMET es una metodología que nos ofrece las herramientas para que nuestros clientes nos perciban como un recurso estratégico y así gestionar nuevas oportunidades y crear relaciones a largo plazo.</t>
  </si>
  <si>
    <t>¡Incorrecto! Para estandarizar los procesos de calificación, es necesario apoyarse en la herramienta tecnológica que facilita este proceso: CRM.</t>
  </si>
  <si>
    <r>
      <t>¡Correcto! La venta social (</t>
    </r>
    <r>
      <rPr>
        <i/>
        <sz val="11"/>
        <color rgb="FF000000"/>
        <rFont val="Arial"/>
        <family val="2"/>
      </rPr>
      <t>Social Selling Index</t>
    </r>
    <r>
      <rPr>
        <sz val="11"/>
        <color rgb="FF000000"/>
        <rFont val="Arial"/>
        <family val="2"/>
      </rPr>
      <t>) es una medida que incrementa tu visibilidad profesional en LinkedIn para atraer un público específico y fomentar tu percepción del cliente como generador de valor.</t>
    </r>
  </si>
  <si>
    <t>¡Incorrecto! La medida para incrementar tu visibilidad profesional en LinkedIn es la venta social (Social Selling Index), ésta busca atraer a un público específico y fomentar tu percepción del cliente como generador de valor.</t>
  </si>
  <si>
    <t>Nos permite seleccionar solo aquellos prospectos con los que sabemos que podemos tener altos margenes de ganancia.</t>
  </si>
  <si>
    <t>¡Correcto! Calificar la oportunidad de nuestros prospectos nos permite optimizar nuestros esfuerzos con clientes que tienen potencial para crear valor.</t>
  </si>
  <si>
    <t>¡Incorrecto! Calificar la oportunidad de nuestros prospectos nos permite saber si existe el potencial para crear valor al trabajar juntos.</t>
  </si>
  <si>
    <t>¿Por qué es importante calificar la oportunidad de nuestros prospectos?</t>
  </si>
  <si>
    <r>
      <t xml:space="preserve">¡Correcto! El valor de oportunidad, el </t>
    </r>
    <r>
      <rPr>
        <i/>
        <sz val="11"/>
        <color rgb="FF000000"/>
        <rFont val="Calibri"/>
        <family val="2"/>
      </rPr>
      <t>Business fit</t>
    </r>
    <r>
      <rPr>
        <sz val="11"/>
        <color rgb="FF000000"/>
        <rFont val="Calibri"/>
        <family val="2"/>
      </rPr>
      <t xml:space="preserve">, la calidad de la información, la influencia con el Tomador de Decisiones y la fuerza del </t>
    </r>
    <r>
      <rPr>
        <i/>
        <sz val="11"/>
        <color rgb="FF000000"/>
        <rFont val="Calibri"/>
        <family val="2"/>
      </rPr>
      <t>Gatekeeper</t>
    </r>
    <r>
      <rPr>
        <sz val="11"/>
        <color rgb="FF000000"/>
        <rFont val="Calibri"/>
        <family val="2"/>
      </rPr>
      <t xml:space="preserve"> son solo algunos de los criterios que nos permiten calificar la oportunidad de nuestros prospectos.</t>
    </r>
  </si>
  <si>
    <t>¡Incorrecto! Estos criterios no son considerados para calificar la oportunidad de nuestros prospectos.</t>
  </si>
  <si>
    <t>En una reunión en donde coincidieron, Mario Cruz te habló de la empresa en donde trabaja. Después de eso no lo has vuelto a ver, pero con el nombre de la empresa pudiste investigar más y descubriste que Solistica podría contribuir a su estrategia. ¿Qué tipo de jugador fue Mario?</t>
  </si>
  <si>
    <t>¡Incorrecto! Mario sólo ha sido un medio para conocer al posible cliente; sin embargo, no ha participado de ninguna otra manera en tu estrategia.</t>
  </si>
  <si>
    <t>¡Incorrecto! Esta dimensión requiere información más estratégica sobre el posible cliente, no aquella que se encuentra a la mano en sitios públicos y que la empresa muestra a manera general.</t>
  </si>
  <si>
    <r>
      <t xml:space="preserve">¡Correcto! Alejandro es un </t>
    </r>
    <r>
      <rPr>
        <i/>
        <sz val="11"/>
        <color rgb="FF000000"/>
        <rFont val="Calibri"/>
        <family val="2"/>
      </rPr>
      <t>Coach</t>
    </r>
    <r>
      <rPr>
        <sz val="11"/>
        <color rgb="FF000000"/>
        <rFont val="Calibri"/>
        <family val="2"/>
      </rPr>
      <t xml:space="preserve"> que facilita tu camino y el desarrollo de tu estrategia. ¡Él quiere verte ganar!</t>
    </r>
  </si>
  <si>
    <t>¡Incorrecto! Esta opción no habla de quien quiere verte ganar.</t>
  </si>
  <si>
    <t>¡Incorrecto! Esta fase no busca entender a profundidad el negocio del cliente.</t>
  </si>
  <si>
    <t>¡Correcto! Es la experiencia única que adquieres de la relación con personas dentro de la organización.</t>
  </si>
  <si>
    <t>¡Incorrecto! Esta información es valiosa, pero no es resultado de tu experiencia dentro de la organización.</t>
  </si>
  <si>
    <t>¡Correcto! Adrián es quien puede comprar lo que tú vendes: valor y, seguramente, apreciará tu comprensión de su negocio.</t>
  </si>
  <si>
    <t>¡Incorrecto! Adrián es quien compra valor y conoce la estrategia y situación actual de negocio.</t>
  </si>
  <si>
    <t>Has recopilado gran cantidad de información por varios medios, sin embargo, si no tiene un orden lógico es poco útil, ¿cuál es la herramienta que te puede ayudar a clasificarla y segmentarla?</t>
  </si>
  <si>
    <t>Después de una exhaustiva investigación e identificar los puntos de encuentro específicos en donde Solistica y tu cliente pueden crear valor, ¿qué herramienta utilizas para posicionar esta alineación?</t>
  </si>
  <si>
    <t>¡Incorrecto! Éste no es un documento enfocado en mostrar la relación a largo plazo que se puede establecer en conjunto.</t>
  </si>
  <si>
    <t>¡Incorrecto! Recuerda que el inicio siempre es comprender al cliente y elegir aquellos objetivos donde podemos sumar para después mostrar los diferenciadores que nos hacen la mejor opción.</t>
  </si>
  <si>
    <t>¡Incorrecto! El documento que buscas, habla de las opciones específicas que le puedes dar al cliente en el corto plazo.</t>
  </si>
  <si>
    <r>
      <t xml:space="preserve">¡Correcto! Estas sesiones son la oportunidad para validar tu entendimiento y aprovechar a tus </t>
    </r>
    <r>
      <rPr>
        <i/>
        <sz val="11"/>
        <color rgb="FF000000"/>
        <rFont val="Calibri"/>
        <family val="2"/>
      </rPr>
      <t>Coaches</t>
    </r>
    <r>
      <rPr>
        <sz val="11"/>
        <color rgb="FF000000"/>
        <rFont val="Calibri"/>
        <family val="2"/>
      </rPr>
      <t xml:space="preserve"> para obtener una ventaja ante la competencia.</t>
    </r>
  </si>
  <si>
    <r>
      <t xml:space="preserve">¡Incorrecto! Las juntas de exploración ocurren usualmente con tu </t>
    </r>
    <r>
      <rPr>
        <i/>
        <sz val="11"/>
        <color rgb="FF000000"/>
        <rFont val="Calibri"/>
        <family val="2"/>
      </rPr>
      <t>Coach</t>
    </r>
    <r>
      <rPr>
        <sz val="11"/>
        <color rgb="FF000000"/>
        <rFont val="Calibri"/>
        <family val="2"/>
      </rPr>
      <t xml:space="preserve"> para validar la información de tu investigación.</t>
    </r>
  </si>
  <si>
    <t>Alberto Soto es una persona con mucha credibilidad dentro de la organización que estás investigando, el CEO le tiene mucha confianza por sus acertados consejos. Cuando Alberto te escuchó, supo que eras de gran valor para el logro de sus objetivos y te consiguió una cita con el Tomador de Decisiones, ¿cómo se llama esta estrategia de acercamiento?</t>
  </si>
  <si>
    <t>¡Incorrecto! Recuerda que en esta estrategia requieres de un gran aliado que tenga fácil acceso al Tomador de Decisiones.</t>
  </si>
  <si>
    <t>¡Correcto! Tu estrategia de participación en estos procesos debe basarse en las posibilidades reales de éxito. No compitas si no puedes ganar. Aléjate si tienes altas probabilidades de perder.</t>
  </si>
  <si>
    <t>¡Incorrecto! Tu estrategia de participación en estos procesos debe basarse en las posibilidades reales de éxito. No compitas si tienes altas probabilidades de perder.</t>
  </si>
  <si>
    <t>¡Incorrecto! El Tomador de Decisiones, es quien tiene el presupuesto e interés para comprar valor, puede decir que "sí" cuando todos dicen que "no" y decir que "no" cuando los demás dicen "sí", raramente acepta ser quien toma las decisiones y es difícil de impresionar.</t>
  </si>
  <si>
    <t>¡Correcto! Además, puede tener intereses en una solución diferente a la tuya o de tipo personal y ser interno o externo a la compañía del cliente. Incluso podrías ser tú mismo.</t>
  </si>
  <si>
    <r>
      <t xml:space="preserve">¡Incorrecto! El </t>
    </r>
    <r>
      <rPr>
        <i/>
        <sz val="11"/>
        <color rgb="FF000000"/>
        <rFont val="Calibri"/>
        <family val="2"/>
      </rPr>
      <t>Gatekeeper</t>
    </r>
    <r>
      <rPr>
        <sz val="11"/>
        <color rgb="FF000000"/>
        <rFont val="Calibri"/>
        <family val="2"/>
      </rPr>
      <t>, se caracteriza por restringir tu acceso a la compañía, bloquear tu estrategia de venta y limitar tu efectividad, puede ser una persona o proceso, entre otras cosas.</t>
    </r>
  </si>
  <si>
    <t>¡Incorrecto! Esta parte de la presentación es importante; sin embargo, para convertirnos en un recurso estratégico deberemos primero demostrar nuestro conocimiento de su negocio y cómo trabajando juntos podemos crear valor.</t>
  </si>
  <si>
    <r>
      <t xml:space="preserve">¡Incorrecto! Durante el flujo de la presentación primero se expone nuestro entendimiento del negocio (Ellos), despues Solistica cómo un recurso estratégico que ponemos a disposición del cliente (Nosotros), posteriormente el </t>
    </r>
    <r>
      <rPr>
        <i/>
        <sz val="11"/>
        <color rgb="FF000000"/>
        <rFont val="Calibri"/>
        <family val="2"/>
      </rPr>
      <t>Business Fit</t>
    </r>
    <r>
      <rPr>
        <sz val="11"/>
        <color rgb="FF000000"/>
        <rFont val="Calibri"/>
        <family val="2"/>
      </rPr>
      <t xml:space="preserve"> que se encontró entre ambas compañías y finalmente los pasos de acción para empezar a trabajar juntos.</t>
    </r>
  </si>
  <si>
    <t>¡Incorrecto! Para que tu presentación sea todo un éxito, es muy importante que practiques lo suficiente para impactar y mostrar el gran valor que puedes agregar en el logro de los objetivos y estrategias del cliente.</t>
  </si>
  <si>
    <t>¡Correcto! El tono que utilices en cada fase de la presentación influye en el efecto que tiene tu mensaje, presta mucha atención a él.</t>
  </si>
  <si>
    <t>¡Incorrecto! Recuerda que tú eres el medio más poderoso para enviar el mensaje que deseas, tu voz y tus mismos gestos son tus herramientas más valiosas.</t>
  </si>
  <si>
    <t>¡Incorrecto! Ésta es una fase previa a tu presentación con el Tomador de Decisiones. Recuerda que tu contacto posterior para llevar a la acción los acuerdos es fundamental para afianzar la relación de negocio.</t>
  </si>
  <si>
    <t>¡Correcto! Este es el flujo correcto que te permitirá demostrar tu entendimiento del negocio del cliente y cómo a partir de éste has identificado una sólida alineación de negocios entre ambas compañías.</t>
  </si>
  <si>
    <t>¡Incorrecto! Recuerda que existe un flujo que responde al entendimiento que tienes sobre el negocio del cliente y con base en él es posible identificar la sólida alineación de negocios entre ambas compañías.</t>
  </si>
  <si>
    <r>
      <t xml:space="preserve">Has hecho contacto con empresas importantes, tú crees que pueden ser clientes potenciales para Solistica; sin embargo, sabes que antes de invertir tiempo con algunos </t>
    </r>
    <r>
      <rPr>
        <i/>
        <sz val="10"/>
        <color rgb="FF000000"/>
        <rFont val="Calibri"/>
        <family val="2"/>
      </rPr>
      <t>Leads</t>
    </r>
    <r>
      <rPr>
        <sz val="10"/>
        <color rgb="FF000000"/>
        <rFont val="Calibri"/>
        <family val="2"/>
      </rPr>
      <t>, debes calificarlos ¿cómo lo haces?</t>
    </r>
  </si>
  <si>
    <r>
      <t xml:space="preserve">Mateo Uribe es un vendedor que aprovecha las herramientas de las redes sociales para contactar y conocer a clientes potenciales, él te ha dicho que se ha posicionado mejor como un profesional con relación a su visibilidad de </t>
    </r>
    <r>
      <rPr>
        <i/>
        <sz val="10"/>
        <color rgb="FF000000"/>
        <rFont val="Calibri"/>
        <family val="2"/>
      </rPr>
      <t>LinkedIn</t>
    </r>
    <r>
      <rPr>
        <sz val="10"/>
        <color rgb="FF000000"/>
        <rFont val="Calibri"/>
        <family val="2"/>
      </rPr>
      <t>, ¿a través de qué medida crees que lo ha logrado?</t>
    </r>
  </si>
  <si>
    <r>
      <t xml:space="preserve">Te estás preparando para tener la reunión con el Tomador de Decisiones de un gran prospecto, para ello sabes lo importante que es contar con el </t>
    </r>
    <r>
      <rPr>
        <i/>
        <sz val="10"/>
        <color rgb="FF000000"/>
        <rFont val="Calibri"/>
        <family val="2"/>
      </rPr>
      <t>Business Fit</t>
    </r>
    <r>
      <rPr>
        <sz val="10"/>
        <color rgb="FF000000"/>
        <rFont val="Calibri"/>
        <family val="2"/>
      </rPr>
      <t>, ¿en qué orden realizas los pasos para elaborarlo?</t>
    </r>
  </si>
  <si>
    <r>
      <t xml:space="preserve">Alejandro Tovar, el CEO con quien te has reunido, quedó impresionado con el desarrollo de tu presentación, ahora tienes acuerdos para tener una sesión de trabajo con otras personas para llevar a la acción tu </t>
    </r>
    <r>
      <rPr>
        <i/>
        <sz val="10"/>
        <color rgb="FF000000"/>
        <rFont val="Calibri"/>
        <family val="2"/>
      </rPr>
      <t>Business Fit</t>
    </r>
    <r>
      <rPr>
        <sz val="10"/>
        <color rgb="FF000000"/>
        <rFont val="Calibri"/>
        <family val="2"/>
      </rPr>
      <t>, ¿a qué fase de la presentación corresponde esto?</t>
    </r>
  </si>
  <si>
    <t>¡Correcto! Esta metodología nos permitirá posicionarnos para que nuestros clientes dejen de vernos como proveedores de servicios y nos vean como un recurso estratégico para su negocio.</t>
  </si>
  <si>
    <t>¡Correcto! Además, es quien establece la prioridad de los proyectos, tiene expectativa muy altas de tu investigación y se enfoca en el futuro.</t>
  </si>
  <si>
    <t>¡Incorrecto! La matriz PORE es la que te ayudará a clasificar la información en cuatro cuadrantes: Perfil, Objetivos, Retos, Estrategias.</t>
  </si>
  <si>
    <t>¡Correcto! Esta matriz te ayudará a clasificar la información en cuatro cuadrantes: Perfil, Objetivos, Retos, Estrategias.</t>
  </si>
  <si>
    <t>¡Correcto! Esta es la herramienta tecnológica que nos ayuda a calificar y gestionar nuestros leads y oportunidades comerciales en Solistica.</t>
  </si>
  <si>
    <t>¡Correcto! Mario fue la persona que te permitió tener el primer contacto con la empresa.</t>
  </si>
  <si>
    <t>¡Correcto! Recuerda que esta primera dimensión te permite conocer la información general del prospecto, en ella se incluye la filosofía organizacional, el perfil, cultura, etc.</t>
  </si>
  <si>
    <t>¡Correcto! Comprender significa entender el negocio del prospecto, lo que te ayudará a encontrar puntos de alineación para crear una relación de negocios a largo plazo.</t>
  </si>
  <si>
    <r>
      <t xml:space="preserve">¡Correcto! El </t>
    </r>
    <r>
      <rPr>
        <i/>
        <sz val="11"/>
        <color rgb="FF000000"/>
        <rFont val="Calibri"/>
        <family val="2"/>
      </rPr>
      <t>Business Fit</t>
    </r>
    <r>
      <rPr>
        <sz val="11"/>
        <color rgb="FF000000"/>
        <rFont val="Calibri"/>
        <family val="2"/>
      </rPr>
      <t xml:space="preserve"> está enfocado en mostrar al prospecto la relación a largo plazo que pueden establecer para generar valor en conjunto.</t>
    </r>
  </si>
  <si>
    <t>¡Correcto! Éste es el camino correcto para encontrar los puntos de conversación con el cliente y mostrar cómo creamos valor al sumarnos a su estrategia.</t>
  </si>
  <si>
    <r>
      <t xml:space="preserve">¡Correcto! El </t>
    </r>
    <r>
      <rPr>
        <i/>
        <sz val="11"/>
        <color rgb="FF000000"/>
        <rFont val="Calibri"/>
        <family val="2"/>
      </rPr>
      <t>Solution Fit</t>
    </r>
    <r>
      <rPr>
        <sz val="11"/>
        <color rgb="FF000000"/>
        <rFont val="Calibri"/>
        <family val="2"/>
      </rPr>
      <t xml:space="preserve"> está enfocado en los servicios o productos, sus precios y cómo estos resuelven necesidades específicas a corto plazo.</t>
    </r>
  </si>
  <si>
    <r>
      <t xml:space="preserve">¡Correcto! Aprovechaste las habilidades de este </t>
    </r>
    <r>
      <rPr>
        <i/>
        <sz val="11"/>
        <color rgb="FF000000"/>
        <rFont val="Calibri"/>
        <family val="2"/>
      </rPr>
      <t>Coach</t>
    </r>
    <r>
      <rPr>
        <sz val="11"/>
        <color rgb="FF000000"/>
        <rFont val="Calibri"/>
        <family val="2"/>
      </rPr>
      <t xml:space="preserve"> para llegar fácilmente con el Tomador de Decisiones.</t>
    </r>
  </si>
  <si>
    <t>¡Correcto! El ensayo debe llevarse a cabo para asegurarte que el flujo de la presentación es correcto y tiene los mensajes adecuados para lograr que el Tomador de Decisiones comprenda el potencial del Business Fit que has encontrado entre su empresa y Solistica.</t>
  </si>
  <si>
    <t>¡Correcto! Lograste concretar y cerrar con compromisos de colaboración. Ahora comienza el seguimiento a la relación estratégica entre el cliente y Solistica.</t>
  </si>
  <si>
    <t>¿Cuáles son las fases que componen la metodología COMMET?</t>
  </si>
  <si>
    <t>Utilizando el CRM para conocer si existe oportunidad y potencial para crear relaciones a largo plazo.</t>
  </si>
  <si>
    <t>Nos permite saber si existe el potencial de crear valor para ambas compañías.</t>
  </si>
  <si>
    <t xml:space="preserve">Es una sesión donde te reúnes con un Coach para validar  y completar la información que obtuviste e interpretaste acerca de la compañía. </t>
  </si>
  <si>
    <r>
      <rPr>
        <i/>
        <sz val="10"/>
        <color rgb="FF000000"/>
        <rFont val="Calibri"/>
        <family val="2"/>
      </rPr>
      <t>El Gatekeeper</t>
    </r>
    <r>
      <rPr>
        <sz val="10"/>
        <color rgb="FF000000"/>
        <rFont val="Calibri"/>
        <family val="2"/>
      </rPr>
      <t xml:space="preserve"> se caracteriza, entre otras cosas, por:</t>
    </r>
  </si>
  <si>
    <t>Por fin has logrado contactar a Carlos Esquivel, el CEO de la empresa que has estado investigando. En la llamada te ha dado una cita para que realices una presentación, ¿cuál debiera ser tu objetivo de acuerdo a la metodología COMMET?</t>
  </si>
  <si>
    <t>Estás al frente del equipo directivo de la empresa y empiezas a hablar acerca de las capacidades y casos de éxito de Solistica, compartiendo información que se alinea a los objetivos de negocio del cliente. ¿Qué etapa de la presentación estás desarrollando?</t>
  </si>
  <si>
    <t>¡Correcto! Después de presentar la investigación que has realizado, es importante exponer las características y capacidades de Solistica que más adelante soportarán el Business Fit entre ambas compañías.</t>
  </si>
  <si>
    <t>Es uno de los momentos clave previo a tu presentación con el Tomador de Decisiones, te ayuda a analizar tu desempeño y perfeccionarlo.</t>
  </si>
  <si>
    <t>Parte de nuestra Visión es ser reconocidos por:</t>
  </si>
  <si>
    <t>Nuestra experiencia regional, soluciones innovadoras, y exceder las expectativas del cliente.</t>
  </si>
  <si>
    <t>Nuestra experiencia en ventas y logística.</t>
  </si>
  <si>
    <t>Exceder las expectativas del cliente mediante una comunicación alineada.</t>
  </si>
  <si>
    <t>Aumentar la cartera de clientes mediante una logística innovadora.</t>
  </si>
  <si>
    <t>Nuestro modelo de negocios nos permite alcanzar la visión al identificar como figura central al…</t>
  </si>
  <si>
    <t>¡Correcto! Parte de nuestra visión es ser reconocidos por nuestra experiencia regional, soluciones innovadoras, y exceder las expectativas del cliente.</t>
  </si>
  <si>
    <t>¡Incorrecto! Parte de nuestra visión es ser reconocidos por nuestra experiencia regional, soluciones innovadoras, y exceder las expectativas del cliente.</t>
  </si>
  <si>
    <t>¡Incorrecto! Recuerda que nuestro modelo de negocio nos permite alcanzar la visión al identificar como figura central al cliente.</t>
  </si>
  <si>
    <t>Selecciona las tres acciones que alcanzamos por medio de la metodología COMMET.</t>
  </si>
  <si>
    <t>Escuchar, vender y extender nuestra red de socios estratégicos.</t>
  </si>
  <si>
    <t>Escuchar, entender y exceder las expectativas del cliente.</t>
  </si>
  <si>
    <t>Escuchar, entender y conocer mejor a nuestros clientes.</t>
  </si>
  <si>
    <t>Acercamiento a clientes, innovar y aumentar las expectativas del cliente.</t>
  </si>
  <si>
    <t>¡Correcto! La metodología COMMET nos permite escuchar, entender y conocer mejor a nuestros clientes para convertirnos en un aliado estratégico para ellos.</t>
  </si>
  <si>
    <t>¡Incorrecto! Recuerda que la metodología COMMET nos permite escuchar, entender y conocer mejor a nuestros clientes para convertirnos en un aliado estratégico para ellos.</t>
  </si>
  <si>
    <t>Conocer, Comprender, Conectar y  Concretar.</t>
  </si>
  <si>
    <t>Proveedor.</t>
  </si>
  <si>
    <t>Vendedores profesionales y altamente capacitados.</t>
  </si>
  <si>
    <t>Concretar.</t>
  </si>
  <si>
    <t>Valor de oportunidad.</t>
  </si>
  <si>
    <t>Presencia, venta e industria.</t>
  </si>
  <si>
    <t>Coach.</t>
  </si>
  <si>
    <t>Dirección y perfil del negocio.</t>
  </si>
  <si>
    <t>Gatekeeper.</t>
  </si>
  <si>
    <t>Conocer.</t>
  </si>
  <si>
    <t>Datos.</t>
  </si>
  <si>
    <t>Contacto.</t>
  </si>
  <si>
    <t>Business Fit.</t>
  </si>
  <si>
    <t>Presentación que posicione el Business Fit.</t>
  </si>
  <si>
    <t>Agenda a través de contactos.</t>
  </si>
  <si>
    <t>Presentarle la historia de Solistica.</t>
  </si>
  <si>
    <t>Ellos.</t>
  </si>
  <si>
    <t>Ensayo.</t>
  </si>
  <si>
    <t>Borrador.</t>
  </si>
  <si>
    <t>Desarrollo.</t>
  </si>
  <si>
    <t>Nosotros, Business Fit, Acción, Seguimiento.</t>
  </si>
  <si>
    <t>Buscar, Calificar, Contactar y Finalizar.</t>
  </si>
  <si>
    <t>Cliente.</t>
  </si>
  <si>
    <t>Solucionadores de problemas con productos específicos.</t>
  </si>
  <si>
    <t>Comprender.</t>
  </si>
  <si>
    <t>Venta Social.</t>
  </si>
  <si>
    <t>Solución, historial y antigüedad.</t>
  </si>
  <si>
    <t>Situación de la industria y tendencias.</t>
  </si>
  <si>
    <t>Hechos.</t>
  </si>
  <si>
    <t>Solution fit.</t>
  </si>
  <si>
    <r>
      <t xml:space="preserve">Presentación que exponga la </t>
    </r>
    <r>
      <rPr>
        <i/>
        <sz val="10"/>
        <color rgb="FF000000"/>
        <rFont val="Calibri"/>
        <family val="2"/>
      </rPr>
      <t>Solution Fit</t>
    </r>
    <r>
      <rPr>
        <sz val="10"/>
        <color rgb="FF000000"/>
        <rFont val="Calibri"/>
        <family val="2"/>
      </rPr>
      <t>.</t>
    </r>
  </si>
  <si>
    <t>Solution Fit.</t>
  </si>
  <si>
    <t>Carta de presentación.</t>
  </si>
  <si>
    <t>Compartir el portafolio de servicios que brindamos.</t>
  </si>
  <si>
    <t>Preventa.</t>
  </si>
  <si>
    <t>Tono.</t>
  </si>
  <si>
    <t>Acción y Seguimiento.</t>
  </si>
  <si>
    <t>Ellos, Nosotros, Business Fit, Acción.</t>
  </si>
  <si>
    <t>Seleccionar, Investigar, Comunicar y Presentar.</t>
  </si>
  <si>
    <t>Socio estratégico.</t>
  </si>
  <si>
    <t>Recurso comercial o de negocios.</t>
  </si>
  <si>
    <t>Seleccionar.</t>
  </si>
  <si>
    <t>Acercamiento a contactos a través de la red de LinkedIn.</t>
  </si>
  <si>
    <t>Valor de oportunidad, Business fit y calidad de la información.</t>
  </si>
  <si>
    <t>Estructura organizacional y jugadores clave.</t>
  </si>
  <si>
    <t>Conectar.</t>
  </si>
  <si>
    <t>Externa.</t>
  </si>
  <si>
    <t>Red de contactos.</t>
  </si>
  <si>
    <t>Gráfico de la red de contactos.</t>
  </si>
  <si>
    <t>Introducción por parte del Coach.</t>
  </si>
  <si>
    <t>Demostrar el conocimiento que has logrado obtener de su negocio y presentar el Business Fit que has encontrado entre ambas compañías.</t>
  </si>
  <si>
    <t>Nosotros.</t>
  </si>
  <si>
    <t>Atuendo.</t>
  </si>
  <si>
    <t>Ellos, Solution Fit, Acción, Seguimiento.</t>
  </si>
  <si>
    <t>Entender, Comprender, Contactar y Negociar.</t>
  </si>
  <si>
    <t>Competencia.</t>
  </si>
  <si>
    <t>Recurso estratégico.</t>
  </si>
  <si>
    <t>Actualización de la información pública.</t>
  </si>
  <si>
    <t>Calidad de mentoring, fuerza del coach y solution fit.</t>
  </si>
  <si>
    <t>Tomador de Decisiones.</t>
  </si>
  <si>
    <t>Dirección y perfil del proceso logístico.</t>
  </si>
  <si>
    <t>Insights.</t>
  </si>
  <si>
    <t>Matriz PORE.</t>
  </si>
  <si>
    <t>Documento que describe la matriz PORE.</t>
  </si>
  <si>
    <t>Solicitudes de la Gerencia.</t>
  </si>
  <si>
    <t>Que él te explique los problemas del negocio para diseñar una solución personalizada.</t>
  </si>
  <si>
    <t>Acción.</t>
  </si>
  <si>
    <t>Confirmación de asistentes.</t>
  </si>
  <si>
    <t>Notas.</t>
  </si>
  <si>
    <t>Revisión con el Coach.</t>
  </si>
  <si>
    <t>Presentación, Identificación de necesidades, Solución, Acuerdos.</t>
  </si>
  <si>
    <t>¡Correcto! Nuestro modelo de negocio nos permite alcanzar la visión al identificar como figura central al cliente.</t>
  </si>
  <si>
    <t>¡Correcto! Es tu momento de mostrar el entendimiento del negocio que te ha dado tu investigación; además, de compartir los puntos de encuentro que tienen ambas empresas.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</si>
</sst>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0"/>
      <color rgb="FF000000"/>
      <name val="Arial"/>
    </font>
    <font>
      <sz val="10"/>
      <name val="Arial"/>
      <family val="2"/>
    </font>
    <font>
      <b/>
      <sz val="10"/>
      <color rgb="FFFFFFFF"/>
      <name val="Arial"/>
      <family val="2"/>
    </font>
    <font>
      <b/>
      <sz val="10"/>
      <color rgb="FFFFFFFF"/>
      <name val="Arial"/>
      <family val="2"/>
    </font>
    <font>
      <sz val="10"/>
      <color rgb="FF000000"/>
      <name val="Arial"/>
      <family val="2"/>
    </font>
    <font>
      <b/>
      <sz val="10"/>
      <color rgb="FF000000"/>
      <name val="Arial"/>
      <family val="2"/>
    </font>
    <font>
      <sz val="10"/>
      <color rgb="FFFFFFFF"/>
      <name val="Arial"/>
      <family val="2"/>
    </font>
    <font>
      <sz val="10"/>
      <color rgb="FF000000"/>
      <name val="Roboto"/>
    </font>
    <font>
      <sz val="11"/>
      <color rgb="FF3C4043"/>
      <name val="Roboto"/>
    </font>
    <font>
      <b/>
      <sz val="10"/>
      <color rgb="FFFFFFFF"/>
      <name val="Calibri"/>
      <family val="2"/>
    </font>
    <font>
      <sz val="10"/>
      <color rgb="FF000000"/>
      <name val="Calibri"/>
      <family val="2"/>
    </font>
    <font>
      <sz val="11"/>
      <name val="Calibri"/>
      <family val="2"/>
    </font>
    <font>
      <u/>
      <sz val="10"/>
      <color rgb="FF000000"/>
      <name val="Calibri"/>
      <family val="2"/>
    </font>
    <font>
      <u/>
      <sz val="10"/>
      <color rgb="FF000000"/>
      <name val="Calibri"/>
      <family val="2"/>
    </font>
    <font>
      <sz val="8"/>
      <name val="Arial"/>
      <family val="2"/>
    </font>
    <font>
      <i/>
      <sz val="10"/>
      <color rgb="FF000000"/>
      <name val="Calibri"/>
      <family val="2"/>
    </font>
    <font>
      <sz val="11"/>
      <color rgb="FF000000"/>
      <name val="Calibri"/>
      <family val="2"/>
    </font>
    <font>
      <i/>
      <sz val="11"/>
      <color rgb="FF000000"/>
      <name val="Calibri"/>
      <family val="2"/>
    </font>
    <font>
      <i/>
      <sz val="11"/>
      <color rgb="FF000000"/>
      <name val="Arial"/>
      <family val="2"/>
    </font>
    <font>
      <sz val="11"/>
      <color rgb="FF000000"/>
      <name val="Arial"/>
      <family val="2"/>
    </font>
  </fonts>
  <fills count="16">
    <fill>
      <patternFill patternType="none"/>
    </fill>
    <fill>
      <patternFill patternType="gray125"/>
    </fill>
    <fill>
      <patternFill patternType="solid">
        <fgColor rgb="FF0000FF"/>
        <bgColor rgb="FF0000FF"/>
      </patternFill>
    </fill>
    <fill>
      <patternFill patternType="solid">
        <fgColor rgb="FFFFFF00"/>
        <bgColor rgb="FFFFFF00"/>
      </patternFill>
    </fill>
    <fill>
      <patternFill patternType="solid">
        <fgColor rgb="FFFFFFFF"/>
        <bgColor rgb="FFFFFFFF"/>
      </patternFill>
    </fill>
    <fill>
      <patternFill patternType="solid">
        <fgColor rgb="FF00FF00"/>
        <bgColor rgb="FF00FF00"/>
      </patternFill>
    </fill>
    <fill>
      <patternFill patternType="solid">
        <fgColor rgb="FFD9EAD3"/>
        <bgColor rgb="FFD9EAD3"/>
      </patternFill>
    </fill>
    <fill>
      <patternFill patternType="solid">
        <fgColor rgb="FF548DD4"/>
        <bgColor rgb="FF548DD4"/>
      </patternFill>
    </fill>
    <fill>
      <patternFill patternType="solid">
        <fgColor rgb="FF006EC1"/>
        <bgColor rgb="FF006EC1"/>
      </patternFill>
    </fill>
    <fill>
      <patternFill patternType="solid">
        <fgColor rgb="FFE4EBF4"/>
        <bgColor rgb="FFE4EBF4"/>
      </patternFill>
    </fill>
    <fill>
      <patternFill patternType="solid">
        <fgColor rgb="FFDDEBF7"/>
        <bgColor rgb="FFDDEBF7"/>
      </patternFill>
    </fill>
    <fill>
      <patternFill patternType="solid">
        <fgColor rgb="FFDBE5F1"/>
        <bgColor rgb="FFDBE5F1"/>
      </patternFill>
    </fill>
    <fill>
      <patternFill patternType="solid">
        <fgColor rgb="FFFFFFFF"/>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s>
  <borders count="15">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thin">
        <color rgb="FF000000"/>
      </right>
      <top/>
      <bottom/>
      <diagonal/>
    </border>
    <border>
      <left/>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000000"/>
      </top>
      <bottom style="medium">
        <color rgb="FFCCCCCC"/>
      </bottom>
      <diagonal/>
    </border>
  </borders>
  <cellStyleXfs count="1">
    <xf numFmtId="0" fontId="0" fillId="0" borderId="0"/>
  </cellStyleXfs>
  <cellXfs count="74">
    <xf numFmtId="0" fontId="0" fillId="0" borderId="0" xfId="0" applyFont="1" applyAlignment="1"/>
    <xf numFmtId="0" fontId="1" fillId="0" borderId="0" xfId="0" applyFont="1" applyAlignment="1"/>
    <xf numFmtId="0" fontId="7" fillId="4" borderId="0" xfId="0" applyFont="1" applyFill="1" applyAlignment="1"/>
    <xf numFmtId="0" fontId="1" fillId="3" borderId="0" xfId="0" applyFont="1" applyFill="1" applyAlignment="1">
      <alignment wrapText="1"/>
    </xf>
    <xf numFmtId="0" fontId="1" fillId="0" borderId="0" xfId="0" applyFont="1" applyAlignment="1">
      <alignment wrapText="1"/>
    </xf>
    <xf numFmtId="0" fontId="3" fillId="2" borderId="0" xfId="0" applyFont="1" applyFill="1" applyAlignment="1">
      <alignment wrapText="1"/>
    </xf>
    <xf numFmtId="0" fontId="6" fillId="2" borderId="0" xfId="0" applyFont="1" applyFill="1" applyAlignment="1">
      <alignment wrapText="1"/>
    </xf>
    <xf numFmtId="0" fontId="5" fillId="3" borderId="0" xfId="0" applyFont="1" applyFill="1" applyAlignment="1">
      <alignment wrapText="1"/>
    </xf>
    <xf numFmtId="0" fontId="1" fillId="0" borderId="0" xfId="0" applyFont="1" applyAlignment="1">
      <alignment wrapText="1"/>
    </xf>
    <xf numFmtId="0" fontId="1" fillId="3" borderId="0" xfId="0" applyFont="1" applyFill="1" applyAlignment="1">
      <alignment wrapText="1"/>
    </xf>
    <xf numFmtId="0" fontId="2" fillId="2" borderId="5" xfId="0" applyFont="1" applyFill="1" applyBorder="1" applyAlignment="1">
      <alignment wrapText="1"/>
    </xf>
    <xf numFmtId="0" fontId="2" fillId="2" borderId="4" xfId="0" applyFont="1" applyFill="1" applyBorder="1" applyAlignment="1">
      <alignment wrapText="1"/>
    </xf>
    <xf numFmtId="0" fontId="6" fillId="2" borderId="0" xfId="0" applyFont="1" applyFill="1" applyAlignment="1">
      <alignment vertical="center" wrapText="1"/>
    </xf>
    <xf numFmtId="0" fontId="1" fillId="0" borderId="0" xfId="0" applyFont="1" applyAlignment="1">
      <alignment vertical="center" wrapText="1"/>
    </xf>
    <xf numFmtId="0" fontId="9" fillId="7" borderId="6" xfId="0" applyFont="1" applyFill="1" applyBorder="1" applyAlignment="1">
      <alignment horizontal="center" wrapText="1"/>
    </xf>
    <xf numFmtId="49" fontId="9" fillId="8" borderId="2" xfId="0" applyNumberFormat="1" applyFont="1" applyFill="1" applyBorder="1" applyAlignment="1">
      <alignment horizontal="center" wrapText="1"/>
    </xf>
    <xf numFmtId="0" fontId="9" fillId="8" borderId="7" xfId="0" applyFont="1" applyFill="1" applyBorder="1" applyAlignment="1">
      <alignment horizontal="center" wrapText="1"/>
    </xf>
    <xf numFmtId="0" fontId="10" fillId="9" borderId="6" xfId="0" applyFont="1" applyFill="1" applyBorder="1"/>
    <xf numFmtId="49" fontId="10" fillId="10" borderId="2" xfId="0" applyNumberFormat="1" applyFont="1" applyFill="1" applyBorder="1" applyAlignment="1">
      <alignment horizontal="center"/>
    </xf>
    <xf numFmtId="0" fontId="10" fillId="10" borderId="2" xfId="0" applyFont="1" applyFill="1" applyBorder="1" applyAlignment="1">
      <alignment horizontal="center"/>
    </xf>
    <xf numFmtId="0" fontId="10" fillId="9" borderId="5" xfId="0" applyFont="1" applyFill="1" applyBorder="1"/>
    <xf numFmtId="49" fontId="10" fillId="10" borderId="4" xfId="0" applyNumberFormat="1" applyFont="1" applyFill="1" applyBorder="1" applyAlignment="1">
      <alignment horizontal="center"/>
    </xf>
    <xf numFmtId="0" fontId="10" fillId="10" borderId="4" xfId="0" applyFont="1" applyFill="1" applyBorder="1" applyAlignment="1">
      <alignment horizontal="center"/>
    </xf>
    <xf numFmtId="0" fontId="11" fillId="10" borderId="4" xfId="0" applyFont="1" applyFill="1" applyBorder="1"/>
    <xf numFmtId="0" fontId="8" fillId="4" borderId="0" xfId="0" applyFont="1" applyFill="1" applyAlignment="1">
      <alignment horizontal="left" vertical="center" wrapText="1"/>
    </xf>
    <xf numFmtId="0" fontId="12" fillId="10" borderId="4" xfId="0" applyFont="1" applyFill="1" applyBorder="1" applyAlignment="1">
      <alignment horizontal="center"/>
    </xf>
    <xf numFmtId="0" fontId="11" fillId="0" borderId="3" xfId="0" applyFont="1" applyBorder="1" applyAlignment="1"/>
    <xf numFmtId="0" fontId="1" fillId="0" borderId="0" xfId="0" applyFont="1" applyAlignment="1">
      <alignment vertical="center"/>
    </xf>
    <xf numFmtId="0" fontId="1" fillId="0" borderId="0" xfId="0" applyFont="1" applyAlignment="1">
      <alignment vertical="center"/>
    </xf>
    <xf numFmtId="0" fontId="10" fillId="9" borderId="8" xfId="0" applyFont="1" applyFill="1" applyBorder="1"/>
    <xf numFmtId="49" fontId="10" fillId="10" borderId="9" xfId="0" applyNumberFormat="1" applyFont="1" applyFill="1" applyBorder="1" applyAlignment="1">
      <alignment horizontal="center"/>
    </xf>
    <xf numFmtId="0" fontId="10" fillId="10" borderId="9" xfId="0" applyFont="1" applyFill="1" applyBorder="1" applyAlignment="1">
      <alignment horizontal="center"/>
    </xf>
    <xf numFmtId="0" fontId="10" fillId="9" borderId="10" xfId="0" applyFont="1" applyFill="1" applyBorder="1"/>
    <xf numFmtId="49" fontId="10" fillId="10" borderId="11" xfId="0" applyNumberFormat="1" applyFont="1" applyFill="1" applyBorder="1" applyAlignment="1">
      <alignment horizontal="center"/>
    </xf>
    <xf numFmtId="0" fontId="10" fillId="10" borderId="11" xfId="0" applyFont="1" applyFill="1" applyBorder="1" applyAlignment="1">
      <alignment horizontal="center"/>
    </xf>
    <xf numFmtId="49" fontId="10" fillId="11" borderId="9" xfId="0" applyNumberFormat="1" applyFont="1" applyFill="1" applyBorder="1" applyAlignment="1">
      <alignment horizontal="center"/>
    </xf>
    <xf numFmtId="0" fontId="13" fillId="10" borderId="11" xfId="0" applyFont="1" applyFill="1" applyBorder="1" applyAlignment="1">
      <alignment horizontal="center"/>
    </xf>
    <xf numFmtId="0" fontId="2" fillId="2" borderId="6" xfId="0" applyFont="1" applyFill="1" applyBorder="1" applyAlignment="1">
      <alignment wrapText="1"/>
    </xf>
    <xf numFmtId="0" fontId="5" fillId="5" borderId="4" xfId="0" applyFont="1" applyFill="1" applyBorder="1" applyAlignment="1">
      <alignment wrapText="1"/>
    </xf>
    <xf numFmtId="0" fontId="1" fillId="6" borderId="6" xfId="0" applyFont="1" applyFill="1" applyBorder="1" applyAlignment="1">
      <alignment wrapText="1"/>
    </xf>
    <xf numFmtId="0" fontId="4" fillId="0" borderId="0" xfId="0" applyFont="1" applyAlignment="1">
      <alignment wrapText="1"/>
    </xf>
    <xf numFmtId="0" fontId="4" fillId="0" borderId="12" xfId="0" applyFont="1" applyBorder="1" applyAlignment="1">
      <alignment vertical="top" wrapText="1"/>
    </xf>
    <xf numFmtId="0" fontId="1" fillId="0" borderId="1" xfId="0" applyFont="1" applyBorder="1" applyAlignment="1">
      <alignment wrapText="1"/>
    </xf>
    <xf numFmtId="0" fontId="1" fillId="0" borderId="6" xfId="0" applyFont="1" applyBorder="1" applyAlignment="1">
      <alignment wrapText="1"/>
    </xf>
    <xf numFmtId="0" fontId="1" fillId="0" borderId="2" xfId="0" applyFont="1" applyBorder="1" applyAlignment="1">
      <alignment wrapText="1"/>
    </xf>
    <xf numFmtId="0" fontId="1" fillId="4" borderId="2" xfId="0" applyFont="1" applyFill="1" applyBorder="1" applyAlignment="1">
      <alignment wrapText="1"/>
    </xf>
    <xf numFmtId="0" fontId="1" fillId="4" borderId="6" xfId="0" applyFont="1" applyFill="1" applyBorder="1" applyAlignment="1">
      <alignment wrapText="1"/>
    </xf>
    <xf numFmtId="0" fontId="10" fillId="13" borderId="12" xfId="0" applyFont="1" applyFill="1" applyBorder="1" applyAlignment="1">
      <alignment vertical="top" wrapText="1"/>
    </xf>
    <xf numFmtId="0" fontId="10" fillId="0" borderId="13" xfId="0" applyFont="1" applyBorder="1" applyAlignment="1">
      <alignment vertical="top" wrapText="1"/>
    </xf>
    <xf numFmtId="0" fontId="10" fillId="0" borderId="14" xfId="0" applyFont="1" applyBorder="1" applyAlignment="1">
      <alignment vertical="top" wrapText="1"/>
    </xf>
    <xf numFmtId="0" fontId="10" fillId="0" borderId="12" xfId="0" applyFont="1" applyBorder="1" applyAlignment="1">
      <alignment vertical="top" wrapText="1"/>
    </xf>
    <xf numFmtId="0" fontId="10" fillId="13" borderId="13" xfId="0" applyFont="1" applyFill="1" applyBorder="1" applyAlignment="1">
      <alignment vertical="top" wrapText="1"/>
    </xf>
    <xf numFmtId="0" fontId="10" fillId="0" borderId="0" xfId="0" applyFont="1" applyAlignment="1">
      <alignment wrapText="1"/>
    </xf>
    <xf numFmtId="0" fontId="1" fillId="3" borderId="6" xfId="0" applyFont="1" applyFill="1" applyBorder="1" applyAlignment="1">
      <alignment wrapText="1"/>
    </xf>
    <xf numFmtId="0" fontId="10" fillId="13" borderId="12" xfId="0" applyFont="1" applyFill="1" applyBorder="1" applyAlignment="1">
      <alignment horizontal="center" vertical="top" wrapText="1"/>
    </xf>
    <xf numFmtId="0" fontId="10" fillId="0" borderId="13" xfId="0" applyFont="1" applyBorder="1" applyAlignment="1">
      <alignment horizontal="center" vertical="top" wrapText="1"/>
    </xf>
    <xf numFmtId="0" fontId="10" fillId="12" borderId="12" xfId="0" applyFont="1" applyFill="1" applyBorder="1" applyAlignment="1">
      <alignment vertical="top" wrapText="1"/>
    </xf>
    <xf numFmtId="0" fontId="15" fillId="0" borderId="13" xfId="0" applyFont="1" applyBorder="1" applyAlignment="1">
      <alignment vertical="top" wrapText="1"/>
    </xf>
    <xf numFmtId="0" fontId="4" fillId="0" borderId="13" xfId="0" applyFont="1" applyBorder="1" applyAlignment="1">
      <alignment vertical="top" wrapText="1"/>
    </xf>
    <xf numFmtId="0" fontId="16" fillId="14" borderId="12" xfId="0" applyFont="1" applyFill="1" applyBorder="1" applyAlignment="1">
      <alignment vertical="top" wrapText="1"/>
    </xf>
    <xf numFmtId="0" fontId="16" fillId="14" borderId="13" xfId="0" applyFont="1" applyFill="1" applyBorder="1" applyAlignment="1">
      <alignment vertical="top" wrapText="1"/>
    </xf>
    <xf numFmtId="0" fontId="16" fillId="13" borderId="12" xfId="0" applyFont="1" applyFill="1" applyBorder="1" applyAlignment="1">
      <alignment vertical="top" wrapText="1"/>
    </xf>
    <xf numFmtId="0" fontId="16" fillId="0" borderId="12" xfId="0" applyFont="1" applyBorder="1" applyAlignment="1">
      <alignment vertical="top" wrapText="1"/>
    </xf>
    <xf numFmtId="0" fontId="16" fillId="0" borderId="13" xfId="0" applyFont="1" applyBorder="1" applyAlignment="1">
      <alignment vertical="top" wrapText="1"/>
    </xf>
    <xf numFmtId="0" fontId="16" fillId="0" borderId="0" xfId="0" applyFont="1" applyAlignment="1">
      <alignment wrapText="1"/>
    </xf>
    <xf numFmtId="0" fontId="4" fillId="15" borderId="12" xfId="0" applyFont="1" applyFill="1" applyBorder="1" applyAlignment="1">
      <alignment vertical="center" wrapText="1"/>
    </xf>
    <xf numFmtId="0" fontId="10" fillId="15" borderId="12" xfId="0" applyFont="1" applyFill="1" applyBorder="1" applyAlignment="1">
      <alignment vertical="top" wrapText="1"/>
    </xf>
    <xf numFmtId="0" fontId="10" fillId="15" borderId="13" xfId="0" applyFont="1" applyFill="1" applyBorder="1" applyAlignment="1">
      <alignment vertical="top" wrapText="1"/>
    </xf>
    <xf numFmtId="0" fontId="10" fillId="15" borderId="0" xfId="0" applyFont="1" applyFill="1" applyAlignment="1">
      <alignment wrapText="1"/>
    </xf>
    <xf numFmtId="0" fontId="16" fillId="15" borderId="12" xfId="0" applyFont="1" applyFill="1" applyBorder="1" applyAlignment="1">
      <alignment vertical="top" wrapText="1"/>
    </xf>
    <xf numFmtId="0" fontId="19" fillId="0" borderId="0" xfId="0" applyFont="1" applyAlignment="1"/>
    <xf numFmtId="0" fontId="10" fillId="0" borderId="13" xfId="0" applyFont="1" applyFill="1" applyBorder="1" applyAlignment="1">
      <alignment vertical="top" wrapText="1"/>
    </xf>
    <xf numFmtId="0" fontId="16" fillId="0" borderId="12" xfId="0" applyFont="1" applyFill="1" applyBorder="1" applyAlignment="1">
      <alignment vertical="top" wrapText="1"/>
    </xf>
    <xf numFmtId="0" fontId="10" fillId="0" borderId="12" xfId="0" applyFont="1" applyFill="1" applyBorder="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28575</xdr:rowOff>
        </xdr:from>
        <xdr:to>
          <xdr:col>2</xdr:col>
          <xdr:colOff>28575</xdr:colOff>
          <xdr:row>3</xdr:row>
          <xdr:rowOff>304800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000" b="0" i="0" u="none" strike="noStrike" baseline="0">
                  <a:solidFill>
                    <a:srgbClr val="000000"/>
                  </a:solidFill>
                  <a:latin typeface="Arial"/>
                  <a:cs typeface="Arial"/>
                </a:rPr>
                <a:t>Generar JS</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hyperlink" Target="mailto:jonathanandres.martinez@bbva.com" TargetMode="External"/><Relationship Id="rId13" Type="http://schemas.openxmlformats.org/officeDocument/2006/relationships/hyperlink" Target="mailto:GUDALAUPE.VELAZQUEZ.VALENCIA@BBVA.COM" TargetMode="External"/><Relationship Id="rId18" Type="http://schemas.openxmlformats.org/officeDocument/2006/relationships/hyperlink" Target="mailto:DA.DONCEL@BBVA.COM" TargetMode="External"/><Relationship Id="rId3" Type="http://schemas.openxmlformats.org/officeDocument/2006/relationships/hyperlink" Target="mailto:LOURDES.ARELLANO.RODRIGUEZ@BBVA.COM" TargetMode="External"/><Relationship Id="rId21" Type="http://schemas.openxmlformats.org/officeDocument/2006/relationships/hyperlink" Target="mailto:DAVID.RAMIREZ.DELGADO@BBVA.COM" TargetMode="External"/><Relationship Id="rId7" Type="http://schemas.openxmlformats.org/officeDocument/2006/relationships/hyperlink" Target="mailto:JOAQUIN.LARA@BBVA.COM" TargetMode="External"/><Relationship Id="rId12" Type="http://schemas.openxmlformats.org/officeDocument/2006/relationships/hyperlink" Target="mailto:miguelangel.rodriguez.vargas@bbva.com" TargetMode="External"/><Relationship Id="rId17" Type="http://schemas.openxmlformats.org/officeDocument/2006/relationships/hyperlink" Target="mailto:davideduardo.matias.aguilar@bbva.com" TargetMode="External"/><Relationship Id="rId2" Type="http://schemas.openxmlformats.org/officeDocument/2006/relationships/hyperlink" Target="mailto:JESUSLEOBARDO.RIVERA@BBVA.COM" TargetMode="External"/><Relationship Id="rId16" Type="http://schemas.openxmlformats.org/officeDocument/2006/relationships/hyperlink" Target="mailto:ALEJANDRA.HERRERA.GUZMAN@BBVA.COM" TargetMode="External"/><Relationship Id="rId20" Type="http://schemas.openxmlformats.org/officeDocument/2006/relationships/hyperlink" Target="mailto:NICK.SINILOV@BBVA.COM" TargetMode="External"/><Relationship Id="rId1" Type="http://schemas.openxmlformats.org/officeDocument/2006/relationships/hyperlink" Target="mailto:FRANCISCO.FUENTES.MUNOZ@BBVA.COM" TargetMode="External"/><Relationship Id="rId6" Type="http://schemas.openxmlformats.org/officeDocument/2006/relationships/hyperlink" Target="mailto:LETICIA.FLORES2@BBVA.COM" TargetMode="External"/><Relationship Id="rId11" Type="http://schemas.openxmlformats.org/officeDocument/2006/relationships/hyperlink" Target="mailto:ruben.antonio@bbva.com" TargetMode="External"/><Relationship Id="rId24" Type="http://schemas.openxmlformats.org/officeDocument/2006/relationships/hyperlink" Target="mailto:HEYBERTALEXANDER.MARTINZ@BBVA.COM" TargetMode="External"/><Relationship Id="rId5" Type="http://schemas.openxmlformats.org/officeDocument/2006/relationships/hyperlink" Target="mailto:MIGUELALBERTO.LEOS.MALDONADO@BBVA.COM" TargetMode="External"/><Relationship Id="rId15" Type="http://schemas.openxmlformats.org/officeDocument/2006/relationships/hyperlink" Target="mailto:FRANCISCO.HERNANDEZ.8@BBVA.COM" TargetMode="External"/><Relationship Id="rId23" Type="http://schemas.openxmlformats.org/officeDocument/2006/relationships/hyperlink" Target="mailto:taniabeatriz.garcia@bbva.com" TargetMode="External"/><Relationship Id="rId10" Type="http://schemas.openxmlformats.org/officeDocument/2006/relationships/hyperlink" Target="mailto:FRANCISCORICARDO.DIAZ@BBVA.COM" TargetMode="External"/><Relationship Id="rId19" Type="http://schemas.openxmlformats.org/officeDocument/2006/relationships/hyperlink" Target="mailto:bruno.martinez.warnholtz@bbva.com" TargetMode="External"/><Relationship Id="rId4" Type="http://schemas.openxmlformats.org/officeDocument/2006/relationships/hyperlink" Target="mailto:EDGARULISES.PADILLA@BBVA.COM" TargetMode="External"/><Relationship Id="rId9" Type="http://schemas.openxmlformats.org/officeDocument/2006/relationships/hyperlink" Target="mailto:aislinnmarian.rodriguez@bbva.com" TargetMode="External"/><Relationship Id="rId14" Type="http://schemas.openxmlformats.org/officeDocument/2006/relationships/hyperlink" Target="mailto:CLAUDIALIZBETH.REYES@BBVA.COM" TargetMode="External"/><Relationship Id="rId22" Type="http://schemas.openxmlformats.org/officeDocument/2006/relationships/hyperlink" Target="mailto:SERGIOENRIQUE.GUTIERREZ@BBVA.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outlinePr summaryBelow="0" summaryRight="0"/>
  </sheetPr>
  <dimension ref="A1:M70"/>
  <sheetViews>
    <sheetView tabSelected="1" topLeftCell="A7" zoomScale="80" zoomScaleNormal="80" zoomScalePageLayoutView="130" workbookViewId="0">
      <selection activeCell="L1" sqref="L1"/>
    </sheetView>
  </sheetViews>
  <sheetFormatPr baseColWidth="10" defaultColWidth="14.42578125" defaultRowHeight="12.75"/>
  <cols>
    <col min="1" max="1" width="13.42578125" style="40" bestFit="1" customWidth="1"/>
    <col min="2" max="2" width="14.7109375" style="40" customWidth="1"/>
    <col min="3" max="3" width="41.42578125" style="40" customWidth="1"/>
    <col min="4" max="4" width="22.140625" style="40" customWidth="1"/>
    <col min="5" max="5" width="23.42578125" style="40" customWidth="1"/>
    <col min="6" max="6" width="20.42578125" style="40" customWidth="1"/>
    <col min="7" max="7" width="19.42578125" style="40" customWidth="1"/>
    <col min="8" max="9" width="10" style="40" bestFit="1" customWidth="1"/>
    <col min="10" max="10" width="9.42578125" style="40" bestFit="1" customWidth="1"/>
    <col min="11" max="11" width="57.28515625" style="40" customWidth="1"/>
    <col min="12" max="12" width="51.42578125" style="40" customWidth="1"/>
    <col min="13" max="13" width="18.42578125" style="40" bestFit="1" customWidth="1"/>
    <col min="14" max="17" width="32.7109375" style="40" customWidth="1"/>
    <col min="18" max="16384" width="14.42578125" style="40"/>
  </cols>
  <sheetData>
    <row r="1" spans="1:13">
      <c r="A1" s="40" t="s">
        <v>4749</v>
      </c>
    </row>
    <row r="2" spans="1:13">
      <c r="A2" s="42"/>
      <c r="B2" s="43"/>
      <c r="C2" s="44"/>
      <c r="D2" s="45"/>
      <c r="E2" s="46"/>
      <c r="F2" s="46"/>
      <c r="G2" s="46"/>
      <c r="H2" s="46"/>
      <c r="I2" s="46"/>
      <c r="J2" s="46"/>
      <c r="K2" s="45"/>
      <c r="L2" s="45"/>
      <c r="M2" s="45"/>
    </row>
    <row r="3" spans="1:13" ht="13.5" thickBot="1">
      <c r="A3" s="10" t="s">
        <v>4736</v>
      </c>
      <c r="B3" s="37" t="s">
        <v>4737</v>
      </c>
      <c r="C3" s="11" t="s">
        <v>4738</v>
      </c>
      <c r="D3" s="11" t="s">
        <v>4739</v>
      </c>
      <c r="E3" s="11" t="s">
        <v>4744</v>
      </c>
      <c r="F3" s="11" t="s">
        <v>4745</v>
      </c>
      <c r="G3" s="11" t="s">
        <v>4746</v>
      </c>
      <c r="H3" s="11" t="s">
        <v>4747</v>
      </c>
      <c r="I3" s="11" t="s">
        <v>4748</v>
      </c>
      <c r="J3" s="37" t="s">
        <v>4743</v>
      </c>
      <c r="K3" s="11" t="s">
        <v>4740</v>
      </c>
      <c r="L3" s="11" t="s">
        <v>4741</v>
      </c>
      <c r="M3" s="38" t="s">
        <v>4742</v>
      </c>
    </row>
    <row r="4" spans="1:13" ht="60.75" thickBot="1">
      <c r="A4" s="8" t="s">
        <v>4752</v>
      </c>
      <c r="B4" s="8" t="s">
        <v>4751</v>
      </c>
      <c r="C4" s="65" t="s">
        <v>4866</v>
      </c>
      <c r="D4" s="66" t="s">
        <v>4891</v>
      </c>
      <c r="E4" s="67" t="s">
        <v>4912</v>
      </c>
      <c r="F4" s="67" t="s">
        <v>4929</v>
      </c>
      <c r="G4" s="67" t="s">
        <v>4945</v>
      </c>
      <c r="H4" s="8"/>
      <c r="I4" s="8"/>
      <c r="J4" s="8">
        <v>1</v>
      </c>
      <c r="K4" s="48" t="s">
        <v>4799</v>
      </c>
      <c r="L4" s="64" t="s">
        <v>4800</v>
      </c>
      <c r="M4" s="8" t="s">
        <v>4750</v>
      </c>
    </row>
    <row r="5" spans="1:13" ht="64.5" thickBot="1">
      <c r="A5" s="8" t="s">
        <v>4752</v>
      </c>
      <c r="B5" s="8" t="s">
        <v>4751</v>
      </c>
      <c r="C5" s="70" t="s">
        <v>4875</v>
      </c>
      <c r="D5" s="51" t="s">
        <v>4876</v>
      </c>
      <c r="E5" s="48" t="s">
        <v>4877</v>
      </c>
      <c r="F5" s="71" t="s">
        <v>4878</v>
      </c>
      <c r="G5" s="48" t="s">
        <v>4879</v>
      </c>
      <c r="H5" s="43"/>
      <c r="I5" s="43"/>
      <c r="J5" s="43">
        <v>1</v>
      </c>
      <c r="K5" s="60" t="s">
        <v>4881</v>
      </c>
      <c r="L5" s="60" t="s">
        <v>4882</v>
      </c>
      <c r="M5" s="8" t="s">
        <v>4750</v>
      </c>
    </row>
    <row r="6" spans="1:13" ht="45.75" thickBot="1">
      <c r="A6" s="8" t="s">
        <v>4752</v>
      </c>
      <c r="B6" s="8" t="s">
        <v>4751</v>
      </c>
      <c r="C6" s="52" t="s">
        <v>4880</v>
      </c>
      <c r="D6" s="72" t="s">
        <v>4892</v>
      </c>
      <c r="E6" s="51" t="s">
        <v>4913</v>
      </c>
      <c r="F6" s="48" t="s">
        <v>4930</v>
      </c>
      <c r="G6" s="48" t="s">
        <v>4946</v>
      </c>
      <c r="H6" s="39"/>
      <c r="I6" s="39"/>
      <c r="J6" s="39">
        <v>2</v>
      </c>
      <c r="K6" s="61" t="s">
        <v>4962</v>
      </c>
      <c r="L6" s="60" t="s">
        <v>4883</v>
      </c>
      <c r="M6" s="8" t="s">
        <v>4750</v>
      </c>
    </row>
    <row r="7" spans="1:13" ht="45.75" thickBot="1">
      <c r="A7" s="8" t="s">
        <v>4752</v>
      </c>
      <c r="B7" s="8" t="s">
        <v>4751</v>
      </c>
      <c r="C7" s="52" t="s">
        <v>4766</v>
      </c>
      <c r="D7" s="50" t="s">
        <v>4893</v>
      </c>
      <c r="E7" s="64" t="s">
        <v>4914</v>
      </c>
      <c r="F7" s="48" t="s">
        <v>4931</v>
      </c>
      <c r="G7" s="51" t="s">
        <v>4947</v>
      </c>
      <c r="H7" s="39"/>
      <c r="I7" s="39"/>
      <c r="J7" s="39">
        <v>4</v>
      </c>
      <c r="K7" s="49" t="s">
        <v>4852</v>
      </c>
      <c r="L7" s="52" t="s">
        <v>4801</v>
      </c>
      <c r="M7" s="8" t="s">
        <v>4750</v>
      </c>
    </row>
    <row r="8" spans="1:13" ht="30.75" thickBot="1">
      <c r="A8" s="8" t="s">
        <v>4752</v>
      </c>
      <c r="B8" s="8" t="s">
        <v>4751</v>
      </c>
      <c r="C8" s="52" t="s">
        <v>4767</v>
      </c>
      <c r="D8" s="50" t="s">
        <v>4894</v>
      </c>
      <c r="E8" s="48" t="s">
        <v>4915</v>
      </c>
      <c r="F8" s="51" t="s">
        <v>4932</v>
      </c>
      <c r="G8" s="48" t="s">
        <v>4936</v>
      </c>
      <c r="H8" s="39"/>
      <c r="I8" s="39"/>
      <c r="J8" s="39">
        <v>3</v>
      </c>
      <c r="K8" s="62" t="s">
        <v>4802</v>
      </c>
      <c r="L8" s="63" t="s">
        <v>4803</v>
      </c>
      <c r="M8" s="8" t="s">
        <v>4750</v>
      </c>
    </row>
    <row r="9" spans="1:13" ht="128.25" thickBot="1">
      <c r="A9" s="8" t="s">
        <v>4752</v>
      </c>
      <c r="B9" s="8" t="s">
        <v>4751</v>
      </c>
      <c r="C9" s="52" t="s">
        <v>4768</v>
      </c>
      <c r="D9" s="50" t="s">
        <v>4804</v>
      </c>
      <c r="E9" s="51" t="s">
        <v>4785</v>
      </c>
      <c r="F9" s="48" t="s">
        <v>4790</v>
      </c>
      <c r="G9" s="48" t="s">
        <v>4795</v>
      </c>
      <c r="H9" s="53"/>
      <c r="I9" s="53"/>
      <c r="J9" s="53">
        <v>2</v>
      </c>
      <c r="K9" s="62" t="s">
        <v>4805</v>
      </c>
      <c r="L9" s="63" t="s">
        <v>4806</v>
      </c>
      <c r="M9" s="8" t="s">
        <v>4750</v>
      </c>
    </row>
    <row r="10" spans="1:13" ht="64.5" thickBot="1">
      <c r="A10" s="8" t="s">
        <v>4752</v>
      </c>
      <c r="B10" s="8" t="s">
        <v>4751</v>
      </c>
      <c r="C10" s="52" t="s">
        <v>4884</v>
      </c>
      <c r="D10" s="73" t="s">
        <v>4885</v>
      </c>
      <c r="E10" s="48" t="s">
        <v>4886</v>
      </c>
      <c r="F10" s="51" t="s">
        <v>4887</v>
      </c>
      <c r="G10" s="48" t="s">
        <v>4888</v>
      </c>
      <c r="H10" s="39"/>
      <c r="I10" s="39"/>
      <c r="J10" s="39">
        <v>3</v>
      </c>
      <c r="K10" s="59" t="s">
        <v>4889</v>
      </c>
      <c r="L10" s="60" t="s">
        <v>4890</v>
      </c>
      <c r="M10" s="8" t="s">
        <v>4750</v>
      </c>
    </row>
    <row r="11" spans="1:13" ht="64.5" thickBot="1">
      <c r="A11" s="8" t="s">
        <v>4754</v>
      </c>
      <c r="B11" s="8" t="s">
        <v>4753</v>
      </c>
      <c r="C11" s="52" t="s">
        <v>4848</v>
      </c>
      <c r="D11" s="66" t="s">
        <v>4867</v>
      </c>
      <c r="E11" s="48" t="s">
        <v>4786</v>
      </c>
      <c r="F11" s="48" t="s">
        <v>4791</v>
      </c>
      <c r="G11" s="48" t="s">
        <v>4796</v>
      </c>
      <c r="H11" s="39"/>
      <c r="I11" s="39"/>
      <c r="J11" s="39">
        <v>1</v>
      </c>
      <c r="K11" s="59" t="s">
        <v>4856</v>
      </c>
      <c r="L11" s="63" t="s">
        <v>4807</v>
      </c>
      <c r="M11" s="8" t="s">
        <v>4750</v>
      </c>
    </row>
    <row r="12" spans="1:13" ht="90" thickBot="1">
      <c r="A12" s="8" t="s">
        <v>4754</v>
      </c>
      <c r="B12" s="8" t="s">
        <v>4753</v>
      </c>
      <c r="C12" s="52" t="s">
        <v>4849</v>
      </c>
      <c r="D12" s="50" t="s">
        <v>4895</v>
      </c>
      <c r="E12" s="51" t="s">
        <v>4916</v>
      </c>
      <c r="F12" s="48" t="s">
        <v>4933</v>
      </c>
      <c r="G12" s="48" t="s">
        <v>4948</v>
      </c>
      <c r="H12" s="39"/>
      <c r="I12" s="39"/>
      <c r="J12" s="39">
        <v>2</v>
      </c>
      <c r="K12" s="62" t="s">
        <v>4808</v>
      </c>
      <c r="L12" s="63" t="s">
        <v>4809</v>
      </c>
      <c r="M12" s="8" t="s">
        <v>4750</v>
      </c>
    </row>
    <row r="13" spans="1:13" ht="102" customHeight="1" thickBot="1">
      <c r="A13" s="8" t="s">
        <v>4754</v>
      </c>
      <c r="B13" s="8" t="s">
        <v>4753</v>
      </c>
      <c r="C13" s="52" t="s">
        <v>4813</v>
      </c>
      <c r="D13" s="50" t="s">
        <v>4781</v>
      </c>
      <c r="E13" s="48" t="s">
        <v>4810</v>
      </c>
      <c r="F13" s="48" t="s">
        <v>4792</v>
      </c>
      <c r="G13" s="67" t="s">
        <v>4868</v>
      </c>
      <c r="H13" s="39"/>
      <c r="I13" s="39"/>
      <c r="J13" s="39">
        <v>4</v>
      </c>
      <c r="K13" s="62" t="s">
        <v>4811</v>
      </c>
      <c r="L13" s="63" t="s">
        <v>4812</v>
      </c>
      <c r="M13" s="8" t="s">
        <v>4750</v>
      </c>
    </row>
    <row r="14" spans="1:13" ht="75.75" thickBot="1">
      <c r="A14" s="8" t="s">
        <v>4754</v>
      </c>
      <c r="B14" s="8" t="s">
        <v>4753</v>
      </c>
      <c r="C14" s="52" t="s">
        <v>4769</v>
      </c>
      <c r="D14" s="50" t="s">
        <v>4896</v>
      </c>
      <c r="E14" s="48" t="s">
        <v>4917</v>
      </c>
      <c r="F14" s="51" t="s">
        <v>4934</v>
      </c>
      <c r="G14" s="48" t="s">
        <v>4949</v>
      </c>
      <c r="H14" s="39"/>
      <c r="I14" s="39"/>
      <c r="J14" s="39">
        <v>3</v>
      </c>
      <c r="K14" s="59" t="s">
        <v>4814</v>
      </c>
      <c r="L14" s="63" t="s">
        <v>4815</v>
      </c>
      <c r="M14" s="8" t="s">
        <v>4750</v>
      </c>
    </row>
    <row r="15" spans="1:13" ht="77.25" thickBot="1">
      <c r="A15" s="8" t="s">
        <v>4756</v>
      </c>
      <c r="B15" s="8" t="s">
        <v>4755</v>
      </c>
      <c r="C15" s="52" t="s">
        <v>4816</v>
      </c>
      <c r="D15" s="50" t="s">
        <v>4897</v>
      </c>
      <c r="E15" s="48" t="s">
        <v>4899</v>
      </c>
      <c r="F15" s="51" t="s">
        <v>4902</v>
      </c>
      <c r="G15" s="48" t="s">
        <v>4950</v>
      </c>
      <c r="H15" s="39"/>
      <c r="I15" s="39"/>
      <c r="J15" s="39">
        <v>3</v>
      </c>
      <c r="K15" s="62" t="s">
        <v>4857</v>
      </c>
      <c r="L15" s="63" t="s">
        <v>4817</v>
      </c>
      <c r="M15" s="8" t="s">
        <v>4750</v>
      </c>
    </row>
    <row r="16" spans="1:13" ht="64.5" thickBot="1">
      <c r="A16" s="8" t="s">
        <v>4756</v>
      </c>
      <c r="B16" s="8" t="s">
        <v>4755</v>
      </c>
      <c r="C16" s="52" t="s">
        <v>4770</v>
      </c>
      <c r="D16" s="47" t="s">
        <v>4898</v>
      </c>
      <c r="E16" s="48" t="s">
        <v>4918</v>
      </c>
      <c r="F16" s="48" t="s">
        <v>4935</v>
      </c>
      <c r="G16" s="48" t="s">
        <v>4951</v>
      </c>
      <c r="H16" s="39"/>
      <c r="I16" s="39"/>
      <c r="J16" s="39">
        <v>1</v>
      </c>
      <c r="K16" s="62" t="s">
        <v>4858</v>
      </c>
      <c r="L16" s="60" t="s">
        <v>4818</v>
      </c>
      <c r="M16" s="8" t="s">
        <v>4750</v>
      </c>
    </row>
    <row r="17" spans="1:13" ht="90" thickBot="1">
      <c r="A17" s="8" t="s">
        <v>4756</v>
      </c>
      <c r="B17" s="8" t="s">
        <v>4755</v>
      </c>
      <c r="C17" s="52" t="s">
        <v>4771</v>
      </c>
      <c r="D17" s="50" t="s">
        <v>4899</v>
      </c>
      <c r="E17" s="51" t="s">
        <v>4897</v>
      </c>
      <c r="F17" s="48" t="s">
        <v>4902</v>
      </c>
      <c r="G17" s="48" t="s">
        <v>4950</v>
      </c>
      <c r="H17" s="39"/>
      <c r="I17" s="39"/>
      <c r="J17" s="39">
        <v>2</v>
      </c>
      <c r="K17" s="62" t="s">
        <v>4819</v>
      </c>
      <c r="L17" s="63" t="s">
        <v>4820</v>
      </c>
      <c r="M17" s="8" t="s">
        <v>4750</v>
      </c>
    </row>
    <row r="18" spans="1:13" ht="51.75" thickBot="1">
      <c r="A18" s="8" t="s">
        <v>4756</v>
      </c>
      <c r="B18" s="8" t="s">
        <v>4755</v>
      </c>
      <c r="C18" s="52" t="s">
        <v>4772</v>
      </c>
      <c r="D18" s="50" t="s">
        <v>4900</v>
      </c>
      <c r="E18" s="51" t="s">
        <v>4915</v>
      </c>
      <c r="F18" s="48" t="s">
        <v>4936</v>
      </c>
      <c r="G18" s="48" t="s">
        <v>4894</v>
      </c>
      <c r="H18" s="39"/>
      <c r="I18" s="39"/>
      <c r="J18" s="39">
        <v>2</v>
      </c>
      <c r="K18" s="41" t="s">
        <v>4859</v>
      </c>
      <c r="L18" s="63" t="s">
        <v>4821</v>
      </c>
      <c r="M18" s="8" t="s">
        <v>4750</v>
      </c>
    </row>
    <row r="19" spans="1:13" ht="102.75" thickBot="1">
      <c r="A19" s="8" t="s">
        <v>4756</v>
      </c>
      <c r="B19" s="8" t="s">
        <v>4755</v>
      </c>
      <c r="C19" s="52" t="s">
        <v>4773</v>
      </c>
      <c r="D19" s="50" t="s">
        <v>4901</v>
      </c>
      <c r="E19" s="48" t="s">
        <v>4919</v>
      </c>
      <c r="F19" s="48" t="s">
        <v>4937</v>
      </c>
      <c r="G19" s="51" t="s">
        <v>4952</v>
      </c>
      <c r="J19" s="40">
        <v>4</v>
      </c>
      <c r="K19" s="62" t="s">
        <v>4822</v>
      </c>
      <c r="L19" s="63" t="s">
        <v>4823</v>
      </c>
      <c r="M19" s="8" t="s">
        <v>4750</v>
      </c>
    </row>
    <row r="20" spans="1:13" ht="115.5" thickBot="1">
      <c r="A20" s="8" t="s">
        <v>4756</v>
      </c>
      <c r="B20" s="8" t="s">
        <v>4755</v>
      </c>
      <c r="C20" s="52" t="s">
        <v>4774</v>
      </c>
      <c r="D20" s="50" t="s">
        <v>4902</v>
      </c>
      <c r="E20" s="48" t="s">
        <v>4897</v>
      </c>
      <c r="F20" s="48" t="s">
        <v>4899</v>
      </c>
      <c r="G20" s="51" t="s">
        <v>4950</v>
      </c>
      <c r="J20" s="40">
        <v>4</v>
      </c>
      <c r="K20" s="62" t="s">
        <v>4824</v>
      </c>
      <c r="L20" s="63" t="s">
        <v>4825</v>
      </c>
      <c r="M20" s="8" t="s">
        <v>4750</v>
      </c>
    </row>
    <row r="21" spans="1:13" ht="51.75" thickBot="1">
      <c r="A21" s="8" t="s">
        <v>4756</v>
      </c>
      <c r="B21" s="8" t="s">
        <v>4755</v>
      </c>
      <c r="C21" s="52" t="s">
        <v>4826</v>
      </c>
      <c r="D21" s="50" t="s">
        <v>4903</v>
      </c>
      <c r="E21" s="48" t="s">
        <v>4920</v>
      </c>
      <c r="F21" s="48" t="s">
        <v>4938</v>
      </c>
      <c r="G21" s="51" t="s">
        <v>4953</v>
      </c>
      <c r="J21" s="40">
        <v>4</v>
      </c>
      <c r="K21" s="62" t="s">
        <v>4855</v>
      </c>
      <c r="L21" s="60" t="s">
        <v>4854</v>
      </c>
      <c r="M21" s="8" t="s">
        <v>4750</v>
      </c>
    </row>
    <row r="22" spans="1:13" ht="64.5" thickBot="1">
      <c r="A22" s="8" t="s">
        <v>4756</v>
      </c>
      <c r="B22" s="8" t="s">
        <v>4755</v>
      </c>
      <c r="C22" s="52" t="s">
        <v>4827</v>
      </c>
      <c r="D22" s="47" t="s">
        <v>4904</v>
      </c>
      <c r="E22" s="48" t="s">
        <v>4921</v>
      </c>
      <c r="F22" s="48" t="s">
        <v>4939</v>
      </c>
      <c r="G22" s="48" t="s">
        <v>4954</v>
      </c>
      <c r="J22" s="40">
        <v>1</v>
      </c>
      <c r="K22" s="62" t="s">
        <v>4860</v>
      </c>
      <c r="L22" s="63" t="s">
        <v>4828</v>
      </c>
      <c r="M22" s="8" t="s">
        <v>4750</v>
      </c>
    </row>
    <row r="23" spans="1:13" ht="115.5" thickBot="1">
      <c r="A23" s="8" t="s">
        <v>4756</v>
      </c>
      <c r="B23" s="8" t="s">
        <v>4755</v>
      </c>
      <c r="C23" s="52" t="s">
        <v>4850</v>
      </c>
      <c r="D23" s="47" t="s">
        <v>4762</v>
      </c>
      <c r="E23" s="48" t="s">
        <v>4763</v>
      </c>
      <c r="F23" s="48" t="s">
        <v>4764</v>
      </c>
      <c r="G23" s="48" t="s">
        <v>4765</v>
      </c>
      <c r="J23" s="40">
        <v>1</v>
      </c>
      <c r="K23" s="62" t="s">
        <v>4861</v>
      </c>
      <c r="L23" s="63" t="s">
        <v>4829</v>
      </c>
      <c r="M23" s="8" t="s">
        <v>4750</v>
      </c>
    </row>
    <row r="24" spans="1:13" ht="51.75" thickBot="1">
      <c r="A24" s="8" t="s">
        <v>4756</v>
      </c>
      <c r="B24" s="8" t="s">
        <v>4755</v>
      </c>
      <c r="C24" s="52" t="s">
        <v>4775</v>
      </c>
      <c r="D24" s="50" t="s">
        <v>4903</v>
      </c>
      <c r="E24" s="51" t="s">
        <v>4922</v>
      </c>
      <c r="F24" s="48" t="s">
        <v>4938</v>
      </c>
      <c r="G24" s="48" t="s">
        <v>4953</v>
      </c>
      <c r="J24" s="40">
        <v>2</v>
      </c>
      <c r="K24" s="59" t="s">
        <v>4862</v>
      </c>
      <c r="L24" s="60" t="s">
        <v>4830</v>
      </c>
      <c r="M24" s="8" t="s">
        <v>4750</v>
      </c>
    </row>
    <row r="25" spans="1:13" ht="115.5" thickBot="1">
      <c r="A25" s="8" t="s">
        <v>4756</v>
      </c>
      <c r="B25" s="8" t="s">
        <v>4755</v>
      </c>
      <c r="C25" s="52" t="s">
        <v>4776</v>
      </c>
      <c r="D25" s="50" t="s">
        <v>4782</v>
      </c>
      <c r="E25" s="48" t="s">
        <v>4787</v>
      </c>
      <c r="F25" s="67" t="s">
        <v>4869</v>
      </c>
      <c r="G25" s="48" t="s">
        <v>4797</v>
      </c>
      <c r="J25" s="40">
        <v>3</v>
      </c>
      <c r="K25" s="62" t="s">
        <v>4831</v>
      </c>
      <c r="L25" s="60" t="s">
        <v>4832</v>
      </c>
      <c r="M25" s="8" t="s">
        <v>4750</v>
      </c>
    </row>
    <row r="26" spans="1:13" ht="102.75" thickBot="1">
      <c r="A26" s="40" t="s">
        <v>4757</v>
      </c>
      <c r="B26" s="40" t="s">
        <v>4758</v>
      </c>
      <c r="C26" s="52" t="s">
        <v>4833</v>
      </c>
      <c r="D26" s="50" t="s">
        <v>4905</v>
      </c>
      <c r="E26" s="48" t="s">
        <v>4923</v>
      </c>
      <c r="F26" s="51" t="s">
        <v>4940</v>
      </c>
      <c r="G26" s="48" t="s">
        <v>4955</v>
      </c>
      <c r="J26" s="40">
        <v>3</v>
      </c>
      <c r="K26" s="62" t="s">
        <v>4863</v>
      </c>
      <c r="L26" s="63" t="s">
        <v>4834</v>
      </c>
      <c r="M26" s="8" t="s">
        <v>4750</v>
      </c>
    </row>
    <row r="27" spans="1:13" ht="90" thickBot="1">
      <c r="A27" s="40" t="s">
        <v>4757</v>
      </c>
      <c r="B27" s="40" t="s">
        <v>4758</v>
      </c>
      <c r="C27" s="52" t="s">
        <v>4777</v>
      </c>
      <c r="D27" s="54" t="b">
        <v>0</v>
      </c>
      <c r="E27" s="55" t="b">
        <v>1</v>
      </c>
      <c r="J27" s="40">
        <v>1</v>
      </c>
      <c r="K27" s="62" t="s">
        <v>4835</v>
      </c>
      <c r="L27" s="63" t="s">
        <v>4836</v>
      </c>
      <c r="M27" s="8" t="s">
        <v>4761</v>
      </c>
    </row>
    <row r="28" spans="1:13" ht="115.5" thickBot="1">
      <c r="A28" s="40" t="s">
        <v>4757</v>
      </c>
      <c r="B28" s="40" t="s">
        <v>4758</v>
      </c>
      <c r="C28" s="52" t="s">
        <v>4778</v>
      </c>
      <c r="D28" s="47" t="s">
        <v>4783</v>
      </c>
      <c r="E28" s="48" t="s">
        <v>4788</v>
      </c>
      <c r="F28" s="48" t="s">
        <v>4793</v>
      </c>
      <c r="G28" s="48" t="s">
        <v>4798</v>
      </c>
      <c r="J28" s="40">
        <v>1</v>
      </c>
      <c r="K28" s="62" t="s">
        <v>4853</v>
      </c>
      <c r="L28" s="63" t="s">
        <v>4837</v>
      </c>
      <c r="M28" s="8" t="s">
        <v>4750</v>
      </c>
    </row>
    <row r="29" spans="1:13" ht="128.25" thickBot="1">
      <c r="A29" s="40" t="s">
        <v>4757</v>
      </c>
      <c r="B29" s="40" t="s">
        <v>4758</v>
      </c>
      <c r="C29" s="68" t="s">
        <v>4870</v>
      </c>
      <c r="D29" s="56" t="s">
        <v>4784</v>
      </c>
      <c r="E29" s="51" t="s">
        <v>4789</v>
      </c>
      <c r="F29" s="48" t="s">
        <v>4794</v>
      </c>
      <c r="G29" s="48" t="s">
        <v>4798</v>
      </c>
      <c r="J29" s="40">
        <v>2</v>
      </c>
      <c r="K29" s="62" t="s">
        <v>4838</v>
      </c>
      <c r="L29" s="63" t="s">
        <v>4839</v>
      </c>
      <c r="M29" s="8" t="s">
        <v>4750</v>
      </c>
    </row>
    <row r="30" spans="1:13" ht="90" thickBot="1">
      <c r="A30" s="40" t="s">
        <v>4760</v>
      </c>
      <c r="B30" s="40" t="s">
        <v>4759</v>
      </c>
      <c r="C30" s="68" t="s">
        <v>4871</v>
      </c>
      <c r="D30" s="50" t="s">
        <v>4906</v>
      </c>
      <c r="E30" s="48" t="s">
        <v>4924</v>
      </c>
      <c r="F30" s="67" t="s">
        <v>4941</v>
      </c>
      <c r="G30" s="48" t="s">
        <v>4956</v>
      </c>
      <c r="J30" s="40">
        <v>3</v>
      </c>
      <c r="K30" s="62" t="s">
        <v>4963</v>
      </c>
      <c r="L30" s="60" t="s">
        <v>4840</v>
      </c>
      <c r="M30" s="8" t="s">
        <v>4750</v>
      </c>
    </row>
    <row r="31" spans="1:13" ht="105.75" thickBot="1">
      <c r="A31" s="40" t="s">
        <v>4760</v>
      </c>
      <c r="B31" s="40" t="s">
        <v>4759</v>
      </c>
      <c r="C31" s="68" t="s">
        <v>4872</v>
      </c>
      <c r="D31" s="50" t="s">
        <v>4907</v>
      </c>
      <c r="E31" s="57" t="s">
        <v>4903</v>
      </c>
      <c r="F31" s="51" t="s">
        <v>4942</v>
      </c>
      <c r="G31" s="48" t="s">
        <v>4957</v>
      </c>
      <c r="J31" s="40">
        <v>3</v>
      </c>
      <c r="K31" s="69" t="s">
        <v>4873</v>
      </c>
      <c r="L31" s="60" t="s">
        <v>4841</v>
      </c>
      <c r="M31" s="8" t="s">
        <v>4750</v>
      </c>
    </row>
    <row r="32" spans="1:13" ht="75.75" thickBot="1">
      <c r="A32" s="40" t="s">
        <v>4760</v>
      </c>
      <c r="B32" s="40" t="s">
        <v>4759</v>
      </c>
      <c r="C32" s="68" t="s">
        <v>4874</v>
      </c>
      <c r="D32" s="47" t="s">
        <v>4908</v>
      </c>
      <c r="E32" s="48" t="s">
        <v>4925</v>
      </c>
      <c r="F32" s="48" t="s">
        <v>4910</v>
      </c>
      <c r="G32" s="58" t="s">
        <v>4958</v>
      </c>
      <c r="J32" s="40">
        <v>1</v>
      </c>
      <c r="K32" s="59" t="s">
        <v>4864</v>
      </c>
      <c r="L32" s="60" t="s">
        <v>4842</v>
      </c>
      <c r="M32" s="8" t="s">
        <v>4750</v>
      </c>
    </row>
    <row r="33" spans="1:13" ht="45.75" thickBot="1">
      <c r="A33" s="40" t="s">
        <v>4760</v>
      </c>
      <c r="B33" s="40" t="s">
        <v>4759</v>
      </c>
      <c r="C33" s="52" t="s">
        <v>4779</v>
      </c>
      <c r="D33" s="50" t="s">
        <v>4909</v>
      </c>
      <c r="E33" s="51" t="s">
        <v>4926</v>
      </c>
      <c r="F33" s="48" t="s">
        <v>4943</v>
      </c>
      <c r="G33" s="48" t="s">
        <v>4959</v>
      </c>
      <c r="J33" s="40">
        <v>2</v>
      </c>
      <c r="K33" s="59" t="s">
        <v>4843</v>
      </c>
      <c r="L33" s="63" t="s">
        <v>4844</v>
      </c>
      <c r="M33" s="8" t="s">
        <v>4750</v>
      </c>
    </row>
    <row r="34" spans="1:13" ht="77.25" thickBot="1">
      <c r="A34" s="40" t="s">
        <v>4760</v>
      </c>
      <c r="B34" s="40" t="s">
        <v>4759</v>
      </c>
      <c r="C34" s="52" t="s">
        <v>4851</v>
      </c>
      <c r="D34" s="50" t="s">
        <v>4910</v>
      </c>
      <c r="E34" s="67" t="s">
        <v>4927</v>
      </c>
      <c r="F34" s="48" t="s">
        <v>4908</v>
      </c>
      <c r="G34" s="48" t="s">
        <v>4960</v>
      </c>
      <c r="J34" s="40">
        <v>2</v>
      </c>
      <c r="K34" s="62" t="s">
        <v>4865</v>
      </c>
      <c r="L34" s="63" t="s">
        <v>4845</v>
      </c>
      <c r="M34" s="8" t="s">
        <v>4750</v>
      </c>
    </row>
    <row r="35" spans="1:13" ht="60.75" thickBot="1">
      <c r="A35" s="40" t="s">
        <v>4760</v>
      </c>
      <c r="B35" s="40" t="s">
        <v>4759</v>
      </c>
      <c r="C35" s="52" t="s">
        <v>4780</v>
      </c>
      <c r="D35" s="50" t="s">
        <v>4911</v>
      </c>
      <c r="E35" s="51" t="s">
        <v>4928</v>
      </c>
      <c r="F35" s="48" t="s">
        <v>4944</v>
      </c>
      <c r="G35" s="48" t="s">
        <v>4961</v>
      </c>
      <c r="J35" s="40">
        <v>2</v>
      </c>
      <c r="K35" s="59" t="s">
        <v>4846</v>
      </c>
      <c r="L35" s="60" t="s">
        <v>4847</v>
      </c>
      <c r="M35" s="8" t="s">
        <v>4750</v>
      </c>
    </row>
    <row r="37" spans="1:13">
      <c r="C37" s="40">
        <f>LEN(C4)</f>
        <v>57</v>
      </c>
      <c r="D37" s="40">
        <f>LEN(D4)</f>
        <v>43</v>
      </c>
      <c r="E37" s="40">
        <f>LEN(E4)</f>
        <v>41</v>
      </c>
      <c r="F37" s="40">
        <f>LEN(F4)</f>
        <v>47</v>
      </c>
      <c r="G37" s="40">
        <f>LEN(G4)</f>
        <v>43</v>
      </c>
      <c r="K37" s="40">
        <f>LEN(K4)</f>
        <v>142</v>
      </c>
      <c r="L37" s="40">
        <f>LEN(L4)</f>
        <v>172</v>
      </c>
    </row>
    <row r="38" spans="1:13">
      <c r="C38" s="40">
        <f t="shared" ref="C38:C68" si="0">LEN(C5)</f>
        <v>47</v>
      </c>
      <c r="D38" s="40">
        <f t="shared" ref="D38:G68" si="1">LEN(D5)</f>
        <v>93</v>
      </c>
      <c r="E38" s="40">
        <f t="shared" si="1"/>
        <v>42</v>
      </c>
      <c r="F38" s="40">
        <f t="shared" si="1"/>
        <v>72</v>
      </c>
      <c r="G38" s="40">
        <f t="shared" si="1"/>
        <v>66</v>
      </c>
      <c r="K38" s="40">
        <f t="shared" ref="K38:L38" si="2">LEN(K5)</f>
        <v>151</v>
      </c>
      <c r="L38" s="40">
        <f t="shared" si="2"/>
        <v>153</v>
      </c>
    </row>
    <row r="39" spans="1:13">
      <c r="C39" s="40">
        <f t="shared" si="0"/>
        <v>96</v>
      </c>
      <c r="D39" s="40">
        <f t="shared" si="1"/>
        <v>10</v>
      </c>
      <c r="E39" s="40">
        <f t="shared" si="1"/>
        <v>8</v>
      </c>
      <c r="F39" s="40">
        <f t="shared" si="1"/>
        <v>18</v>
      </c>
      <c r="G39" s="40">
        <f t="shared" si="1"/>
        <v>12</v>
      </c>
      <c r="K39" s="40">
        <f t="shared" ref="K39:L39" si="3">LEN(K6)</f>
        <v>114</v>
      </c>
      <c r="L39" s="40">
        <f t="shared" si="3"/>
        <v>129</v>
      </c>
    </row>
    <row r="40" spans="1:13">
      <c r="C40" s="40">
        <f t="shared" si="0"/>
        <v>112</v>
      </c>
      <c r="D40" s="40">
        <f t="shared" si="1"/>
        <v>49</v>
      </c>
      <c r="E40" s="40">
        <f t="shared" si="1"/>
        <v>54</v>
      </c>
      <c r="F40" s="40">
        <f t="shared" si="1"/>
        <v>32</v>
      </c>
      <c r="G40" s="40">
        <f t="shared" si="1"/>
        <v>20</v>
      </c>
      <c r="K40" s="40">
        <f t="shared" ref="K40:L40" si="4">LEN(K7)</f>
        <v>184</v>
      </c>
      <c r="L40" s="40">
        <f t="shared" si="4"/>
        <v>150</v>
      </c>
    </row>
    <row r="41" spans="1:13">
      <c r="C41" s="40">
        <f t="shared" si="0"/>
        <v>57</v>
      </c>
      <c r="D41" s="40">
        <f t="shared" si="1"/>
        <v>10</v>
      </c>
      <c r="E41" s="40">
        <f t="shared" si="1"/>
        <v>11</v>
      </c>
      <c r="F41" s="40">
        <f t="shared" si="1"/>
        <v>12</v>
      </c>
      <c r="G41" s="40">
        <f t="shared" si="1"/>
        <v>9</v>
      </c>
      <c r="K41" s="40">
        <f t="shared" ref="K41:L41" si="5">LEN(K8)</f>
        <v>75</v>
      </c>
      <c r="L41" s="40">
        <f t="shared" si="5"/>
        <v>81</v>
      </c>
    </row>
    <row r="42" spans="1:13">
      <c r="C42" s="40">
        <f t="shared" si="0"/>
        <v>15</v>
      </c>
      <c r="D42" s="40">
        <f t="shared" si="1"/>
        <v>109</v>
      </c>
      <c r="E42" s="40">
        <f t="shared" si="1"/>
        <v>213</v>
      </c>
      <c r="F42" s="40">
        <f t="shared" si="1"/>
        <v>147</v>
      </c>
      <c r="G42" s="40">
        <f t="shared" si="1"/>
        <v>146</v>
      </c>
      <c r="K42" s="40">
        <f t="shared" ref="K42:L42" si="6">LEN(K9)</f>
        <v>207</v>
      </c>
      <c r="L42" s="40">
        <f t="shared" si="6"/>
        <v>209</v>
      </c>
    </row>
    <row r="43" spans="1:13">
      <c r="C43" s="40">
        <f t="shared" si="0"/>
        <v>79</v>
      </c>
      <c r="D43" s="40">
        <f t="shared" si="1"/>
        <v>63</v>
      </c>
      <c r="E43" s="40">
        <f t="shared" si="1"/>
        <v>58</v>
      </c>
      <c r="F43" s="40">
        <f t="shared" si="1"/>
        <v>55</v>
      </c>
      <c r="G43" s="40">
        <f t="shared" si="1"/>
        <v>73</v>
      </c>
      <c r="K43" s="40">
        <f t="shared" ref="K43:L43" si="7">LEN(K10)</f>
        <v>154</v>
      </c>
      <c r="L43" s="40">
        <f t="shared" si="7"/>
        <v>169</v>
      </c>
    </row>
    <row r="44" spans="1:13">
      <c r="C44" s="40">
        <f t="shared" si="0"/>
        <v>207</v>
      </c>
      <c r="D44" s="40">
        <f t="shared" si="1"/>
        <v>101</v>
      </c>
      <c r="E44" s="40">
        <f t="shared" si="1"/>
        <v>65</v>
      </c>
      <c r="F44" s="40">
        <f t="shared" si="1"/>
        <v>64</v>
      </c>
      <c r="G44" s="40">
        <f t="shared" si="1"/>
        <v>52</v>
      </c>
      <c r="K44" s="40">
        <f t="shared" ref="K44:L44" si="8">LEN(K11)</f>
        <v>140</v>
      </c>
      <c r="L44" s="40">
        <f t="shared" si="8"/>
        <v>144</v>
      </c>
    </row>
    <row r="45" spans="1:13">
      <c r="C45" s="40">
        <f t="shared" si="0"/>
        <v>283</v>
      </c>
      <c r="D45" s="40">
        <f t="shared" si="1"/>
        <v>21</v>
      </c>
      <c r="E45" s="40">
        <f t="shared" si="1"/>
        <v>13</v>
      </c>
      <c r="F45" s="40">
        <f t="shared" si="1"/>
        <v>56</v>
      </c>
      <c r="G45" s="40">
        <f t="shared" si="1"/>
        <v>40</v>
      </c>
      <c r="K45" s="40">
        <f t="shared" ref="K45:L45" si="9">LEN(K12)</f>
        <v>213</v>
      </c>
      <c r="L45" s="40">
        <f t="shared" si="9"/>
        <v>225</v>
      </c>
    </row>
    <row r="46" spans="1:13">
      <c r="C46" s="40">
        <f t="shared" si="0"/>
        <v>71</v>
      </c>
      <c r="D46" s="40">
        <f t="shared" si="1"/>
        <v>44</v>
      </c>
      <c r="E46" s="40">
        <f t="shared" si="1"/>
        <v>114</v>
      </c>
      <c r="F46" s="40">
        <f t="shared" si="1"/>
        <v>86</v>
      </c>
      <c r="G46" s="40">
        <f t="shared" si="1"/>
        <v>77</v>
      </c>
      <c r="K46" s="40">
        <f t="shared" ref="K46:L46" si="10">LEN(K13)</f>
        <v>151</v>
      </c>
      <c r="L46" s="40">
        <f t="shared" si="10"/>
        <v>138</v>
      </c>
    </row>
    <row r="47" spans="1:13">
      <c r="C47" s="40">
        <f t="shared" si="0"/>
        <v>77</v>
      </c>
      <c r="D47" s="40">
        <f t="shared" si="1"/>
        <v>29</v>
      </c>
      <c r="E47" s="40">
        <f t="shared" si="1"/>
        <v>33</v>
      </c>
      <c r="F47" s="40">
        <f t="shared" si="1"/>
        <v>63</v>
      </c>
      <c r="G47" s="40">
        <f t="shared" si="1"/>
        <v>54</v>
      </c>
      <c r="K47" s="40">
        <f t="shared" ref="K47:L47" si="11">LEN(K14)</f>
        <v>252</v>
      </c>
      <c r="L47" s="40">
        <f t="shared" si="11"/>
        <v>102</v>
      </c>
    </row>
    <row r="48" spans="1:13">
      <c r="C48" s="40">
        <f t="shared" si="0"/>
        <v>279</v>
      </c>
      <c r="D48" s="40">
        <f t="shared" si="1"/>
        <v>6</v>
      </c>
      <c r="E48" s="40">
        <f t="shared" si="1"/>
        <v>11</v>
      </c>
      <c r="F48" s="40">
        <f t="shared" si="1"/>
        <v>9</v>
      </c>
      <c r="G48" s="40">
        <f t="shared" si="1"/>
        <v>22</v>
      </c>
      <c r="K48" s="40">
        <f t="shared" ref="K48:L48" si="12">LEN(K15)</f>
        <v>88</v>
      </c>
      <c r="L48" s="40">
        <f t="shared" si="12"/>
        <v>145</v>
      </c>
    </row>
    <row r="49" spans="3:12">
      <c r="C49" s="40">
        <f t="shared" si="0"/>
        <v>205</v>
      </c>
      <c r="D49" s="40">
        <f t="shared" si="1"/>
        <v>31</v>
      </c>
      <c r="E49" s="40">
        <f t="shared" si="1"/>
        <v>39</v>
      </c>
      <c r="F49" s="40">
        <f t="shared" si="1"/>
        <v>44</v>
      </c>
      <c r="G49" s="40">
        <f t="shared" si="1"/>
        <v>41</v>
      </c>
      <c r="K49" s="40">
        <f t="shared" ref="K49:L49" si="13">LEN(K16)</f>
        <v>176</v>
      </c>
      <c r="L49" s="40">
        <f t="shared" si="13"/>
        <v>190</v>
      </c>
    </row>
    <row r="50" spans="3:12">
      <c r="C50" s="40">
        <f t="shared" si="0"/>
        <v>275</v>
      </c>
      <c r="D50" s="40">
        <f t="shared" si="1"/>
        <v>11</v>
      </c>
      <c r="E50" s="40">
        <f t="shared" si="1"/>
        <v>6</v>
      </c>
      <c r="F50" s="40">
        <f t="shared" si="1"/>
        <v>9</v>
      </c>
      <c r="G50" s="40">
        <f t="shared" si="1"/>
        <v>22</v>
      </c>
      <c r="K50" s="40">
        <f t="shared" ref="K50:L50" si="14">LEN(K17)</f>
        <v>113</v>
      </c>
      <c r="L50" s="40">
        <f t="shared" si="14"/>
        <v>62</v>
      </c>
    </row>
    <row r="51" spans="3:12">
      <c r="C51" s="40">
        <f t="shared" si="0"/>
        <v>157</v>
      </c>
      <c r="D51" s="40">
        <f t="shared" si="1"/>
        <v>8</v>
      </c>
      <c r="E51" s="40">
        <f t="shared" si="1"/>
        <v>11</v>
      </c>
      <c r="F51" s="40">
        <f t="shared" si="1"/>
        <v>9</v>
      </c>
      <c r="G51" s="40">
        <f t="shared" si="1"/>
        <v>10</v>
      </c>
      <c r="K51" s="40">
        <f t="shared" ref="K51:L51" si="15">LEN(K18)</f>
        <v>168</v>
      </c>
      <c r="L51" s="40">
        <f t="shared" si="15"/>
        <v>78</v>
      </c>
    </row>
    <row r="52" spans="3:12">
      <c r="C52" s="40">
        <f t="shared" si="0"/>
        <v>331</v>
      </c>
      <c r="D52" s="40">
        <f t="shared" si="1"/>
        <v>6</v>
      </c>
      <c r="E52" s="40">
        <f t="shared" si="1"/>
        <v>7</v>
      </c>
      <c r="F52" s="40">
        <f t="shared" si="1"/>
        <v>8</v>
      </c>
      <c r="G52" s="40">
        <f t="shared" si="1"/>
        <v>9</v>
      </c>
      <c r="K52" s="40">
        <f t="shared" ref="K52:L52" si="16">LEN(K19)</f>
        <v>103</v>
      </c>
      <c r="L52" s="40">
        <f t="shared" si="16"/>
        <v>107</v>
      </c>
    </row>
    <row r="53" spans="3:12">
      <c r="C53" s="40">
        <f t="shared" si="0"/>
        <v>386</v>
      </c>
      <c r="D53" s="40">
        <f t="shared" si="1"/>
        <v>9</v>
      </c>
      <c r="E53" s="40">
        <f t="shared" si="1"/>
        <v>6</v>
      </c>
      <c r="F53" s="40">
        <f t="shared" si="1"/>
        <v>11</v>
      </c>
      <c r="G53" s="40">
        <f t="shared" si="1"/>
        <v>22</v>
      </c>
      <c r="K53" s="40">
        <f t="shared" ref="K53:L53" si="17">LEN(K20)</f>
        <v>120</v>
      </c>
      <c r="L53" s="40">
        <f t="shared" si="17"/>
        <v>95</v>
      </c>
    </row>
    <row r="54" spans="3:12">
      <c r="C54" s="40">
        <f t="shared" si="0"/>
        <v>191</v>
      </c>
      <c r="D54" s="40">
        <f t="shared" si="1"/>
        <v>13</v>
      </c>
      <c r="E54" s="40">
        <f t="shared" si="1"/>
        <v>13</v>
      </c>
      <c r="F54" s="40">
        <f t="shared" si="1"/>
        <v>17</v>
      </c>
      <c r="G54" s="40">
        <f t="shared" si="1"/>
        <v>12</v>
      </c>
      <c r="K54" s="40">
        <f t="shared" ref="K54:L54" si="18">LEN(K21)</f>
        <v>122</v>
      </c>
      <c r="L54" s="40">
        <f t="shared" si="18"/>
        <v>137</v>
      </c>
    </row>
    <row r="55" spans="3:12">
      <c r="C55" s="40">
        <f t="shared" si="0"/>
        <v>200</v>
      </c>
      <c r="D55" s="40">
        <f t="shared" si="1"/>
        <v>43</v>
      </c>
      <c r="E55" s="40">
        <f t="shared" si="1"/>
        <v>41</v>
      </c>
      <c r="F55" s="40">
        <f t="shared" si="1"/>
        <v>31</v>
      </c>
      <c r="G55" s="40">
        <f t="shared" si="1"/>
        <v>38</v>
      </c>
      <c r="K55" s="40">
        <f t="shared" ref="K55:L55" si="19">LEN(K22)</f>
        <v>144</v>
      </c>
      <c r="L55" s="40">
        <f t="shared" si="19"/>
        <v>119</v>
      </c>
    </row>
    <row r="56" spans="3:12">
      <c r="C56" s="40">
        <f t="shared" si="0"/>
        <v>207</v>
      </c>
      <c r="D56" s="40">
        <f t="shared" si="1"/>
        <v>153</v>
      </c>
      <c r="E56" s="40">
        <f t="shared" si="1"/>
        <v>167</v>
      </c>
      <c r="F56" s="40">
        <f t="shared" si="1"/>
        <v>156</v>
      </c>
      <c r="G56" s="40">
        <f t="shared" si="1"/>
        <v>156</v>
      </c>
      <c r="K56" s="40">
        <f t="shared" ref="K56:L56" si="20">LEN(K23)</f>
        <v>152</v>
      </c>
      <c r="L56" s="40">
        <f t="shared" si="20"/>
        <v>188</v>
      </c>
    </row>
    <row r="57" spans="3:12">
      <c r="C57" s="40">
        <f t="shared" si="0"/>
        <v>152</v>
      </c>
      <c r="D57" s="40">
        <f t="shared" si="1"/>
        <v>13</v>
      </c>
      <c r="E57" s="40">
        <f t="shared" si="1"/>
        <v>13</v>
      </c>
      <c r="F57" s="40">
        <f t="shared" si="1"/>
        <v>17</v>
      </c>
      <c r="G57" s="40">
        <f t="shared" si="1"/>
        <v>12</v>
      </c>
      <c r="K57" s="40">
        <f t="shared" ref="K57:L57" si="21">LEN(K24)</f>
        <v>144</v>
      </c>
      <c r="L57" s="40">
        <f t="shared" si="21"/>
        <v>119</v>
      </c>
    </row>
    <row r="58" spans="3:12">
      <c r="C58" s="40">
        <f t="shared" si="0"/>
        <v>57</v>
      </c>
      <c r="D58" s="40">
        <f t="shared" si="1"/>
        <v>134</v>
      </c>
      <c r="E58" s="40">
        <f t="shared" si="1"/>
        <v>154</v>
      </c>
      <c r="F58" s="40">
        <f t="shared" si="1"/>
        <v>137</v>
      </c>
      <c r="G58" s="40">
        <f t="shared" si="1"/>
        <v>175</v>
      </c>
      <c r="K58" s="40">
        <f t="shared" ref="K58:L58" si="22">LEN(K25)</f>
        <v>147</v>
      </c>
      <c r="L58" s="40">
        <f t="shared" si="22"/>
        <v>119</v>
      </c>
    </row>
    <row r="59" spans="3:12">
      <c r="C59" s="40">
        <f t="shared" si="0"/>
        <v>348</v>
      </c>
      <c r="D59" s="40">
        <f t="shared" si="1"/>
        <v>29</v>
      </c>
      <c r="E59" s="40">
        <f t="shared" si="1"/>
        <v>22</v>
      </c>
      <c r="F59" s="40">
        <f t="shared" si="1"/>
        <v>33</v>
      </c>
      <c r="G59" s="40">
        <f t="shared" si="1"/>
        <v>27</v>
      </c>
      <c r="K59" s="40">
        <f t="shared" ref="K59:L59" si="23">LEN(K26)</f>
        <v>106</v>
      </c>
      <c r="L59" s="40">
        <f t="shared" si="23"/>
        <v>121</v>
      </c>
    </row>
    <row r="60" spans="3:12">
      <c r="C60" s="40">
        <f t="shared" si="0"/>
        <v>307</v>
      </c>
      <c r="D60" s="40">
        <f t="shared" si="1"/>
        <v>5</v>
      </c>
      <c r="E60" s="40">
        <f t="shared" si="1"/>
        <v>9</v>
      </c>
      <c r="F60" s="40">
        <f t="shared" si="1"/>
        <v>0</v>
      </c>
      <c r="G60" s="40">
        <f t="shared" si="1"/>
        <v>0</v>
      </c>
      <c r="K60" s="40">
        <f t="shared" ref="K60:L60" si="24">LEN(K27)</f>
        <v>192</v>
      </c>
      <c r="L60" s="40">
        <f t="shared" si="24"/>
        <v>166</v>
      </c>
    </row>
    <row r="61" spans="3:12">
      <c r="C61" s="40">
        <f t="shared" si="0"/>
        <v>64</v>
      </c>
      <c r="D61" s="40">
        <f t="shared" si="1"/>
        <v>192</v>
      </c>
      <c r="E61" s="40">
        <f t="shared" si="1"/>
        <v>93</v>
      </c>
      <c r="F61" s="40">
        <f t="shared" si="1"/>
        <v>182</v>
      </c>
      <c r="G61" s="40">
        <f t="shared" si="1"/>
        <v>112</v>
      </c>
      <c r="K61" s="40">
        <f t="shared" ref="K61:L61" si="25">LEN(K28)</f>
        <v>142</v>
      </c>
      <c r="L61" s="40">
        <f t="shared" si="25"/>
        <v>269</v>
      </c>
    </row>
    <row r="62" spans="3:12">
      <c r="C62" s="40">
        <f t="shared" si="0"/>
        <v>53</v>
      </c>
      <c r="D62" s="40">
        <f t="shared" si="1"/>
        <v>221</v>
      </c>
      <c r="E62" s="40">
        <f t="shared" si="1"/>
        <v>126</v>
      </c>
      <c r="F62" s="40">
        <f t="shared" si="1"/>
        <v>202</v>
      </c>
      <c r="G62" s="40">
        <f t="shared" si="1"/>
        <v>112</v>
      </c>
      <c r="K62" s="40">
        <f t="shared" ref="K62:L62" si="26">LEN(K29)</f>
        <v>176</v>
      </c>
      <c r="L62" s="40">
        <f t="shared" si="26"/>
        <v>192</v>
      </c>
    </row>
    <row r="63" spans="3:12">
      <c r="C63" s="40">
        <f t="shared" si="0"/>
        <v>234</v>
      </c>
      <c r="D63" s="40">
        <f t="shared" si="1"/>
        <v>37</v>
      </c>
      <c r="E63" s="40">
        <f t="shared" si="1"/>
        <v>51</v>
      </c>
      <c r="F63" s="40">
        <f t="shared" si="1"/>
        <v>133</v>
      </c>
      <c r="G63" s="40">
        <f t="shared" si="1"/>
        <v>85</v>
      </c>
      <c r="K63" s="40">
        <f t="shared" ref="K63:L63" si="27">LEN(K30)</f>
        <v>169</v>
      </c>
      <c r="L63" s="40">
        <f t="shared" si="27"/>
        <v>223</v>
      </c>
    </row>
    <row r="64" spans="3:12">
      <c r="C64" s="40">
        <f t="shared" si="0"/>
        <v>257</v>
      </c>
      <c r="D64" s="40">
        <f t="shared" si="1"/>
        <v>6</v>
      </c>
      <c r="E64" s="40">
        <f t="shared" si="1"/>
        <v>13</v>
      </c>
      <c r="F64" s="40">
        <f t="shared" si="1"/>
        <v>9</v>
      </c>
      <c r="G64" s="40">
        <f t="shared" si="1"/>
        <v>7</v>
      </c>
      <c r="K64" s="40">
        <f t="shared" ref="K64:L64" si="28">LEN(K31)</f>
        <v>203</v>
      </c>
      <c r="L64" s="40">
        <f t="shared" si="28"/>
        <v>339</v>
      </c>
    </row>
    <row r="65" spans="3:12">
      <c r="C65" s="40">
        <f t="shared" si="0"/>
        <v>134</v>
      </c>
      <c r="D65" s="40">
        <f t="shared" si="1"/>
        <v>7</v>
      </c>
      <c r="E65" s="40">
        <f t="shared" si="1"/>
        <v>9</v>
      </c>
      <c r="F65" s="40">
        <f t="shared" si="1"/>
        <v>11</v>
      </c>
      <c r="G65" s="40">
        <f t="shared" si="1"/>
        <v>27</v>
      </c>
      <c r="K65" s="40">
        <f t="shared" ref="K65:L65" si="29">LEN(K32)</f>
        <v>262</v>
      </c>
      <c r="L65" s="40">
        <f t="shared" si="29"/>
        <v>216</v>
      </c>
    </row>
    <row r="66" spans="3:12">
      <c r="C66" s="40">
        <f t="shared" si="0"/>
        <v>115</v>
      </c>
      <c r="D66" s="40">
        <f t="shared" si="1"/>
        <v>9</v>
      </c>
      <c r="E66" s="40">
        <f t="shared" si="1"/>
        <v>5</v>
      </c>
      <c r="F66" s="40">
        <f t="shared" si="1"/>
        <v>8</v>
      </c>
      <c r="G66" s="40">
        <f t="shared" si="1"/>
        <v>6</v>
      </c>
      <c r="K66" s="40">
        <f t="shared" ref="K66:L66" si="30">LEN(K33)</f>
        <v>134</v>
      </c>
      <c r="L66" s="40">
        <f t="shared" si="30"/>
        <v>152</v>
      </c>
    </row>
    <row r="67" spans="3:12">
      <c r="C67" s="40">
        <f t="shared" si="0"/>
        <v>270</v>
      </c>
      <c r="D67" s="40">
        <f t="shared" si="1"/>
        <v>11</v>
      </c>
      <c r="E67" s="40">
        <f t="shared" si="1"/>
        <v>21</v>
      </c>
      <c r="F67" s="40">
        <f t="shared" si="1"/>
        <v>7</v>
      </c>
      <c r="G67" s="40">
        <f t="shared" si="1"/>
        <v>22</v>
      </c>
      <c r="K67" s="40">
        <f t="shared" ref="K67:L67" si="31">LEN(K34)</f>
        <v>157</v>
      </c>
      <c r="L67" s="40">
        <f t="shared" si="31"/>
        <v>209</v>
      </c>
    </row>
    <row r="68" spans="3:12">
      <c r="C68" s="40">
        <f t="shared" si="0"/>
        <v>64</v>
      </c>
      <c r="D68" s="40">
        <f t="shared" si="1"/>
        <v>44</v>
      </c>
      <c r="E68" s="40">
        <f t="shared" si="1"/>
        <v>38</v>
      </c>
      <c r="F68" s="40">
        <f t="shared" si="1"/>
        <v>41</v>
      </c>
      <c r="G68" s="40">
        <f t="shared" si="1"/>
        <v>64</v>
      </c>
      <c r="K68" s="40">
        <f t="shared" ref="K68:L68" si="32">LEN(K35)</f>
        <v>202</v>
      </c>
      <c r="L68" s="40">
        <f t="shared" si="32"/>
        <v>207</v>
      </c>
    </row>
    <row r="70" spans="3:12">
      <c r="C70" s="40">
        <f>MAX(C37:C68)</f>
        <v>386</v>
      </c>
      <c r="D70" s="40">
        <f>MAX(D37:D68)</f>
        <v>221</v>
      </c>
      <c r="E70" s="40">
        <f>MAX(E37:E68)</f>
        <v>213</v>
      </c>
      <c r="F70" s="40">
        <f>MAX(F37:F68)</f>
        <v>202</v>
      </c>
      <c r="G70" s="40">
        <f>MAX(G37:G68)</f>
        <v>175</v>
      </c>
      <c r="K70" s="40">
        <f>MAX(K37:K68)</f>
        <v>262</v>
      </c>
      <c r="L70" s="40">
        <f>MAX(L37:L68)</f>
        <v>339</v>
      </c>
    </row>
  </sheetData>
  <autoFilter ref="A2:M18" xr:uid="{00000000-0009-0000-0000-000000000000}"/>
  <phoneticPr fontId="14" type="noConversion"/>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Fill="0" autoPict="0" macro="[0]!generaJS2">
                <anchor moveWithCells="1" sizeWithCells="1">
                  <from>
                    <xdr:col>1</xdr:col>
                    <xdr:colOff>0</xdr:colOff>
                    <xdr:row>3</xdr:row>
                    <xdr:rowOff>28575</xdr:rowOff>
                  </from>
                  <to>
                    <xdr:col>2</xdr:col>
                    <xdr:colOff>28575</xdr:colOff>
                    <xdr:row>3</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L129"/>
  <sheetViews>
    <sheetView workbookViewId="0"/>
  </sheetViews>
  <sheetFormatPr baseColWidth="10" defaultColWidth="14.42578125" defaultRowHeight="15.75" customHeight="1"/>
  <cols>
    <col min="1" max="1" width="11.42578125" customWidth="1"/>
    <col min="3" max="3" width="13.7109375" customWidth="1"/>
    <col min="4" max="4" width="72" customWidth="1"/>
    <col min="5" max="5" width="47.42578125" customWidth="1"/>
    <col min="6" max="6" width="14.42578125" hidden="1"/>
    <col min="7" max="7" width="14" customWidth="1"/>
    <col min="8" max="8" width="13.7109375" customWidth="1"/>
    <col min="9" max="9" width="10.85546875" customWidth="1"/>
  </cols>
  <sheetData>
    <row r="1" spans="1:9" ht="15.75" customHeight="1">
      <c r="A1" s="5" t="s">
        <v>0</v>
      </c>
      <c r="B1" s="5" t="s">
        <v>64</v>
      </c>
      <c r="C1" s="5" t="s">
        <v>7</v>
      </c>
      <c r="D1" s="6" t="s">
        <v>65</v>
      </c>
      <c r="E1" s="5" t="s">
        <v>8</v>
      </c>
      <c r="F1" s="7" t="s">
        <v>209</v>
      </c>
      <c r="G1" s="5" t="s">
        <v>9</v>
      </c>
      <c r="H1" s="5" t="s">
        <v>10</v>
      </c>
      <c r="I1" s="5" t="s">
        <v>2</v>
      </c>
    </row>
    <row r="2" spans="1:9" ht="15.75" customHeight="1">
      <c r="A2" s="8" t="s">
        <v>3</v>
      </c>
      <c r="B2" s="8" t="s">
        <v>11</v>
      </c>
      <c r="C2" s="8" t="s">
        <v>66</v>
      </c>
      <c r="D2" s="8" t="s">
        <v>67</v>
      </c>
      <c r="E2" s="8" t="e">
        <f>VLOOKUP(D2,#REF!,2,)</f>
        <v>#REF!</v>
      </c>
      <c r="F2" s="3" t="s">
        <v>13</v>
      </c>
      <c r="G2" s="8" t="s">
        <v>59</v>
      </c>
      <c r="H2" s="4"/>
      <c r="I2" s="8" t="e">
        <f>VLOOKUP(D2,#REF!,6,)</f>
        <v>#REF!</v>
      </c>
    </row>
    <row r="3" spans="1:9" ht="15.75" customHeight="1">
      <c r="A3" s="8" t="s">
        <v>3</v>
      </c>
      <c r="B3" s="8" t="s">
        <v>11</v>
      </c>
      <c r="C3" s="8" t="s">
        <v>18</v>
      </c>
      <c r="D3" s="8" t="s">
        <v>73</v>
      </c>
      <c r="E3" s="8" t="e">
        <f>VLOOKUP(D3,#REF!,2,)</f>
        <v>#REF!</v>
      </c>
      <c r="F3" s="3" t="s">
        <v>13</v>
      </c>
      <c r="G3" s="8" t="s">
        <v>42</v>
      </c>
      <c r="H3" s="4"/>
      <c r="I3" s="8" t="e">
        <f>VLOOKUP(D3,#REF!,6,)</f>
        <v>#REF!</v>
      </c>
    </row>
    <row r="4" spans="1:9" ht="15.75" customHeight="1">
      <c r="A4" s="8" t="s">
        <v>3</v>
      </c>
      <c r="B4" s="8" t="s">
        <v>11</v>
      </c>
      <c r="C4" s="8" t="s">
        <v>18</v>
      </c>
      <c r="D4" s="8" t="s">
        <v>74</v>
      </c>
      <c r="E4" s="8" t="e">
        <f>VLOOKUP(D4,#REF!,2,)</f>
        <v>#REF!</v>
      </c>
      <c r="F4" s="3" t="s">
        <v>13</v>
      </c>
      <c r="G4" s="8" t="s">
        <v>42</v>
      </c>
      <c r="H4" s="4"/>
      <c r="I4" s="8" t="e">
        <f>VLOOKUP(D4,#REF!,6,)</f>
        <v>#REF!</v>
      </c>
    </row>
    <row r="5" spans="1:9" ht="15.75" customHeight="1">
      <c r="A5" s="8" t="s">
        <v>3</v>
      </c>
      <c r="B5" s="8" t="s">
        <v>11</v>
      </c>
      <c r="C5" s="8" t="s">
        <v>18</v>
      </c>
      <c r="D5" s="8" t="s">
        <v>90</v>
      </c>
      <c r="E5" s="8" t="e">
        <f>VLOOKUP(D5,#REF!,2,)</f>
        <v>#REF!</v>
      </c>
      <c r="F5" s="3" t="s">
        <v>13</v>
      </c>
      <c r="G5" s="8" t="s">
        <v>14</v>
      </c>
      <c r="H5" s="4"/>
      <c r="I5" s="8" t="e">
        <f>VLOOKUP(D5,#REF!,6,)</f>
        <v>#REF!</v>
      </c>
    </row>
    <row r="6" spans="1:9" ht="15.75" customHeight="1">
      <c r="A6" s="8" t="s">
        <v>3</v>
      </c>
      <c r="B6" s="8" t="s">
        <v>11</v>
      </c>
      <c r="C6" s="8" t="s">
        <v>18</v>
      </c>
      <c r="D6" s="8" t="s">
        <v>101</v>
      </c>
      <c r="E6" s="8" t="e">
        <f>VLOOKUP(D6,#REF!,2,)</f>
        <v>#REF!</v>
      </c>
      <c r="F6" s="3" t="s">
        <v>13</v>
      </c>
      <c r="G6" s="8" t="s">
        <v>42</v>
      </c>
      <c r="H6" s="4"/>
      <c r="I6" s="8" t="e">
        <f>VLOOKUP(D6,#REF!,6,)</f>
        <v>#REF!</v>
      </c>
    </row>
    <row r="7" spans="1:9" ht="15.75" customHeight="1">
      <c r="A7" s="8" t="s">
        <v>3</v>
      </c>
      <c r="B7" s="8" t="s">
        <v>11</v>
      </c>
      <c r="C7" s="8" t="s">
        <v>18</v>
      </c>
      <c r="D7" s="8" t="s">
        <v>19</v>
      </c>
      <c r="E7" s="8" t="e">
        <f>VLOOKUP(D7,#REF!,2,)</f>
        <v>#REF!</v>
      </c>
      <c r="F7" s="3" t="s">
        <v>13</v>
      </c>
      <c r="G7" s="8" t="s">
        <v>14</v>
      </c>
      <c r="H7" s="4"/>
      <c r="I7" s="8" t="e">
        <f>VLOOKUP(D7,#REF!,6,)</f>
        <v>#REF!</v>
      </c>
    </row>
    <row r="8" spans="1:9" ht="15.75" customHeight="1">
      <c r="A8" s="8" t="s">
        <v>3</v>
      </c>
      <c r="B8" s="8" t="s">
        <v>11</v>
      </c>
      <c r="C8" s="8" t="s">
        <v>18</v>
      </c>
      <c r="D8" s="8" t="s">
        <v>104</v>
      </c>
      <c r="E8" s="8" t="e">
        <f>VLOOKUP(D8,#REF!,2,)</f>
        <v>#REF!</v>
      </c>
      <c r="F8" s="3" t="s">
        <v>13</v>
      </c>
      <c r="G8" s="8" t="s">
        <v>14</v>
      </c>
      <c r="H8" s="4"/>
      <c r="I8" s="8" t="e">
        <f>VLOOKUP(D8,#REF!,6,)</f>
        <v>#REF!</v>
      </c>
    </row>
    <row r="9" spans="1:9" ht="15.75" customHeight="1">
      <c r="A9" s="8" t="s">
        <v>3</v>
      </c>
      <c r="B9" s="8" t="s">
        <v>11</v>
      </c>
      <c r="C9" s="8" t="s">
        <v>18</v>
      </c>
      <c r="D9" s="8" t="s">
        <v>225</v>
      </c>
      <c r="E9" s="8" t="e">
        <f>VLOOKUP(D9,#REF!,2,)</f>
        <v>#REF!</v>
      </c>
      <c r="F9" s="3" t="s">
        <v>13</v>
      </c>
      <c r="G9" s="8"/>
      <c r="H9" s="4"/>
      <c r="I9" s="8" t="e">
        <f>VLOOKUP(D9,#REF!,6,)</f>
        <v>#REF!</v>
      </c>
    </row>
    <row r="10" spans="1:9" ht="15.75" customHeight="1">
      <c r="A10" s="1" t="s">
        <v>3</v>
      </c>
      <c r="B10" s="8" t="s">
        <v>11</v>
      </c>
      <c r="C10" s="8" t="s">
        <v>18</v>
      </c>
      <c r="D10" s="1" t="s">
        <v>203</v>
      </c>
      <c r="E10" s="8" t="e">
        <f>VLOOKUP(D10,#REF!,2,)</f>
        <v>#REF!</v>
      </c>
      <c r="F10" s="3" t="s">
        <v>13</v>
      </c>
      <c r="G10" s="8" t="s">
        <v>210</v>
      </c>
      <c r="H10" s="4"/>
      <c r="I10" s="8" t="e">
        <f>VLOOKUP(D10,#REF!,6,)</f>
        <v>#REF!</v>
      </c>
    </row>
    <row r="11" spans="1:9" ht="15.75" customHeight="1">
      <c r="A11" s="1" t="s">
        <v>3</v>
      </c>
      <c r="B11" s="8" t="s">
        <v>11</v>
      </c>
      <c r="C11" s="8" t="s">
        <v>18</v>
      </c>
      <c r="D11" s="8" t="s">
        <v>204</v>
      </c>
      <c r="E11" s="8" t="e">
        <f>VLOOKUP(D11,#REF!,2,)</f>
        <v>#REF!</v>
      </c>
      <c r="F11" s="3" t="s">
        <v>13</v>
      </c>
      <c r="G11" s="8" t="s">
        <v>233</v>
      </c>
      <c r="H11" s="4"/>
      <c r="I11" s="8" t="e">
        <f>VLOOKUP(D11,#REF!,6,)</f>
        <v>#REF!</v>
      </c>
    </row>
    <row r="12" spans="1:9" ht="15.75" customHeight="1">
      <c r="A12" s="8" t="s">
        <v>3</v>
      </c>
      <c r="B12" s="8" t="s">
        <v>11</v>
      </c>
      <c r="C12" s="8" t="s">
        <v>12</v>
      </c>
      <c r="D12" s="8" t="s">
        <v>76</v>
      </c>
      <c r="E12" s="8" t="e">
        <f>VLOOKUP(D12,#REF!,2,)</f>
        <v>#REF!</v>
      </c>
      <c r="F12" s="3" t="s">
        <v>13</v>
      </c>
      <c r="G12" s="8" t="s">
        <v>14</v>
      </c>
      <c r="H12" s="4"/>
      <c r="I12" s="8" t="e">
        <f>VLOOKUP(D12,#REF!,6,)</f>
        <v>#REF!</v>
      </c>
    </row>
    <row r="13" spans="1:9" ht="15.75" customHeight="1">
      <c r="A13" s="8" t="s">
        <v>3</v>
      </c>
      <c r="B13" s="8" t="s">
        <v>11</v>
      </c>
      <c r="C13" s="8" t="s">
        <v>12</v>
      </c>
      <c r="D13" s="8" t="s">
        <v>77</v>
      </c>
      <c r="E13" s="8" t="e">
        <f>VLOOKUP(D13,#REF!,2,)</f>
        <v>#REF!</v>
      </c>
      <c r="F13" s="3" t="s">
        <v>13</v>
      </c>
      <c r="G13" s="4"/>
      <c r="H13" s="4"/>
      <c r="I13" s="8" t="e">
        <f>VLOOKUP(D13,#REF!,6,)</f>
        <v>#REF!</v>
      </c>
    </row>
    <row r="14" spans="1:9" ht="15.75" customHeight="1">
      <c r="A14" s="8" t="s">
        <v>3</v>
      </c>
      <c r="B14" s="8" t="s">
        <v>11</v>
      </c>
      <c r="C14" s="8" t="s">
        <v>12</v>
      </c>
      <c r="D14" s="8" t="s">
        <v>93</v>
      </c>
      <c r="E14" s="8" t="e">
        <f>VLOOKUP(D14,#REF!,2,)</f>
        <v>#REF!</v>
      </c>
      <c r="F14" s="3" t="s">
        <v>13</v>
      </c>
      <c r="G14" s="8" t="s">
        <v>210</v>
      </c>
      <c r="H14" s="4"/>
      <c r="I14" s="8" t="e">
        <f>VLOOKUP(D14,#REF!,6,)</f>
        <v>#REF!</v>
      </c>
    </row>
    <row r="15" spans="1:9" ht="15.75" customHeight="1">
      <c r="A15" s="8" t="s">
        <v>3</v>
      </c>
      <c r="B15" s="8" t="s">
        <v>11</v>
      </c>
      <c r="C15" s="8" t="s">
        <v>12</v>
      </c>
      <c r="D15" s="8" t="s">
        <v>105</v>
      </c>
      <c r="E15" s="8" t="e">
        <f>VLOOKUP(D15,#REF!,2,)</f>
        <v>#REF!</v>
      </c>
      <c r="F15" s="3" t="s">
        <v>13</v>
      </c>
      <c r="G15" s="8" t="s">
        <v>42</v>
      </c>
      <c r="H15" s="4"/>
      <c r="I15" s="8" t="e">
        <f>VLOOKUP(D15,#REF!,6,)</f>
        <v>#REF!</v>
      </c>
    </row>
    <row r="16" spans="1:9" ht="15.75" customHeight="1">
      <c r="A16" s="8" t="s">
        <v>3</v>
      </c>
      <c r="B16" s="8" t="s">
        <v>11</v>
      </c>
      <c r="C16" s="8" t="s">
        <v>12</v>
      </c>
      <c r="D16" s="8" t="s">
        <v>111</v>
      </c>
      <c r="E16" s="8" t="e">
        <f>VLOOKUP(D16,#REF!,2,)</f>
        <v>#REF!</v>
      </c>
      <c r="F16" s="3" t="s">
        <v>13</v>
      </c>
      <c r="G16" s="8" t="s">
        <v>42</v>
      </c>
      <c r="H16" s="4"/>
      <c r="I16" s="8" t="e">
        <f>VLOOKUP(D16,#REF!,6,)</f>
        <v>#REF!</v>
      </c>
    </row>
    <row r="17" spans="1:9" ht="15.75" customHeight="1">
      <c r="A17" s="1" t="s">
        <v>3</v>
      </c>
      <c r="B17" s="8" t="s">
        <v>11</v>
      </c>
      <c r="C17" s="8" t="s">
        <v>12</v>
      </c>
      <c r="D17" s="8" t="s">
        <v>206</v>
      </c>
      <c r="E17" s="8" t="e">
        <f>VLOOKUP(D17,#REF!,2,)</f>
        <v>#REF!</v>
      </c>
      <c r="F17" s="3" t="s">
        <v>13</v>
      </c>
      <c r="G17" s="8" t="s">
        <v>210</v>
      </c>
      <c r="H17" s="4"/>
      <c r="I17" s="8" t="e">
        <f>VLOOKUP(D17,#REF!,6,)</f>
        <v>#REF!</v>
      </c>
    </row>
    <row r="18" spans="1:9" ht="15.75" customHeight="1">
      <c r="A18" s="1" t="s">
        <v>3</v>
      </c>
      <c r="B18" s="8" t="s">
        <v>11</v>
      </c>
      <c r="C18" s="8" t="s">
        <v>12</v>
      </c>
      <c r="D18" s="8" t="s">
        <v>206</v>
      </c>
      <c r="E18" s="8" t="e">
        <f>VLOOKUP(D18,#REF!,2,)</f>
        <v>#REF!</v>
      </c>
      <c r="F18" s="3" t="s">
        <v>13</v>
      </c>
      <c r="G18" s="8" t="s">
        <v>210</v>
      </c>
      <c r="H18" s="4"/>
      <c r="I18" s="8" t="e">
        <f>VLOOKUP(D18,#REF!,6,)</f>
        <v>#REF!</v>
      </c>
    </row>
    <row r="19" spans="1:9" ht="15.75" customHeight="1">
      <c r="A19" s="8" t="s">
        <v>3</v>
      </c>
      <c r="B19" s="8" t="s">
        <v>11</v>
      </c>
      <c r="C19" s="8" t="s">
        <v>81</v>
      </c>
      <c r="D19" s="8" t="s">
        <v>82</v>
      </c>
      <c r="E19" s="8" t="e">
        <f>VLOOKUP(D19,#REF!,2,)</f>
        <v>#REF!</v>
      </c>
      <c r="F19" s="3" t="s">
        <v>13</v>
      </c>
      <c r="G19" s="8" t="s">
        <v>14</v>
      </c>
      <c r="H19" s="4"/>
      <c r="I19" s="8" t="e">
        <f>VLOOKUP(D19,#REF!,6,)</f>
        <v>#REF!</v>
      </c>
    </row>
    <row r="20" spans="1:9" ht="15.75" customHeight="1">
      <c r="A20" s="8" t="s">
        <v>3</v>
      </c>
      <c r="B20" s="8" t="s">
        <v>11</v>
      </c>
      <c r="C20" s="8" t="s">
        <v>54</v>
      </c>
      <c r="D20" s="8" t="s">
        <v>83</v>
      </c>
      <c r="E20" s="8" t="e">
        <f>VLOOKUP(D20,#REF!,2,)</f>
        <v>#REF!</v>
      </c>
      <c r="F20" s="3" t="s">
        <v>13</v>
      </c>
      <c r="G20" s="8" t="s">
        <v>42</v>
      </c>
      <c r="H20" s="4"/>
      <c r="I20" s="8" t="e">
        <f>VLOOKUP(D20,#REF!,6,)</f>
        <v>#REF!</v>
      </c>
    </row>
    <row r="21" spans="1:9" ht="15.75" customHeight="1">
      <c r="A21" s="8" t="s">
        <v>3</v>
      </c>
      <c r="B21" s="8" t="s">
        <v>11</v>
      </c>
      <c r="C21" s="8" t="s">
        <v>54</v>
      </c>
      <c r="D21" s="8" t="s">
        <v>108</v>
      </c>
      <c r="E21" s="8" t="e">
        <f>VLOOKUP(D21,#REF!,2,)</f>
        <v>#REF!</v>
      </c>
      <c r="F21" s="3" t="s">
        <v>13</v>
      </c>
      <c r="G21" s="8" t="s">
        <v>42</v>
      </c>
      <c r="H21" s="4"/>
      <c r="I21" s="8" t="e">
        <f>VLOOKUP(D21,#REF!,6,)</f>
        <v>#REF!</v>
      </c>
    </row>
    <row r="22" spans="1:9" ht="15.75" customHeight="1">
      <c r="A22" s="8" t="s">
        <v>3</v>
      </c>
      <c r="B22" s="8" t="s">
        <v>11</v>
      </c>
      <c r="C22" s="8" t="s">
        <v>25</v>
      </c>
      <c r="D22" s="8" t="s">
        <v>116</v>
      </c>
      <c r="E22" s="8" t="e">
        <f>VLOOKUP(D22,#REF!,2,)</f>
        <v>#REF!</v>
      </c>
      <c r="F22" s="3" t="s">
        <v>13</v>
      </c>
      <c r="G22" s="8" t="s">
        <v>14</v>
      </c>
      <c r="H22" s="4"/>
      <c r="I22" s="8" t="e">
        <f>VLOOKUP(D22,#REF!,6,)</f>
        <v>#REF!</v>
      </c>
    </row>
    <row r="23" spans="1:9" ht="15.75" customHeight="1">
      <c r="A23" s="8" t="s">
        <v>3</v>
      </c>
      <c r="B23" s="8" t="s">
        <v>11</v>
      </c>
      <c r="C23" s="8" t="s">
        <v>54</v>
      </c>
      <c r="D23" s="8" t="s">
        <v>71</v>
      </c>
      <c r="E23" s="8" t="e">
        <f>VLOOKUP(D23,#REF!,2,)</f>
        <v>#REF!</v>
      </c>
      <c r="F23" s="3" t="s">
        <v>13</v>
      </c>
      <c r="G23" s="1" t="s">
        <v>14</v>
      </c>
      <c r="I23" s="8" t="e">
        <f>VLOOKUP(D23,#REF!,6,)</f>
        <v>#REF!</v>
      </c>
    </row>
    <row r="24" spans="1:9" ht="25.5">
      <c r="A24" s="8" t="s">
        <v>70</v>
      </c>
      <c r="B24" s="8" t="s">
        <v>11</v>
      </c>
      <c r="C24" s="8" t="s">
        <v>54</v>
      </c>
      <c r="D24" s="2" t="s">
        <v>78</v>
      </c>
      <c r="E24" s="8" t="e">
        <f>VLOOKUP(D24,#REF!,2,)</f>
        <v>#REF!</v>
      </c>
      <c r="G24" s="1" t="s">
        <v>210</v>
      </c>
      <c r="I24" s="8" t="e">
        <f>VLOOKUP(D24,#REF!,6,)</f>
        <v>#REF!</v>
      </c>
    </row>
    <row r="25" spans="1:9" ht="25.5">
      <c r="A25" s="8" t="s">
        <v>70</v>
      </c>
      <c r="B25" s="8" t="s">
        <v>11</v>
      </c>
      <c r="C25" s="8" t="s">
        <v>54</v>
      </c>
      <c r="D25" s="8" t="s">
        <v>79</v>
      </c>
      <c r="E25" s="8" t="e">
        <f>VLOOKUP(D25,#REF!,2,)</f>
        <v>#REF!</v>
      </c>
      <c r="G25" s="8" t="s">
        <v>42</v>
      </c>
      <c r="I25" s="8" t="e">
        <f>VLOOKUP(D25,#REF!,6,)</f>
        <v>#REF!</v>
      </c>
    </row>
    <row r="26" spans="1:9" ht="25.5">
      <c r="A26" s="8" t="s">
        <v>70</v>
      </c>
      <c r="B26" s="8" t="s">
        <v>11</v>
      </c>
      <c r="C26" s="8" t="s">
        <v>54</v>
      </c>
      <c r="D26" s="8" t="s">
        <v>80</v>
      </c>
      <c r="E26" s="8" t="e">
        <f>VLOOKUP(D26,#REF!,2,)</f>
        <v>#REF!</v>
      </c>
      <c r="G26" s="8" t="s">
        <v>42</v>
      </c>
      <c r="I26" s="8" t="e">
        <f>VLOOKUP(D26,#REF!,6,)</f>
        <v>#REF!</v>
      </c>
    </row>
    <row r="27" spans="1:9" ht="25.5">
      <c r="A27" s="8" t="s">
        <v>3</v>
      </c>
      <c r="B27" s="8" t="s">
        <v>11</v>
      </c>
      <c r="C27" s="8" t="s">
        <v>54</v>
      </c>
      <c r="D27" s="8" t="s">
        <v>211</v>
      </c>
      <c r="E27" s="8" t="e">
        <f>VLOOKUP(D27,#REF!,2,)</f>
        <v>#REF!</v>
      </c>
      <c r="G27" s="8" t="s">
        <v>14</v>
      </c>
      <c r="I27" s="8" t="e">
        <f>VLOOKUP(D27,#REF!,6,)</f>
        <v>#REF!</v>
      </c>
    </row>
    <row r="28" spans="1:9" ht="25.5">
      <c r="A28" s="8" t="s">
        <v>3</v>
      </c>
      <c r="B28" s="8" t="s">
        <v>11</v>
      </c>
      <c r="C28" s="8" t="s">
        <v>54</v>
      </c>
      <c r="D28" s="8" t="s">
        <v>212</v>
      </c>
      <c r="E28" s="8" t="e">
        <f>VLOOKUP(D28,#REF!,2,)</f>
        <v>#REF!</v>
      </c>
      <c r="G28" s="8" t="s">
        <v>14</v>
      </c>
      <c r="I28" s="8" t="e">
        <f>VLOOKUP(D28,#REF!,6,)</f>
        <v>#REF!</v>
      </c>
    </row>
    <row r="29" spans="1:9" ht="25.5">
      <c r="A29" s="8" t="s">
        <v>175</v>
      </c>
      <c r="B29" s="8" t="s">
        <v>11</v>
      </c>
      <c r="C29" s="8" t="s">
        <v>34</v>
      </c>
      <c r="D29" s="8" t="s">
        <v>221</v>
      </c>
      <c r="E29" s="8" t="e">
        <f>VLOOKUP(D29,#REF!,2,)</f>
        <v>#REF!</v>
      </c>
      <c r="F29" s="3" t="s">
        <v>13</v>
      </c>
      <c r="G29" s="8" t="s">
        <v>14</v>
      </c>
      <c r="H29" s="4"/>
      <c r="I29" s="8" t="e">
        <f>VLOOKUP(D29,#REF!,6,)</f>
        <v>#REF!</v>
      </c>
    </row>
    <row r="30" spans="1:9" ht="38.25">
      <c r="A30" s="8" t="s">
        <v>3</v>
      </c>
      <c r="B30" s="8" t="s">
        <v>63</v>
      </c>
      <c r="C30" s="8" t="s">
        <v>68</v>
      </c>
      <c r="D30" s="8" t="s">
        <v>69</v>
      </c>
      <c r="E30" s="8" t="e">
        <f>VLOOKUP(D30,#REF!,2,)</f>
        <v>#REF!</v>
      </c>
      <c r="F30" s="3" t="s">
        <v>13</v>
      </c>
      <c r="G30" s="8" t="s">
        <v>59</v>
      </c>
      <c r="H30" s="4"/>
      <c r="I30" s="8" t="e">
        <f>VLOOKUP(D30,#REF!,6,)</f>
        <v>#REF!</v>
      </c>
    </row>
    <row r="31" spans="1:9" ht="38.25">
      <c r="A31" s="8" t="s">
        <v>3</v>
      </c>
      <c r="B31" s="8" t="s">
        <v>63</v>
      </c>
      <c r="C31" s="8" t="s">
        <v>68</v>
      </c>
      <c r="D31" s="8" t="s">
        <v>110</v>
      </c>
      <c r="E31" s="8" t="e">
        <f>VLOOKUP(D31,#REF!,2,)</f>
        <v>#REF!</v>
      </c>
      <c r="F31" s="3" t="s">
        <v>13</v>
      </c>
      <c r="G31" s="8" t="s">
        <v>42</v>
      </c>
      <c r="H31" s="4"/>
      <c r="I31" s="8" t="e">
        <f>VLOOKUP(D31,#REF!,6,)</f>
        <v>#REF!</v>
      </c>
    </row>
    <row r="32" spans="1:9" ht="38.25">
      <c r="A32" s="8" t="s">
        <v>3</v>
      </c>
      <c r="B32" s="8" t="s">
        <v>63</v>
      </c>
      <c r="C32" s="8" t="s">
        <v>68</v>
      </c>
      <c r="D32" s="8" t="s">
        <v>112</v>
      </c>
      <c r="E32" s="8" t="e">
        <f>VLOOKUP(D32,#REF!,2,)</f>
        <v>#REF!</v>
      </c>
      <c r="F32" s="3" t="s">
        <v>13</v>
      </c>
      <c r="G32" s="8" t="s">
        <v>14</v>
      </c>
      <c r="H32" s="4"/>
      <c r="I32" s="8" t="e">
        <f>VLOOKUP(D32,#REF!,6,)</f>
        <v>#REF!</v>
      </c>
    </row>
    <row r="33" spans="1:9" ht="38.25">
      <c r="A33" s="8" t="s">
        <v>145</v>
      </c>
      <c r="B33" s="8" t="s">
        <v>63</v>
      </c>
      <c r="C33" s="8" t="s">
        <v>68</v>
      </c>
      <c r="D33" s="8" t="s">
        <v>146</v>
      </c>
      <c r="E33" s="8" t="e">
        <f>VLOOKUP(D33,#REF!,2,)</f>
        <v>#REF!</v>
      </c>
      <c r="F33" s="3" t="s">
        <v>13</v>
      </c>
      <c r="G33" s="8" t="s">
        <v>14</v>
      </c>
      <c r="H33" s="4"/>
      <c r="I33" s="8" t="e">
        <f>VLOOKUP(D33,#REF!,6,)</f>
        <v>#REF!</v>
      </c>
    </row>
    <row r="34" spans="1:9" ht="38.25">
      <c r="A34" s="8" t="s">
        <v>145</v>
      </c>
      <c r="B34" s="8" t="s">
        <v>63</v>
      </c>
      <c r="C34" s="8" t="s">
        <v>68</v>
      </c>
      <c r="D34" s="8" t="s">
        <v>147</v>
      </c>
      <c r="E34" s="8" t="e">
        <f>VLOOKUP(D34,#REF!,2,)</f>
        <v>#REF!</v>
      </c>
      <c r="F34" s="3" t="s">
        <v>13</v>
      </c>
      <c r="G34" s="8" t="s">
        <v>42</v>
      </c>
      <c r="H34" s="4"/>
      <c r="I34" s="8" t="e">
        <f>VLOOKUP(D34,#REF!,6,)</f>
        <v>#REF!</v>
      </c>
    </row>
    <row r="35" spans="1:9" ht="38.25">
      <c r="A35" s="8" t="s">
        <v>145</v>
      </c>
      <c r="B35" s="8" t="s">
        <v>63</v>
      </c>
      <c r="C35" s="8" t="s">
        <v>68</v>
      </c>
      <c r="D35" s="8" t="s">
        <v>148</v>
      </c>
      <c r="E35" s="8" t="e">
        <f>VLOOKUP(D35,#REF!,2,)</f>
        <v>#REF!</v>
      </c>
      <c r="F35" s="3" t="s">
        <v>13</v>
      </c>
      <c r="G35" s="8" t="s">
        <v>42</v>
      </c>
      <c r="H35" s="4"/>
      <c r="I35" s="8" t="e">
        <f>VLOOKUP(D35,#REF!,6,)</f>
        <v>#REF!</v>
      </c>
    </row>
    <row r="36" spans="1:9" ht="38.25">
      <c r="A36" s="8" t="s">
        <v>145</v>
      </c>
      <c r="B36" s="8" t="s">
        <v>63</v>
      </c>
      <c r="C36" s="8" t="s">
        <v>68</v>
      </c>
      <c r="D36" s="8" t="s">
        <v>150</v>
      </c>
      <c r="E36" s="8" t="e">
        <f>VLOOKUP(D36,#REF!,2,)</f>
        <v>#REF!</v>
      </c>
      <c r="F36" s="3" t="s">
        <v>13</v>
      </c>
      <c r="G36" s="8" t="s">
        <v>42</v>
      </c>
      <c r="H36" s="4"/>
      <c r="I36" s="8" t="e">
        <f>VLOOKUP(D36,#REF!,6,)</f>
        <v>#REF!</v>
      </c>
    </row>
    <row r="37" spans="1:9" ht="38.25">
      <c r="A37" s="8" t="s">
        <v>145</v>
      </c>
      <c r="B37" s="8" t="s">
        <v>63</v>
      </c>
      <c r="C37" s="8" t="s">
        <v>68</v>
      </c>
      <c r="D37" s="8" t="s">
        <v>151</v>
      </c>
      <c r="E37" s="8" t="e">
        <f>VLOOKUP(D37,#REF!,2,)</f>
        <v>#REF!</v>
      </c>
      <c r="F37" s="3" t="s">
        <v>13</v>
      </c>
      <c r="G37" s="8" t="s">
        <v>42</v>
      </c>
      <c r="H37" s="4"/>
      <c r="I37" s="8" t="e">
        <f>VLOOKUP(D37,#REF!,6,)</f>
        <v>#REF!</v>
      </c>
    </row>
    <row r="38" spans="1:9" ht="38.25">
      <c r="A38" s="8" t="s">
        <v>145</v>
      </c>
      <c r="B38" s="8" t="s">
        <v>63</v>
      </c>
      <c r="C38" s="8" t="s">
        <v>68</v>
      </c>
      <c r="D38" s="8" t="s">
        <v>152</v>
      </c>
      <c r="E38" s="8" t="e">
        <f>VLOOKUP(D38,#REF!,2,)</f>
        <v>#REF!</v>
      </c>
      <c r="F38" s="3" t="s">
        <v>13</v>
      </c>
      <c r="G38" s="8" t="s">
        <v>42</v>
      </c>
      <c r="H38" s="4"/>
      <c r="I38" s="8" t="e">
        <f>VLOOKUP(D38,#REF!,6,)</f>
        <v>#REF!</v>
      </c>
    </row>
    <row r="39" spans="1:9" ht="38.25">
      <c r="A39" s="8" t="s">
        <v>145</v>
      </c>
      <c r="B39" s="8" t="s">
        <v>63</v>
      </c>
      <c r="C39" s="8" t="s">
        <v>68</v>
      </c>
      <c r="D39" s="8" t="s">
        <v>153</v>
      </c>
      <c r="E39" s="8" t="e">
        <f>VLOOKUP(D39,#REF!,2,)</f>
        <v>#REF!</v>
      </c>
      <c r="F39" s="3" t="s">
        <v>13</v>
      </c>
      <c r="G39" s="8" t="s">
        <v>42</v>
      </c>
      <c r="H39" s="4"/>
      <c r="I39" s="8" t="e">
        <f>VLOOKUP(D39,#REF!,6,)</f>
        <v>#REF!</v>
      </c>
    </row>
    <row r="40" spans="1:9" ht="38.25">
      <c r="A40" s="8" t="s">
        <v>145</v>
      </c>
      <c r="B40" s="8" t="s">
        <v>63</v>
      </c>
      <c r="C40" s="8" t="s">
        <v>68</v>
      </c>
      <c r="D40" s="8" t="s">
        <v>176</v>
      </c>
      <c r="E40" s="8" t="e">
        <f>VLOOKUP(D40,#REF!,2,)</f>
        <v>#REF!</v>
      </c>
      <c r="F40" s="3" t="s">
        <v>13</v>
      </c>
      <c r="G40" s="8" t="s">
        <v>42</v>
      </c>
      <c r="H40" s="4"/>
      <c r="I40" s="8" t="e">
        <f>VLOOKUP(D40,#REF!,6,)</f>
        <v>#REF!</v>
      </c>
    </row>
    <row r="41" spans="1:9" ht="38.25">
      <c r="A41" s="8" t="s">
        <v>145</v>
      </c>
      <c r="B41" s="8" t="s">
        <v>63</v>
      </c>
      <c r="C41" s="8" t="s">
        <v>68</v>
      </c>
      <c r="D41" s="8" t="s">
        <v>177</v>
      </c>
      <c r="E41" s="8" t="e">
        <f>VLOOKUP(D41,#REF!,2,)</f>
        <v>#REF!</v>
      </c>
      <c r="F41" s="3" t="s">
        <v>13</v>
      </c>
      <c r="G41" s="8" t="s">
        <v>42</v>
      </c>
      <c r="H41" s="4"/>
      <c r="I41" s="8" t="e">
        <f>VLOOKUP(D41,#REF!,6,)</f>
        <v>#REF!</v>
      </c>
    </row>
    <row r="42" spans="1:9" ht="38.25">
      <c r="A42" s="8" t="s">
        <v>145</v>
      </c>
      <c r="B42" s="8" t="s">
        <v>63</v>
      </c>
      <c r="C42" s="8" t="s">
        <v>68</v>
      </c>
      <c r="D42" s="8" t="s">
        <v>178</v>
      </c>
      <c r="E42" s="8" t="e">
        <f>VLOOKUP(D42,#REF!,2,)</f>
        <v>#REF!</v>
      </c>
      <c r="F42" s="3" t="s">
        <v>13</v>
      </c>
      <c r="G42" s="8" t="s">
        <v>42</v>
      </c>
      <c r="H42" s="4"/>
      <c r="I42" s="8" t="e">
        <f>VLOOKUP(D42,#REF!,6,)</f>
        <v>#REF!</v>
      </c>
    </row>
    <row r="43" spans="1:9" ht="38.25">
      <c r="A43" s="8" t="s">
        <v>145</v>
      </c>
      <c r="B43" s="8" t="s">
        <v>63</v>
      </c>
      <c r="C43" s="8" t="s">
        <v>68</v>
      </c>
      <c r="D43" s="8" t="s">
        <v>220</v>
      </c>
      <c r="E43" s="8" t="e">
        <f>VLOOKUP(D43,#REF!,2,)</f>
        <v>#REF!</v>
      </c>
      <c r="F43" s="3" t="s">
        <v>13</v>
      </c>
      <c r="G43" s="8" t="s">
        <v>42</v>
      </c>
      <c r="H43" s="4"/>
      <c r="I43" s="8" t="e">
        <f>VLOOKUP(D43,#REF!,6,)</f>
        <v>#REF!</v>
      </c>
    </row>
    <row r="44" spans="1:9" ht="38.25">
      <c r="A44" s="8" t="s">
        <v>145</v>
      </c>
      <c r="B44" s="8" t="s">
        <v>63</v>
      </c>
      <c r="C44" s="8" t="s">
        <v>68</v>
      </c>
      <c r="D44" s="8" t="s">
        <v>179</v>
      </c>
      <c r="E44" s="8" t="e">
        <f>VLOOKUP(D44,#REF!,2,)</f>
        <v>#REF!</v>
      </c>
      <c r="F44" s="3" t="s">
        <v>13</v>
      </c>
      <c r="G44" s="8" t="s">
        <v>42</v>
      </c>
      <c r="H44" s="4"/>
      <c r="I44" s="8" t="e">
        <f>VLOOKUP(D44,#REF!,6,)</f>
        <v>#REF!</v>
      </c>
    </row>
    <row r="45" spans="1:9" ht="38.25">
      <c r="A45" s="8" t="s">
        <v>175</v>
      </c>
      <c r="B45" s="8" t="s">
        <v>63</v>
      </c>
      <c r="C45" s="8" t="s">
        <v>68</v>
      </c>
      <c r="D45" s="8" t="s">
        <v>154</v>
      </c>
      <c r="E45" s="8" t="e">
        <f>VLOOKUP(D45,#REF!,2,)</f>
        <v>#REF!</v>
      </c>
      <c r="F45" s="3" t="s">
        <v>13</v>
      </c>
      <c r="G45" s="8" t="s">
        <v>42</v>
      </c>
      <c r="H45" s="4"/>
      <c r="I45" s="8" t="e">
        <f>VLOOKUP(D45,#REF!,6,)</f>
        <v>#REF!</v>
      </c>
    </row>
    <row r="46" spans="1:9" ht="38.25">
      <c r="A46" s="8" t="s">
        <v>3</v>
      </c>
      <c r="B46" s="8" t="s">
        <v>63</v>
      </c>
      <c r="C46" s="8" t="s">
        <v>68</v>
      </c>
      <c r="D46" s="8" t="s">
        <v>208</v>
      </c>
      <c r="E46" s="8" t="e">
        <f>VLOOKUP(D46,#REF!,2,)</f>
        <v>#REF!</v>
      </c>
      <c r="F46" s="3" t="s">
        <v>13</v>
      </c>
      <c r="G46" s="8" t="s">
        <v>14</v>
      </c>
      <c r="H46" s="4"/>
      <c r="I46" s="8" t="e">
        <f>VLOOKUP(D46,#REF!,6,)</f>
        <v>#REF!</v>
      </c>
    </row>
    <row r="47" spans="1:9" ht="25.5">
      <c r="A47" s="8" t="s">
        <v>3</v>
      </c>
      <c r="B47" s="8" t="s">
        <v>11</v>
      </c>
      <c r="C47" s="8" t="s">
        <v>72</v>
      </c>
      <c r="D47" s="8" t="s">
        <v>236</v>
      </c>
      <c r="E47" s="8" t="e">
        <f>VLOOKUP(D47,#REF!,2,)</f>
        <v>#REF!</v>
      </c>
      <c r="F47" s="3" t="s">
        <v>13</v>
      </c>
      <c r="G47" s="8" t="s">
        <v>59</v>
      </c>
      <c r="H47" s="4"/>
      <c r="I47" s="8" t="e">
        <f>VLOOKUP(D47,#REF!,6,)</f>
        <v>#REF!</v>
      </c>
    </row>
    <row r="48" spans="1:9" ht="25.5">
      <c r="A48" s="8" t="s">
        <v>3</v>
      </c>
      <c r="B48" s="8" t="s">
        <v>11</v>
      </c>
      <c r="C48" s="8" t="s">
        <v>15</v>
      </c>
      <c r="D48" s="8" t="s">
        <v>89</v>
      </c>
      <c r="E48" s="8" t="e">
        <f>VLOOKUP(D48,#REF!,2,)</f>
        <v>#REF!</v>
      </c>
      <c r="F48" s="3" t="s">
        <v>13</v>
      </c>
      <c r="G48" s="8" t="s">
        <v>42</v>
      </c>
      <c r="H48" s="4"/>
      <c r="I48" s="8" t="e">
        <f>VLOOKUP(D48,#REF!,6,)</f>
        <v>#REF!</v>
      </c>
    </row>
    <row r="49" spans="1:9" ht="25.5">
      <c r="A49" s="8" t="s">
        <v>3</v>
      </c>
      <c r="B49" s="8" t="s">
        <v>11</v>
      </c>
      <c r="C49" s="8" t="s">
        <v>15</v>
      </c>
      <c r="D49" s="8" t="s">
        <v>213</v>
      </c>
      <c r="E49" s="8" t="e">
        <f>VLOOKUP(D49,#REF!,2,)</f>
        <v>#REF!</v>
      </c>
      <c r="F49" s="3" t="s">
        <v>13</v>
      </c>
      <c r="G49" s="8" t="s">
        <v>14</v>
      </c>
      <c r="H49" s="4"/>
      <c r="I49" s="8" t="e">
        <f>VLOOKUP(D49,#REF!,6,)</f>
        <v>#REF!</v>
      </c>
    </row>
    <row r="50" spans="1:9" ht="25.5">
      <c r="A50" s="8" t="s">
        <v>3</v>
      </c>
      <c r="B50" s="8" t="s">
        <v>11</v>
      </c>
      <c r="C50" s="8" t="s">
        <v>15</v>
      </c>
      <c r="D50" s="8" t="s">
        <v>115</v>
      </c>
      <c r="E50" s="8" t="e">
        <f>VLOOKUP(D50,#REF!,2,)</f>
        <v>#REF!</v>
      </c>
      <c r="F50" s="3" t="s">
        <v>13</v>
      </c>
      <c r="G50" s="8" t="s">
        <v>14</v>
      </c>
      <c r="H50" s="4"/>
      <c r="I50" s="8" t="e">
        <f>VLOOKUP(D50,#REF!,6,)</f>
        <v>#REF!</v>
      </c>
    </row>
    <row r="51" spans="1:9" ht="25.5">
      <c r="A51" s="8" t="s">
        <v>3</v>
      </c>
      <c r="B51" s="8" t="s">
        <v>11</v>
      </c>
      <c r="C51" s="8" t="s">
        <v>15</v>
      </c>
      <c r="D51" s="8" t="s">
        <v>140</v>
      </c>
      <c r="E51" s="8" t="e">
        <f>VLOOKUP(D51,#REF!,2,)</f>
        <v>#REF!</v>
      </c>
      <c r="F51" s="3" t="s">
        <v>13</v>
      </c>
      <c r="G51" s="8" t="s">
        <v>14</v>
      </c>
      <c r="H51" s="4"/>
      <c r="I51" s="8" t="e">
        <f>VLOOKUP(D51,#REF!,6,)</f>
        <v>#REF!</v>
      </c>
    </row>
    <row r="52" spans="1:9" ht="25.5">
      <c r="A52" s="8" t="s">
        <v>3</v>
      </c>
      <c r="B52" s="8" t="s">
        <v>11</v>
      </c>
      <c r="C52" s="8" t="s">
        <v>15</v>
      </c>
      <c r="D52" s="8" t="s">
        <v>141</v>
      </c>
      <c r="E52" s="8" t="e">
        <f>VLOOKUP(D52,#REF!,2,)</f>
        <v>#REF!</v>
      </c>
      <c r="F52" s="3" t="s">
        <v>13</v>
      </c>
      <c r="G52" s="8" t="s">
        <v>14</v>
      </c>
      <c r="H52" s="4"/>
      <c r="I52" s="8" t="e">
        <f>VLOOKUP(D52,#REF!,6,)</f>
        <v>#REF!</v>
      </c>
    </row>
    <row r="53" spans="1:9" ht="25.5">
      <c r="A53" s="8" t="s">
        <v>3</v>
      </c>
      <c r="B53" s="8" t="s">
        <v>11</v>
      </c>
      <c r="C53" s="8" t="s">
        <v>15</v>
      </c>
      <c r="D53" s="8" t="s">
        <v>142</v>
      </c>
      <c r="E53" s="8" t="e">
        <f>VLOOKUP(D53,#REF!,2,)</f>
        <v>#REF!</v>
      </c>
      <c r="F53" s="3" t="s">
        <v>13</v>
      </c>
      <c r="G53" s="8" t="s">
        <v>14</v>
      </c>
      <c r="H53" s="4"/>
      <c r="I53" s="8" t="e">
        <f>VLOOKUP(D53,#REF!,6,)</f>
        <v>#REF!</v>
      </c>
    </row>
    <row r="54" spans="1:9" ht="25.5">
      <c r="A54" s="8" t="s">
        <v>3</v>
      </c>
      <c r="B54" s="8" t="s">
        <v>60</v>
      </c>
      <c r="C54" s="8" t="s">
        <v>61</v>
      </c>
      <c r="D54" s="8" t="s">
        <v>75</v>
      </c>
      <c r="E54" s="8" t="e">
        <f>VLOOKUP(D54,#REF!,2,)</f>
        <v>#REF!</v>
      </c>
      <c r="F54" s="3" t="s">
        <v>13</v>
      </c>
      <c r="G54" s="8" t="s">
        <v>14</v>
      </c>
      <c r="H54" s="4"/>
      <c r="I54" s="8" t="e">
        <f>VLOOKUP(D54,#REF!,6,)</f>
        <v>#REF!</v>
      </c>
    </row>
    <row r="55" spans="1:9" ht="38.25">
      <c r="A55" s="8" t="s">
        <v>3</v>
      </c>
      <c r="B55" s="8" t="s">
        <v>60</v>
      </c>
      <c r="C55" s="8" t="s">
        <v>61</v>
      </c>
      <c r="D55" s="8" t="s">
        <v>87</v>
      </c>
      <c r="E55" s="8" t="e">
        <f>VLOOKUP(D55,#REF!,2,)</f>
        <v>#REF!</v>
      </c>
      <c r="F55" s="3" t="s">
        <v>13</v>
      </c>
      <c r="G55" s="8" t="s">
        <v>14</v>
      </c>
      <c r="H55" s="4"/>
      <c r="I55" s="8" t="e">
        <f>VLOOKUP(D55,#REF!,6,)</f>
        <v>#REF!</v>
      </c>
    </row>
    <row r="56" spans="1:9" ht="25.5">
      <c r="A56" s="8" t="s">
        <v>3</v>
      </c>
      <c r="B56" s="8" t="s">
        <v>60</v>
      </c>
      <c r="C56" s="8" t="s">
        <v>61</v>
      </c>
      <c r="D56" s="8" t="s">
        <v>88</v>
      </c>
      <c r="E56" s="8" t="e">
        <f>VLOOKUP(D56,#REF!,2,)</f>
        <v>#REF!</v>
      </c>
      <c r="F56" s="3" t="s">
        <v>13</v>
      </c>
      <c r="G56" s="8" t="s">
        <v>14</v>
      </c>
      <c r="H56" s="4"/>
      <c r="I56" s="8" t="e">
        <f>VLOOKUP(D56,#REF!,6,)</f>
        <v>#REF!</v>
      </c>
    </row>
    <row r="57" spans="1:9" ht="25.5">
      <c r="A57" s="8" t="s">
        <v>3</v>
      </c>
      <c r="B57" s="8" t="s">
        <v>60</v>
      </c>
      <c r="C57" s="8" t="s">
        <v>61</v>
      </c>
      <c r="D57" s="8" t="s">
        <v>214</v>
      </c>
      <c r="E57" s="8" t="e">
        <f>VLOOKUP(D57,#REF!,2,)</f>
        <v>#REF!</v>
      </c>
      <c r="F57" s="3" t="s">
        <v>13</v>
      </c>
      <c r="G57" s="8" t="s">
        <v>42</v>
      </c>
      <c r="H57" s="4"/>
      <c r="I57" s="8" t="e">
        <f>VLOOKUP(D57,#REF!,6,)</f>
        <v>#REF!</v>
      </c>
    </row>
    <row r="58" spans="1:9" ht="25.5">
      <c r="A58" s="8" t="s">
        <v>3</v>
      </c>
      <c r="B58" s="8" t="s">
        <v>60</v>
      </c>
      <c r="C58" s="8" t="s">
        <v>61</v>
      </c>
      <c r="D58" s="8" t="s">
        <v>91</v>
      </c>
      <c r="E58" s="8" t="e">
        <f>VLOOKUP(D58,#REF!,2,)</f>
        <v>#REF!</v>
      </c>
      <c r="F58" s="3" t="s">
        <v>13</v>
      </c>
      <c r="G58" s="8" t="s">
        <v>42</v>
      </c>
      <c r="H58" s="4"/>
      <c r="I58" s="8" t="e">
        <f>VLOOKUP(D58,#REF!,6,)</f>
        <v>#REF!</v>
      </c>
    </row>
    <row r="59" spans="1:9" ht="25.5">
      <c r="A59" s="8" t="s">
        <v>3</v>
      </c>
      <c r="B59" s="8" t="s">
        <v>60</v>
      </c>
      <c r="C59" s="8" t="s">
        <v>61</v>
      </c>
      <c r="D59" s="8" t="s">
        <v>92</v>
      </c>
      <c r="E59" s="8" t="e">
        <f>VLOOKUP(D59,#REF!,2,)</f>
        <v>#REF!</v>
      </c>
      <c r="F59" s="3" t="s">
        <v>13</v>
      </c>
      <c r="G59" s="8" t="s">
        <v>42</v>
      </c>
      <c r="H59" s="4"/>
      <c r="I59" s="8" t="e">
        <f>VLOOKUP(D59,#REF!,6,)</f>
        <v>#REF!</v>
      </c>
    </row>
    <row r="60" spans="1:9" ht="25.5">
      <c r="A60" s="8" t="s">
        <v>3</v>
      </c>
      <c r="B60" s="8" t="s">
        <v>60</v>
      </c>
      <c r="C60" s="8" t="s">
        <v>61</v>
      </c>
      <c r="D60" s="8" t="s">
        <v>95</v>
      </c>
      <c r="E60" s="8" t="e">
        <f>VLOOKUP(D60,#REF!,2,)</f>
        <v>#REF!</v>
      </c>
      <c r="F60" s="3" t="s">
        <v>13</v>
      </c>
      <c r="G60" s="8" t="s">
        <v>42</v>
      </c>
      <c r="H60" s="4"/>
      <c r="I60" s="8" t="e">
        <f>VLOOKUP(D60,#REF!,6,)</f>
        <v>#REF!</v>
      </c>
    </row>
    <row r="61" spans="1:9" ht="38.25">
      <c r="A61" s="8" t="s">
        <v>3</v>
      </c>
      <c r="B61" s="8" t="s">
        <v>60</v>
      </c>
      <c r="C61" s="8" t="s">
        <v>61</v>
      </c>
      <c r="D61" s="8" t="s">
        <v>96</v>
      </c>
      <c r="E61" s="8" t="e">
        <f>VLOOKUP(D61,#REF!,2,)</f>
        <v>#REF!</v>
      </c>
      <c r="F61" s="3" t="s">
        <v>13</v>
      </c>
      <c r="G61" s="8" t="s">
        <v>14</v>
      </c>
      <c r="H61" s="4"/>
      <c r="I61" s="8" t="e">
        <f>VLOOKUP(D61,#REF!,6,)</f>
        <v>#REF!</v>
      </c>
    </row>
    <row r="62" spans="1:9" ht="25.5">
      <c r="A62" s="8" t="s">
        <v>3</v>
      </c>
      <c r="B62" s="8" t="s">
        <v>60</v>
      </c>
      <c r="C62" s="8" t="s">
        <v>61</v>
      </c>
      <c r="D62" s="8" t="s">
        <v>97</v>
      </c>
      <c r="E62" s="8" t="e">
        <f>VLOOKUP(D62,#REF!,2,)</f>
        <v>#REF!</v>
      </c>
      <c r="F62" s="3" t="s">
        <v>13</v>
      </c>
      <c r="G62" s="8" t="s">
        <v>14</v>
      </c>
      <c r="H62" s="4"/>
      <c r="I62" s="8" t="e">
        <f>VLOOKUP(D62,#REF!,6,)</f>
        <v>#REF!</v>
      </c>
    </row>
    <row r="63" spans="1:9" ht="25.5">
      <c r="A63" s="8" t="s">
        <v>3</v>
      </c>
      <c r="B63" s="8" t="s">
        <v>60</v>
      </c>
      <c r="C63" s="8" t="s">
        <v>61</v>
      </c>
      <c r="D63" s="8" t="s">
        <v>98</v>
      </c>
      <c r="E63" s="8" t="e">
        <f>VLOOKUP(D63,#REF!,2,)</f>
        <v>#REF!</v>
      </c>
      <c r="F63" s="3" t="s">
        <v>13</v>
      </c>
      <c r="G63" s="8" t="s">
        <v>14</v>
      </c>
      <c r="H63" s="4"/>
      <c r="I63" s="8" t="e">
        <f>VLOOKUP(D63,#REF!,6,)</f>
        <v>#REF!</v>
      </c>
    </row>
    <row r="64" spans="1:9" ht="25.5">
      <c r="A64" s="8" t="s">
        <v>3</v>
      </c>
      <c r="B64" s="8" t="s">
        <v>60</v>
      </c>
      <c r="C64" s="8" t="s">
        <v>61</v>
      </c>
      <c r="D64" s="8" t="s">
        <v>100</v>
      </c>
      <c r="E64" s="8" t="e">
        <f>VLOOKUP(D64,#REF!,2,)</f>
        <v>#REF!</v>
      </c>
      <c r="F64" s="3" t="s">
        <v>13</v>
      </c>
      <c r="G64" s="8" t="s">
        <v>14</v>
      </c>
      <c r="H64" s="4"/>
      <c r="I64" s="8" t="e">
        <f>VLOOKUP(D64,#REF!,6,)</f>
        <v>#REF!</v>
      </c>
    </row>
    <row r="65" spans="1:9" ht="25.5">
      <c r="A65" s="8" t="s">
        <v>3</v>
      </c>
      <c r="B65" s="8" t="s">
        <v>60</v>
      </c>
      <c r="C65" s="8" t="s">
        <v>61</v>
      </c>
      <c r="D65" s="8" t="s">
        <v>102</v>
      </c>
      <c r="E65" s="8" t="e">
        <f>VLOOKUP(D65,#REF!,2,)</f>
        <v>#REF!</v>
      </c>
      <c r="F65" s="3" t="s">
        <v>13</v>
      </c>
      <c r="G65" s="8" t="s">
        <v>14</v>
      </c>
      <c r="H65" s="4"/>
      <c r="I65" s="8" t="e">
        <f>VLOOKUP(D65,#REF!,6,)</f>
        <v>#REF!</v>
      </c>
    </row>
    <row r="66" spans="1:9" ht="25.5">
      <c r="A66" s="8" t="s">
        <v>3</v>
      </c>
      <c r="B66" s="8" t="s">
        <v>60</v>
      </c>
      <c r="C66" s="8" t="s">
        <v>61</v>
      </c>
      <c r="D66" s="8" t="s">
        <v>216</v>
      </c>
      <c r="E66" s="8" t="e">
        <f>VLOOKUP(D66,#REF!,2,)</f>
        <v>#REF!</v>
      </c>
      <c r="F66" s="3" t="s">
        <v>13</v>
      </c>
      <c r="G66" s="8" t="s">
        <v>14</v>
      </c>
      <c r="H66" s="4"/>
      <c r="I66" s="8" t="e">
        <f>VLOOKUP(D66,#REF!,6,)</f>
        <v>#REF!</v>
      </c>
    </row>
    <row r="67" spans="1:9" ht="25.5">
      <c r="A67" s="8" t="s">
        <v>3</v>
      </c>
      <c r="B67" s="8" t="s">
        <v>60</v>
      </c>
      <c r="C67" s="8" t="s">
        <v>61</v>
      </c>
      <c r="D67" s="8" t="s">
        <v>103</v>
      </c>
      <c r="E67" s="8" t="e">
        <f>VLOOKUP(D67,#REF!,2,)</f>
        <v>#REF!</v>
      </c>
      <c r="F67" s="3" t="s">
        <v>13</v>
      </c>
      <c r="G67" s="8" t="s">
        <v>14</v>
      </c>
      <c r="H67" s="4"/>
      <c r="I67" s="8" t="e">
        <f>VLOOKUP(D67,#REF!,6,)</f>
        <v>#REF!</v>
      </c>
    </row>
    <row r="68" spans="1:9" ht="25.5">
      <c r="A68" s="8" t="s">
        <v>3</v>
      </c>
      <c r="B68" s="8" t="s">
        <v>60</v>
      </c>
      <c r="C68" s="8" t="s">
        <v>61</v>
      </c>
      <c r="D68" s="8" t="s">
        <v>109</v>
      </c>
      <c r="E68" s="8" t="e">
        <f>VLOOKUP(D68,#REF!,2,)</f>
        <v>#REF!</v>
      </c>
      <c r="F68" s="3" t="s">
        <v>13</v>
      </c>
      <c r="G68" s="8" t="s">
        <v>14</v>
      </c>
      <c r="H68" s="4"/>
      <c r="I68" s="8" t="e">
        <f>VLOOKUP(D68,#REF!,6,)</f>
        <v>#REF!</v>
      </c>
    </row>
    <row r="69" spans="1:9" ht="25.5">
      <c r="A69" s="8" t="s">
        <v>3</v>
      </c>
      <c r="B69" s="8" t="s">
        <v>60</v>
      </c>
      <c r="C69" s="8" t="s">
        <v>61</v>
      </c>
      <c r="D69" s="8" t="s">
        <v>217</v>
      </c>
      <c r="E69" s="8" t="e">
        <f>VLOOKUP(D69,#REF!,2,)</f>
        <v>#REF!</v>
      </c>
      <c r="F69" s="3" t="s">
        <v>13</v>
      </c>
      <c r="G69" s="8" t="s">
        <v>14</v>
      </c>
      <c r="H69" s="4"/>
      <c r="I69" s="8" t="e">
        <f>VLOOKUP(D69,#REF!,6,)</f>
        <v>#REF!</v>
      </c>
    </row>
    <row r="70" spans="1:9" ht="25.5">
      <c r="A70" s="8" t="s">
        <v>3</v>
      </c>
      <c r="B70" s="8" t="s">
        <v>60</v>
      </c>
      <c r="C70" s="8" t="s">
        <v>61</v>
      </c>
      <c r="D70" s="8" t="s">
        <v>113</v>
      </c>
      <c r="E70" s="8" t="e">
        <f>VLOOKUP(D70,#REF!,2,)</f>
        <v>#REF!</v>
      </c>
      <c r="F70" s="3" t="s">
        <v>13</v>
      </c>
      <c r="G70" s="8" t="s">
        <v>42</v>
      </c>
      <c r="H70" s="4"/>
      <c r="I70" s="8" t="e">
        <f>VLOOKUP(D70,#REF!,6,)</f>
        <v>#REF!</v>
      </c>
    </row>
    <row r="71" spans="1:9" ht="25.5">
      <c r="A71" s="8" t="s">
        <v>3</v>
      </c>
      <c r="B71" s="8" t="s">
        <v>60</v>
      </c>
      <c r="C71" s="8" t="s">
        <v>61</v>
      </c>
      <c r="D71" s="8" t="s">
        <v>114</v>
      </c>
      <c r="E71" s="8" t="e">
        <f>VLOOKUP(D71,#REF!,2,)</f>
        <v>#REF!</v>
      </c>
      <c r="F71" s="3" t="s">
        <v>13</v>
      </c>
      <c r="G71" s="8" t="s">
        <v>14</v>
      </c>
      <c r="H71" s="4"/>
      <c r="I71" s="8" t="e">
        <f>VLOOKUP(D71,#REF!,6,)</f>
        <v>#REF!</v>
      </c>
    </row>
    <row r="72" spans="1:9" ht="25.5">
      <c r="A72" s="8" t="s">
        <v>3</v>
      </c>
      <c r="B72" s="8" t="s">
        <v>60</v>
      </c>
      <c r="C72" s="8" t="s">
        <v>61</v>
      </c>
      <c r="D72" s="8" t="s">
        <v>143</v>
      </c>
      <c r="E72" s="8" t="e">
        <f>VLOOKUP(D72,#REF!,2,)</f>
        <v>#REF!</v>
      </c>
      <c r="F72" s="3" t="s">
        <v>13</v>
      </c>
      <c r="G72" s="8" t="s">
        <v>14</v>
      </c>
      <c r="H72" s="4"/>
      <c r="I72" s="8" t="e">
        <f>VLOOKUP(D72,#REF!,6,)</f>
        <v>#REF!</v>
      </c>
    </row>
    <row r="73" spans="1:9" ht="25.5">
      <c r="A73" s="8" t="s">
        <v>3</v>
      </c>
      <c r="B73" s="8" t="s">
        <v>60</v>
      </c>
      <c r="C73" s="8" t="s">
        <v>61</v>
      </c>
      <c r="D73" s="8" t="s">
        <v>144</v>
      </c>
      <c r="E73" s="8" t="e">
        <f>VLOOKUP(D73,#REF!,2,)</f>
        <v>#REF!</v>
      </c>
      <c r="F73" s="3" t="s">
        <v>13</v>
      </c>
      <c r="G73" s="8" t="s">
        <v>42</v>
      </c>
      <c r="H73" s="4"/>
      <c r="I73" s="8" t="e">
        <f>VLOOKUP(D73,#REF!,6,)</f>
        <v>#REF!</v>
      </c>
    </row>
    <row r="74" spans="1:9" ht="25.5">
      <c r="A74" s="8" t="s">
        <v>145</v>
      </c>
      <c r="B74" s="8" t="s">
        <v>60</v>
      </c>
      <c r="C74" s="8" t="s">
        <v>61</v>
      </c>
      <c r="D74" s="8" t="s">
        <v>99</v>
      </c>
      <c r="E74" s="8" t="e">
        <f>VLOOKUP(D74,#REF!,2,)</f>
        <v>#REF!</v>
      </c>
      <c r="F74" s="3" t="s">
        <v>13</v>
      </c>
      <c r="G74" s="8" t="s">
        <v>14</v>
      </c>
      <c r="H74" s="4"/>
      <c r="I74" s="8" t="e">
        <f>VLOOKUP(D74,#REF!,6,)</f>
        <v>#REF!</v>
      </c>
    </row>
    <row r="75" spans="1:9" ht="25.5">
      <c r="A75" s="8" t="s">
        <v>145</v>
      </c>
      <c r="B75" s="8" t="s">
        <v>60</v>
      </c>
      <c r="C75" s="8" t="s">
        <v>61</v>
      </c>
      <c r="D75" s="8" t="s">
        <v>157</v>
      </c>
      <c r="E75" s="8" t="e">
        <f>VLOOKUP(D75,#REF!,2,)</f>
        <v>#REF!</v>
      </c>
      <c r="F75" s="3" t="s">
        <v>13</v>
      </c>
      <c r="G75" s="8" t="s">
        <v>42</v>
      </c>
      <c r="H75" s="4"/>
      <c r="I75" s="8" t="e">
        <f>VLOOKUP(D75,#REF!,6,)</f>
        <v>#REF!</v>
      </c>
    </row>
    <row r="76" spans="1:9" ht="25.5">
      <c r="A76" s="8" t="s">
        <v>145</v>
      </c>
      <c r="B76" s="8" t="s">
        <v>60</v>
      </c>
      <c r="C76" s="8" t="s">
        <v>61</v>
      </c>
      <c r="D76" s="8" t="s">
        <v>158</v>
      </c>
      <c r="E76" s="8" t="e">
        <f>VLOOKUP(D76,#REF!,2,)</f>
        <v>#REF!</v>
      </c>
      <c r="F76" s="3" t="s">
        <v>13</v>
      </c>
      <c r="G76" s="8" t="s">
        <v>14</v>
      </c>
      <c r="H76" s="4"/>
      <c r="I76" s="8" t="e">
        <f>VLOOKUP(D76,#REF!,6,)</f>
        <v>#REF!</v>
      </c>
    </row>
    <row r="77" spans="1:9" ht="25.5">
      <c r="A77" s="8" t="s">
        <v>145</v>
      </c>
      <c r="B77" s="8" t="s">
        <v>60</v>
      </c>
      <c r="C77" s="8" t="s">
        <v>61</v>
      </c>
      <c r="D77" s="8" t="s">
        <v>159</v>
      </c>
      <c r="E77" s="8" t="e">
        <f>VLOOKUP(D77,#REF!,2,)</f>
        <v>#REF!</v>
      </c>
      <c r="F77" s="3" t="s">
        <v>13</v>
      </c>
      <c r="G77" s="8" t="s">
        <v>14</v>
      </c>
      <c r="H77" s="4"/>
      <c r="I77" s="8" t="e">
        <f>VLOOKUP(D77,#REF!,6,)</f>
        <v>#REF!</v>
      </c>
    </row>
    <row r="78" spans="1:9" ht="25.5">
      <c r="A78" s="8" t="s">
        <v>145</v>
      </c>
      <c r="B78" s="8" t="s">
        <v>60</v>
      </c>
      <c r="C78" s="8" t="s">
        <v>61</v>
      </c>
      <c r="D78" s="8" t="s">
        <v>160</v>
      </c>
      <c r="E78" s="8" t="e">
        <f>VLOOKUP(D78,#REF!,2,)</f>
        <v>#REF!</v>
      </c>
      <c r="F78" s="3" t="s">
        <v>13</v>
      </c>
      <c r="G78" s="8" t="s">
        <v>14</v>
      </c>
      <c r="H78" s="4"/>
      <c r="I78" s="8" t="e">
        <f>VLOOKUP(D78,#REF!,6,)</f>
        <v>#REF!</v>
      </c>
    </row>
    <row r="79" spans="1:9" ht="38.25">
      <c r="A79" s="8" t="s">
        <v>3</v>
      </c>
      <c r="B79" s="8" t="s">
        <v>60</v>
      </c>
      <c r="C79" s="8" t="s">
        <v>61</v>
      </c>
      <c r="D79" s="8" t="s">
        <v>161</v>
      </c>
      <c r="E79" s="8" t="e">
        <f>VLOOKUP(D79,#REF!,2,)</f>
        <v>#REF!</v>
      </c>
      <c r="F79" s="3" t="s">
        <v>13</v>
      </c>
      <c r="G79" s="8" t="s">
        <v>14</v>
      </c>
      <c r="H79" s="4"/>
      <c r="I79" s="8" t="e">
        <f>VLOOKUP(D79,#REF!,6,)</f>
        <v>#REF!</v>
      </c>
    </row>
    <row r="80" spans="1:9" ht="38.25">
      <c r="A80" s="8" t="s">
        <v>3</v>
      </c>
      <c r="B80" s="8" t="s">
        <v>60</v>
      </c>
      <c r="C80" s="8" t="s">
        <v>61</v>
      </c>
      <c r="D80" s="8" t="s">
        <v>162</v>
      </c>
      <c r="E80" s="8" t="e">
        <f>VLOOKUP(D80,#REF!,2,)</f>
        <v>#REF!</v>
      </c>
      <c r="F80" s="3" t="s">
        <v>13</v>
      </c>
      <c r="G80" s="8" t="s">
        <v>42</v>
      </c>
      <c r="H80" s="4"/>
      <c r="I80" s="8" t="e">
        <f>VLOOKUP(D80,#REF!,6,)</f>
        <v>#REF!</v>
      </c>
    </row>
    <row r="81" spans="1:9" ht="25.5">
      <c r="A81" s="8" t="s">
        <v>3</v>
      </c>
      <c r="B81" s="8" t="s">
        <v>60</v>
      </c>
      <c r="C81" s="8" t="s">
        <v>61</v>
      </c>
      <c r="D81" s="8" t="s">
        <v>163</v>
      </c>
      <c r="E81" s="8" t="e">
        <f>VLOOKUP(D81,#REF!,2,)</f>
        <v>#REF!</v>
      </c>
      <c r="F81" s="3" t="s">
        <v>13</v>
      </c>
      <c r="G81" s="8" t="s">
        <v>14</v>
      </c>
      <c r="H81" s="4"/>
      <c r="I81" s="8" t="e">
        <f>VLOOKUP(D81,#REF!,6,)</f>
        <v>#REF!</v>
      </c>
    </row>
    <row r="82" spans="1:9" ht="25.5">
      <c r="A82" s="8" t="s">
        <v>3</v>
      </c>
      <c r="B82" s="8" t="s">
        <v>60</v>
      </c>
      <c r="C82" s="8" t="s">
        <v>61</v>
      </c>
      <c r="D82" s="8" t="s">
        <v>164</v>
      </c>
      <c r="E82" s="8" t="e">
        <f>VLOOKUP(D82,#REF!,2,)</f>
        <v>#REF!</v>
      </c>
      <c r="F82" s="3" t="s">
        <v>13</v>
      </c>
      <c r="G82" s="8" t="s">
        <v>14</v>
      </c>
      <c r="H82" s="4"/>
      <c r="I82" s="8" t="e">
        <f>VLOOKUP(D82,#REF!,6,)</f>
        <v>#REF!</v>
      </c>
    </row>
    <row r="83" spans="1:9" ht="25.5">
      <c r="A83" s="8" t="s">
        <v>3</v>
      </c>
      <c r="B83" s="8" t="s">
        <v>60</v>
      </c>
      <c r="C83" s="8" t="s">
        <v>61</v>
      </c>
      <c r="D83" s="8" t="s">
        <v>165</v>
      </c>
      <c r="E83" s="8" t="e">
        <f>VLOOKUP(D83,#REF!,2,)</f>
        <v>#REF!</v>
      </c>
      <c r="F83" s="3" t="s">
        <v>13</v>
      </c>
      <c r="G83" s="8" t="s">
        <v>14</v>
      </c>
      <c r="H83" s="4"/>
      <c r="I83" s="8" t="e">
        <f>VLOOKUP(D83,#REF!,6,)</f>
        <v>#REF!</v>
      </c>
    </row>
    <row r="84" spans="1:9" ht="38.25">
      <c r="A84" s="8" t="s">
        <v>3</v>
      </c>
      <c r="B84" s="8" t="s">
        <v>60</v>
      </c>
      <c r="C84" s="8" t="s">
        <v>61</v>
      </c>
      <c r="D84" s="8" t="s">
        <v>166</v>
      </c>
      <c r="E84" s="8" t="e">
        <f>VLOOKUP(D84,#REF!,2,)</f>
        <v>#REF!</v>
      </c>
      <c r="F84" s="3" t="s">
        <v>13</v>
      </c>
      <c r="G84" s="8" t="s">
        <v>42</v>
      </c>
      <c r="H84" s="4"/>
      <c r="I84" s="8" t="e">
        <f>VLOOKUP(D84,#REF!,6,)</f>
        <v>#REF!</v>
      </c>
    </row>
    <row r="85" spans="1:9" ht="25.5">
      <c r="A85" s="8" t="s">
        <v>3</v>
      </c>
      <c r="B85" s="8" t="s">
        <v>60</v>
      </c>
      <c r="C85" s="8" t="s">
        <v>61</v>
      </c>
      <c r="D85" s="8" t="s">
        <v>167</v>
      </c>
      <c r="E85" s="8" t="e">
        <f>VLOOKUP(D85,#REF!,2,)</f>
        <v>#REF!</v>
      </c>
      <c r="F85" s="3" t="s">
        <v>13</v>
      </c>
      <c r="G85" s="8" t="s">
        <v>42</v>
      </c>
      <c r="H85" s="4"/>
      <c r="I85" s="8" t="e">
        <f>VLOOKUP(D85,#REF!,6,)</f>
        <v>#REF!</v>
      </c>
    </row>
    <row r="86" spans="1:9" ht="25.5">
      <c r="A86" s="8" t="s">
        <v>3</v>
      </c>
      <c r="B86" s="8" t="s">
        <v>60</v>
      </c>
      <c r="C86" s="8" t="s">
        <v>61</v>
      </c>
      <c r="D86" s="8" t="s">
        <v>218</v>
      </c>
      <c r="E86" s="8" t="e">
        <f>VLOOKUP(D86,#REF!,2,)</f>
        <v>#REF!</v>
      </c>
      <c r="F86" s="3" t="s">
        <v>13</v>
      </c>
      <c r="G86" s="8" t="s">
        <v>14</v>
      </c>
      <c r="H86" s="4"/>
      <c r="I86" s="8" t="e">
        <f>VLOOKUP(D86,#REF!,6,)</f>
        <v>#REF!</v>
      </c>
    </row>
    <row r="87" spans="1:9" ht="25.5">
      <c r="A87" s="8" t="s">
        <v>3</v>
      </c>
      <c r="B87" s="8" t="s">
        <v>60</v>
      </c>
      <c r="C87" s="8" t="s">
        <v>61</v>
      </c>
      <c r="D87" s="8" t="s">
        <v>168</v>
      </c>
      <c r="E87" s="8" t="e">
        <f>VLOOKUP(D87,#REF!,2,)</f>
        <v>#REF!</v>
      </c>
      <c r="F87" s="3" t="s">
        <v>13</v>
      </c>
      <c r="G87" s="8" t="s">
        <v>14</v>
      </c>
      <c r="H87" s="4"/>
      <c r="I87" s="8" t="e">
        <f>VLOOKUP(D87,#REF!,6,)</f>
        <v>#REF!</v>
      </c>
    </row>
    <row r="88" spans="1:9" ht="25.5">
      <c r="A88" s="8" t="s">
        <v>3</v>
      </c>
      <c r="B88" s="8" t="s">
        <v>60</v>
      </c>
      <c r="C88" s="8" t="s">
        <v>61</v>
      </c>
      <c r="D88" s="8" t="s">
        <v>169</v>
      </c>
      <c r="E88" s="8" t="e">
        <f>VLOOKUP(D88,#REF!,2,)</f>
        <v>#REF!</v>
      </c>
      <c r="F88" s="3" t="s">
        <v>13</v>
      </c>
      <c r="G88" s="8" t="s">
        <v>14</v>
      </c>
      <c r="H88" s="4"/>
      <c r="I88" s="8" t="e">
        <f>VLOOKUP(D88,#REF!,6,)</f>
        <v>#REF!</v>
      </c>
    </row>
    <row r="89" spans="1:9" ht="38.25">
      <c r="A89" s="8" t="s">
        <v>3</v>
      </c>
      <c r="B89" s="8" t="s">
        <v>60</v>
      </c>
      <c r="C89" s="8" t="s">
        <v>61</v>
      </c>
      <c r="D89" s="8" t="s">
        <v>170</v>
      </c>
      <c r="E89" s="8" t="e">
        <f>VLOOKUP(D89,#REF!,2,)</f>
        <v>#REF!</v>
      </c>
      <c r="F89" s="3" t="s">
        <v>13</v>
      </c>
      <c r="G89" s="8" t="s">
        <v>14</v>
      </c>
      <c r="H89" s="4"/>
      <c r="I89" s="8" t="e">
        <f>VLOOKUP(D89,#REF!,6,)</f>
        <v>#REF!</v>
      </c>
    </row>
    <row r="90" spans="1:9" ht="25.5">
      <c r="A90" s="8" t="s">
        <v>3</v>
      </c>
      <c r="B90" s="8" t="s">
        <v>60</v>
      </c>
      <c r="C90" s="8" t="s">
        <v>61</v>
      </c>
      <c r="D90" s="8" t="s">
        <v>171</v>
      </c>
      <c r="E90" s="8" t="e">
        <f>VLOOKUP(D90,#REF!,2,)</f>
        <v>#REF!</v>
      </c>
      <c r="F90" s="3" t="s">
        <v>13</v>
      </c>
      <c r="G90" s="8" t="s">
        <v>14</v>
      </c>
      <c r="H90" s="4"/>
      <c r="I90" s="8" t="e">
        <f>VLOOKUP(D90,#REF!,6,)</f>
        <v>#REF!</v>
      </c>
    </row>
    <row r="91" spans="1:9" ht="25.5">
      <c r="A91" s="8" t="s">
        <v>3</v>
      </c>
      <c r="B91" s="8" t="s">
        <v>60</v>
      </c>
      <c r="C91" s="8" t="s">
        <v>61</v>
      </c>
      <c r="D91" s="8" t="s">
        <v>172</v>
      </c>
      <c r="E91" s="8" t="e">
        <f>VLOOKUP(D91,#REF!,2,)</f>
        <v>#REF!</v>
      </c>
      <c r="F91" s="3" t="s">
        <v>13</v>
      </c>
      <c r="G91" s="8" t="s">
        <v>14</v>
      </c>
      <c r="H91" s="4"/>
      <c r="I91" s="8" t="e">
        <f>VLOOKUP(D91,#REF!,6,)</f>
        <v>#REF!</v>
      </c>
    </row>
    <row r="92" spans="1:9" ht="25.5">
      <c r="A92" s="8" t="s">
        <v>3</v>
      </c>
      <c r="B92" s="8" t="s">
        <v>60</v>
      </c>
      <c r="C92" s="8" t="s">
        <v>61</v>
      </c>
      <c r="D92" s="8" t="s">
        <v>219</v>
      </c>
      <c r="E92" s="8" t="e">
        <f>VLOOKUP(D92,#REF!,2,)</f>
        <v>#REF!</v>
      </c>
      <c r="F92" s="3" t="s">
        <v>13</v>
      </c>
      <c r="G92" s="8" t="s">
        <v>14</v>
      </c>
      <c r="H92" s="4"/>
      <c r="I92" s="8" t="e">
        <f>VLOOKUP(D92,#REF!,6,)</f>
        <v>#REF!</v>
      </c>
    </row>
    <row r="93" spans="1:9" ht="25.5">
      <c r="A93" s="8" t="s">
        <v>3</v>
      </c>
      <c r="B93" s="8" t="s">
        <v>60</v>
      </c>
      <c r="C93" s="8" t="s">
        <v>61</v>
      </c>
      <c r="D93" s="8" t="s">
        <v>173</v>
      </c>
      <c r="E93" s="8" t="e">
        <f>VLOOKUP(D93,#REF!,2,)</f>
        <v>#REF!</v>
      </c>
      <c r="F93" s="3" t="s">
        <v>13</v>
      </c>
      <c r="G93" s="8" t="s">
        <v>14</v>
      </c>
      <c r="H93" s="4"/>
      <c r="I93" s="8" t="e">
        <f>VLOOKUP(D93,#REF!,6,)</f>
        <v>#REF!</v>
      </c>
    </row>
    <row r="94" spans="1:9" ht="25.5">
      <c r="A94" s="8" t="s">
        <v>3</v>
      </c>
      <c r="B94" s="8" t="s">
        <v>60</v>
      </c>
      <c r="C94" s="8" t="s">
        <v>61</v>
      </c>
      <c r="D94" s="8" t="s">
        <v>174</v>
      </c>
      <c r="E94" s="8" t="e">
        <f>VLOOKUP(D94,#REF!,2,)</f>
        <v>#REF!</v>
      </c>
      <c r="F94" s="3" t="s">
        <v>13</v>
      </c>
      <c r="G94" s="8" t="s">
        <v>42</v>
      </c>
      <c r="H94" s="4"/>
      <c r="I94" s="8" t="e">
        <f>VLOOKUP(D94,#REF!,6,)</f>
        <v>#REF!</v>
      </c>
    </row>
    <row r="95" spans="1:9" ht="25.5">
      <c r="A95" s="8" t="s">
        <v>175</v>
      </c>
      <c r="B95" s="8" t="s">
        <v>60</v>
      </c>
      <c r="C95" s="8" t="s">
        <v>61</v>
      </c>
      <c r="D95" s="8" t="s">
        <v>94</v>
      </c>
      <c r="E95" s="8" t="e">
        <f>VLOOKUP(D95,#REF!,2,)</f>
        <v>#REF!</v>
      </c>
      <c r="F95" s="3" t="s">
        <v>13</v>
      </c>
      <c r="G95" s="8" t="s">
        <v>14</v>
      </c>
      <c r="H95" s="4"/>
      <c r="I95" s="8" t="e">
        <f>VLOOKUP(D95,#REF!,6,)</f>
        <v>#REF!</v>
      </c>
    </row>
    <row r="96" spans="1:9" ht="25.5">
      <c r="A96" s="8" t="s">
        <v>3</v>
      </c>
      <c r="B96" s="8" t="s">
        <v>60</v>
      </c>
      <c r="C96" s="8" t="s">
        <v>61</v>
      </c>
      <c r="D96" s="8" t="s">
        <v>180</v>
      </c>
      <c r="E96" s="8" t="e">
        <f>VLOOKUP(D96,#REF!,2,)</f>
        <v>#REF!</v>
      </c>
      <c r="F96" s="3" t="s">
        <v>13</v>
      </c>
      <c r="G96" s="8" t="s">
        <v>59</v>
      </c>
      <c r="H96" s="4"/>
      <c r="I96" s="8" t="e">
        <f>VLOOKUP(D96,#REF!,6,)</f>
        <v>#REF!</v>
      </c>
    </row>
    <row r="97" spans="1:9" ht="25.5">
      <c r="A97" s="8" t="s">
        <v>3</v>
      </c>
      <c r="B97" s="8" t="s">
        <v>60</v>
      </c>
      <c r="C97" s="8" t="s">
        <v>61</v>
      </c>
      <c r="D97" s="8" t="s">
        <v>181</v>
      </c>
      <c r="E97" s="8" t="e">
        <f>VLOOKUP(D97,#REF!,2,)</f>
        <v>#REF!</v>
      </c>
      <c r="F97" s="3" t="s">
        <v>13</v>
      </c>
      <c r="G97" s="8" t="s">
        <v>59</v>
      </c>
      <c r="H97" s="4"/>
      <c r="I97" s="8" t="e">
        <f>VLOOKUP(D97,#REF!,6,)</f>
        <v>#REF!</v>
      </c>
    </row>
    <row r="98" spans="1:9" ht="25.5">
      <c r="A98" s="8" t="s">
        <v>3</v>
      </c>
      <c r="B98" s="8" t="s">
        <v>60</v>
      </c>
      <c r="C98" s="8" t="s">
        <v>61</v>
      </c>
      <c r="D98" s="8" t="s">
        <v>182</v>
      </c>
      <c r="E98" s="8" t="e">
        <f>VLOOKUP(D98,#REF!,2,)</f>
        <v>#REF!</v>
      </c>
      <c r="F98" s="3" t="s">
        <v>13</v>
      </c>
      <c r="G98" s="8" t="s">
        <v>42</v>
      </c>
      <c r="H98" s="4"/>
      <c r="I98" s="8" t="e">
        <f>VLOOKUP(D98,#REF!,6,)</f>
        <v>#REF!</v>
      </c>
    </row>
    <row r="99" spans="1:9" ht="25.5">
      <c r="A99" s="8" t="s">
        <v>3</v>
      </c>
      <c r="B99" s="8" t="s">
        <v>60</v>
      </c>
      <c r="C99" s="8" t="s">
        <v>61</v>
      </c>
      <c r="D99" s="8" t="s">
        <v>183</v>
      </c>
      <c r="E99" s="8" t="e">
        <f>VLOOKUP(D99,#REF!,2,)</f>
        <v>#REF!</v>
      </c>
      <c r="F99" s="3" t="s">
        <v>13</v>
      </c>
      <c r="G99" s="8" t="s">
        <v>59</v>
      </c>
      <c r="H99" s="4"/>
      <c r="I99" s="8" t="e">
        <f>VLOOKUP(D99,#REF!,6,)</f>
        <v>#REF!</v>
      </c>
    </row>
    <row r="100" spans="1:9" ht="25.5">
      <c r="A100" s="8" t="s">
        <v>3</v>
      </c>
      <c r="B100" s="8" t="s">
        <v>60</v>
      </c>
      <c r="C100" s="8" t="s">
        <v>61</v>
      </c>
      <c r="D100" s="8" t="s">
        <v>222</v>
      </c>
      <c r="E100" s="8" t="e">
        <f>VLOOKUP(D100,#REF!,2,)</f>
        <v>#REF!</v>
      </c>
      <c r="F100" s="3" t="s">
        <v>13</v>
      </c>
      <c r="G100" s="8" t="s">
        <v>59</v>
      </c>
      <c r="H100" s="4"/>
      <c r="I100" s="8" t="e">
        <f>VLOOKUP(D100,#REF!,6,)</f>
        <v>#REF!</v>
      </c>
    </row>
    <row r="101" spans="1:9" ht="25.5">
      <c r="A101" s="8" t="s">
        <v>3</v>
      </c>
      <c r="B101" s="8" t="s">
        <v>60</v>
      </c>
      <c r="C101" s="8" t="s">
        <v>61</v>
      </c>
      <c r="D101" s="8" t="s">
        <v>223</v>
      </c>
      <c r="E101" s="8" t="e">
        <f>VLOOKUP(D101,#REF!,2,)</f>
        <v>#REF!</v>
      </c>
      <c r="F101" s="3" t="s">
        <v>13</v>
      </c>
      <c r="G101" s="8" t="s">
        <v>59</v>
      </c>
      <c r="H101" s="4"/>
      <c r="I101" s="8" t="e">
        <f>VLOOKUP(D101,#REF!,6,)</f>
        <v>#REF!</v>
      </c>
    </row>
    <row r="102" spans="1:9" ht="25.5">
      <c r="A102" s="8" t="s">
        <v>3</v>
      </c>
      <c r="B102" s="8" t="s">
        <v>60</v>
      </c>
      <c r="C102" s="8" t="s">
        <v>61</v>
      </c>
      <c r="D102" s="8" t="s">
        <v>184</v>
      </c>
      <c r="E102" s="8" t="e">
        <f>VLOOKUP(D102,#REF!,2,)</f>
        <v>#REF!</v>
      </c>
      <c r="F102" s="3" t="s">
        <v>13</v>
      </c>
      <c r="G102" s="8" t="s">
        <v>59</v>
      </c>
      <c r="H102" s="4"/>
      <c r="I102" s="8" t="e">
        <f>VLOOKUP(D102,#REF!,6,)</f>
        <v>#REF!</v>
      </c>
    </row>
    <row r="103" spans="1:9" ht="25.5">
      <c r="A103" s="8" t="s">
        <v>3</v>
      </c>
      <c r="B103" s="8" t="s">
        <v>60</v>
      </c>
      <c r="C103" s="8" t="s">
        <v>61</v>
      </c>
      <c r="D103" s="8" t="s">
        <v>185</v>
      </c>
      <c r="E103" s="8" t="e">
        <f>VLOOKUP(D103,#REF!,2,)</f>
        <v>#REF!</v>
      </c>
      <c r="F103" s="3" t="s">
        <v>13</v>
      </c>
      <c r="G103" s="8" t="s">
        <v>59</v>
      </c>
      <c r="H103" s="4"/>
      <c r="I103" s="8" t="e">
        <f>VLOOKUP(D103,#REF!,6,)</f>
        <v>#REF!</v>
      </c>
    </row>
    <row r="104" spans="1:9" ht="25.5">
      <c r="A104" s="8" t="s">
        <v>3</v>
      </c>
      <c r="B104" s="8" t="s">
        <v>60</v>
      </c>
      <c r="C104" s="8" t="s">
        <v>61</v>
      </c>
      <c r="D104" s="8" t="s">
        <v>224</v>
      </c>
      <c r="E104" s="8" t="e">
        <f>VLOOKUP(D104,#REF!,2,)</f>
        <v>#REF!</v>
      </c>
      <c r="F104" s="3" t="s">
        <v>13</v>
      </c>
      <c r="G104" s="8" t="s">
        <v>59</v>
      </c>
      <c r="H104" s="4"/>
      <c r="I104" s="8" t="e">
        <f>VLOOKUP(D104,#REF!,6,)</f>
        <v>#REF!</v>
      </c>
    </row>
    <row r="105" spans="1:9" ht="25.5">
      <c r="A105" s="8" t="s">
        <v>3</v>
      </c>
      <c r="B105" s="8" t="s">
        <v>60</v>
      </c>
      <c r="C105" s="8" t="s">
        <v>61</v>
      </c>
      <c r="D105" s="8" t="s">
        <v>186</v>
      </c>
      <c r="E105" s="8" t="e">
        <f>VLOOKUP(D105,#REF!,2,)</f>
        <v>#REF!</v>
      </c>
      <c r="F105" s="3" t="s">
        <v>13</v>
      </c>
      <c r="G105" s="8" t="s">
        <v>42</v>
      </c>
      <c r="H105" s="4"/>
      <c r="I105" s="8" t="e">
        <f>VLOOKUP(D105,#REF!,6,)</f>
        <v>#REF!</v>
      </c>
    </row>
    <row r="106" spans="1:9" ht="25.5">
      <c r="A106" s="8" t="s">
        <v>3</v>
      </c>
      <c r="B106" s="8" t="s">
        <v>60</v>
      </c>
      <c r="C106" s="8" t="s">
        <v>61</v>
      </c>
      <c r="D106" s="8" t="s">
        <v>226</v>
      </c>
      <c r="E106" s="8" t="e">
        <f>VLOOKUP(D106,#REF!,2,)</f>
        <v>#REF!</v>
      </c>
      <c r="F106" s="3" t="s">
        <v>13</v>
      </c>
      <c r="G106" s="8" t="s">
        <v>59</v>
      </c>
      <c r="H106" s="4"/>
      <c r="I106" s="8" t="e">
        <f>VLOOKUP(D106,#REF!,6,)</f>
        <v>#REF!</v>
      </c>
    </row>
    <row r="107" spans="1:9" ht="25.5">
      <c r="A107" s="8" t="s">
        <v>3</v>
      </c>
      <c r="B107" s="8" t="s">
        <v>60</v>
      </c>
      <c r="C107" s="8" t="s">
        <v>61</v>
      </c>
      <c r="D107" s="1" t="s">
        <v>227</v>
      </c>
      <c r="E107" s="8" t="e">
        <f>VLOOKUP(D107,#REF!,2,)</f>
        <v>#REF!</v>
      </c>
      <c r="F107" s="3" t="s">
        <v>13</v>
      </c>
      <c r="G107" s="8" t="s">
        <v>59</v>
      </c>
      <c r="H107" s="4"/>
      <c r="I107" s="8" t="e">
        <f>VLOOKUP(D107,#REF!,6,)</f>
        <v>#REF!</v>
      </c>
    </row>
    <row r="108" spans="1:9" ht="25.5">
      <c r="A108" s="8" t="s">
        <v>3</v>
      </c>
      <c r="B108" s="8" t="s">
        <v>60</v>
      </c>
      <c r="C108" s="8" t="s">
        <v>61</v>
      </c>
      <c r="D108" s="8" t="s">
        <v>187</v>
      </c>
      <c r="E108" s="8" t="e">
        <f>VLOOKUP(D108,#REF!,2,)</f>
        <v>#REF!</v>
      </c>
      <c r="F108" s="3" t="s">
        <v>13</v>
      </c>
      <c r="G108" s="8" t="s">
        <v>59</v>
      </c>
      <c r="H108" s="4"/>
      <c r="I108" s="8" t="e">
        <f>VLOOKUP(D108,#REF!,6,)</f>
        <v>#REF!</v>
      </c>
    </row>
    <row r="109" spans="1:9" ht="25.5">
      <c r="A109" s="8" t="s">
        <v>3</v>
      </c>
      <c r="B109" s="8" t="s">
        <v>60</v>
      </c>
      <c r="C109" s="8" t="s">
        <v>61</v>
      </c>
      <c r="D109" s="8" t="s">
        <v>188</v>
      </c>
      <c r="E109" s="8" t="e">
        <f>VLOOKUP(D109,#REF!,2,)</f>
        <v>#REF!</v>
      </c>
      <c r="F109" s="3" t="s">
        <v>13</v>
      </c>
      <c r="G109" s="8" t="s">
        <v>42</v>
      </c>
      <c r="H109" s="4"/>
      <c r="I109" s="8" t="e">
        <f>VLOOKUP(D109,#REF!,6,)</f>
        <v>#REF!</v>
      </c>
    </row>
    <row r="110" spans="1:9" ht="25.5">
      <c r="A110" s="8" t="s">
        <v>3</v>
      </c>
      <c r="B110" s="8" t="s">
        <v>60</v>
      </c>
      <c r="C110" s="8" t="s">
        <v>61</v>
      </c>
      <c r="D110" s="8" t="s">
        <v>228</v>
      </c>
      <c r="E110" s="8" t="e">
        <f>VLOOKUP(D110,#REF!,2,)</f>
        <v>#REF!</v>
      </c>
      <c r="F110" s="3" t="s">
        <v>13</v>
      </c>
      <c r="G110" s="8" t="s">
        <v>59</v>
      </c>
      <c r="H110" s="4"/>
      <c r="I110" s="8" t="e">
        <f>VLOOKUP(D110,#REF!,6,)</f>
        <v>#REF!</v>
      </c>
    </row>
    <row r="111" spans="1:9" ht="25.5">
      <c r="A111" s="8" t="s">
        <v>3</v>
      </c>
      <c r="B111" s="8" t="s">
        <v>60</v>
      </c>
      <c r="C111" s="8" t="s">
        <v>61</v>
      </c>
      <c r="D111" s="8" t="s">
        <v>189</v>
      </c>
      <c r="E111" s="8" t="e">
        <f>VLOOKUP(D111,#REF!,2,)</f>
        <v>#REF!</v>
      </c>
      <c r="F111" s="3" t="s">
        <v>13</v>
      </c>
      <c r="G111" s="8" t="s">
        <v>59</v>
      </c>
      <c r="H111" s="4"/>
      <c r="I111" s="8" t="e">
        <f>VLOOKUP(D111,#REF!,6,)</f>
        <v>#REF!</v>
      </c>
    </row>
    <row r="112" spans="1:9" ht="25.5">
      <c r="A112" s="8" t="s">
        <v>3</v>
      </c>
      <c r="B112" s="8" t="s">
        <v>60</v>
      </c>
      <c r="C112" s="8" t="s">
        <v>61</v>
      </c>
      <c r="D112" s="8" t="s">
        <v>190</v>
      </c>
      <c r="E112" s="8" t="e">
        <f>VLOOKUP(D112,#REF!,2,)</f>
        <v>#REF!</v>
      </c>
      <c r="F112" s="3" t="s">
        <v>13</v>
      </c>
      <c r="G112" s="8" t="s">
        <v>59</v>
      </c>
      <c r="H112" s="4"/>
      <c r="I112" s="8" t="e">
        <f>VLOOKUP(D112,#REF!,6,)</f>
        <v>#REF!</v>
      </c>
    </row>
    <row r="113" spans="1:12" ht="25.5">
      <c r="A113" s="8" t="s">
        <v>3</v>
      </c>
      <c r="B113" s="8" t="s">
        <v>60</v>
      </c>
      <c r="C113" s="8" t="s">
        <v>61</v>
      </c>
      <c r="D113" s="8" t="s">
        <v>191</v>
      </c>
      <c r="E113" s="8" t="e">
        <f>VLOOKUP(D113,#REF!,2,)</f>
        <v>#REF!</v>
      </c>
      <c r="F113" s="3" t="s">
        <v>13</v>
      </c>
      <c r="G113" s="8" t="s">
        <v>42</v>
      </c>
      <c r="H113" s="4"/>
      <c r="I113" s="8" t="e">
        <f>VLOOKUP(D113,#REF!,6,)</f>
        <v>#REF!</v>
      </c>
    </row>
    <row r="114" spans="1:12" ht="25.5">
      <c r="A114" s="8" t="s">
        <v>3</v>
      </c>
      <c r="B114" s="8" t="s">
        <v>60</v>
      </c>
      <c r="C114" s="8" t="s">
        <v>61</v>
      </c>
      <c r="D114" s="8" t="s">
        <v>192</v>
      </c>
      <c r="E114" s="8" t="e">
        <f>VLOOKUP(D114,#REF!,2,)</f>
        <v>#REF!</v>
      </c>
      <c r="F114" s="3" t="s">
        <v>13</v>
      </c>
      <c r="G114" s="8" t="s">
        <v>42</v>
      </c>
      <c r="H114" s="4"/>
      <c r="I114" s="8" t="e">
        <f>VLOOKUP(D114,#REF!,6,)</f>
        <v>#REF!</v>
      </c>
    </row>
    <row r="115" spans="1:12" ht="25.5">
      <c r="A115" s="8" t="s">
        <v>3</v>
      </c>
      <c r="B115" s="8" t="s">
        <v>60</v>
      </c>
      <c r="C115" s="8" t="s">
        <v>61</v>
      </c>
      <c r="D115" s="8" t="s">
        <v>193</v>
      </c>
      <c r="E115" s="8" t="e">
        <f>VLOOKUP(D115,#REF!,2,)</f>
        <v>#REF!</v>
      </c>
      <c r="F115" s="3" t="s">
        <v>13</v>
      </c>
      <c r="G115" s="8" t="s">
        <v>42</v>
      </c>
      <c r="H115" s="4"/>
      <c r="I115" s="8" t="e">
        <f>VLOOKUP(D115,#REF!,6,)</f>
        <v>#REF!</v>
      </c>
    </row>
    <row r="116" spans="1:12" ht="25.5">
      <c r="A116" s="8" t="s">
        <v>3</v>
      </c>
      <c r="B116" s="8" t="s">
        <v>60</v>
      </c>
      <c r="C116" s="8" t="s">
        <v>61</v>
      </c>
      <c r="D116" s="8" t="s">
        <v>194</v>
      </c>
      <c r="E116" s="8" t="e">
        <f>VLOOKUP(D116,#REF!,2,)</f>
        <v>#REF!</v>
      </c>
      <c r="F116" s="3" t="s">
        <v>13</v>
      </c>
      <c r="G116" s="8" t="s">
        <v>59</v>
      </c>
      <c r="H116" s="4"/>
      <c r="I116" s="8" t="e">
        <f>VLOOKUP(D116,#REF!,6,)</f>
        <v>#REF!</v>
      </c>
    </row>
    <row r="117" spans="1:12" ht="25.5">
      <c r="A117" s="8" t="s">
        <v>3</v>
      </c>
      <c r="B117" s="8" t="s">
        <v>60</v>
      </c>
      <c r="C117" s="8" t="s">
        <v>61</v>
      </c>
      <c r="D117" s="8" t="s">
        <v>195</v>
      </c>
      <c r="E117" s="8" t="e">
        <f>VLOOKUP(D117,#REF!,2,)</f>
        <v>#REF!</v>
      </c>
      <c r="F117" s="3" t="s">
        <v>13</v>
      </c>
      <c r="G117" s="8" t="s">
        <v>42</v>
      </c>
      <c r="H117" s="4"/>
      <c r="I117" s="8" t="e">
        <f>VLOOKUP(D117,#REF!,6,)</f>
        <v>#REF!</v>
      </c>
    </row>
    <row r="118" spans="1:12" ht="25.5">
      <c r="A118" s="8" t="s">
        <v>3</v>
      </c>
      <c r="B118" s="8" t="s">
        <v>60</v>
      </c>
      <c r="C118" s="8" t="s">
        <v>61</v>
      </c>
      <c r="D118" s="8" t="s">
        <v>196</v>
      </c>
      <c r="E118" s="8" t="e">
        <f>VLOOKUP(D118,#REF!,2,)</f>
        <v>#REF!</v>
      </c>
      <c r="F118" s="3" t="s">
        <v>13</v>
      </c>
      <c r="G118" s="8" t="s">
        <v>59</v>
      </c>
      <c r="H118" s="4"/>
      <c r="I118" s="8" t="e">
        <f>VLOOKUP(D118,#REF!,6,)</f>
        <v>#REF!</v>
      </c>
    </row>
    <row r="119" spans="1:12" ht="25.5">
      <c r="A119" s="8" t="s">
        <v>3</v>
      </c>
      <c r="B119" s="8" t="s">
        <v>60</v>
      </c>
      <c r="C119" s="8" t="s">
        <v>61</v>
      </c>
      <c r="D119" s="8" t="s">
        <v>197</v>
      </c>
      <c r="E119" s="8" t="e">
        <f>VLOOKUP(D119,#REF!,2,)</f>
        <v>#REF!</v>
      </c>
      <c r="F119" s="3" t="s">
        <v>13</v>
      </c>
      <c r="G119" s="8" t="s">
        <v>59</v>
      </c>
      <c r="H119" s="4"/>
      <c r="I119" s="8" t="e">
        <f>VLOOKUP(D119,#REF!,6,)</f>
        <v>#REF!</v>
      </c>
    </row>
    <row r="120" spans="1:12" ht="25.5">
      <c r="A120" s="8" t="s">
        <v>3</v>
      </c>
      <c r="B120" s="8" t="s">
        <v>60</v>
      </c>
      <c r="C120" s="8" t="s">
        <v>61</v>
      </c>
      <c r="D120" s="8" t="s">
        <v>198</v>
      </c>
      <c r="E120" s="8" t="e">
        <f>VLOOKUP(D120,#REF!,2,)</f>
        <v>#REF!</v>
      </c>
      <c r="F120" s="3" t="s">
        <v>13</v>
      </c>
      <c r="G120" s="8" t="s">
        <v>42</v>
      </c>
      <c r="H120" s="4"/>
      <c r="I120" s="8" t="e">
        <f>VLOOKUP(D120,#REF!,6,)</f>
        <v>#REF!</v>
      </c>
    </row>
    <row r="121" spans="1:12" ht="25.5">
      <c r="A121" s="8" t="s">
        <v>3</v>
      </c>
      <c r="B121" s="8" t="s">
        <v>60</v>
      </c>
      <c r="C121" s="8" t="s">
        <v>61</v>
      </c>
      <c r="D121" s="8" t="s">
        <v>199</v>
      </c>
      <c r="E121" s="8" t="e">
        <f>VLOOKUP(D121,#REF!,2,)</f>
        <v>#REF!</v>
      </c>
      <c r="F121" s="3" t="s">
        <v>13</v>
      </c>
      <c r="G121" s="8" t="s">
        <v>59</v>
      </c>
      <c r="H121" s="4"/>
      <c r="I121" s="8" t="e">
        <f>VLOOKUP(D121,#REF!,6,)</f>
        <v>#REF!</v>
      </c>
    </row>
    <row r="122" spans="1:12" ht="25.5">
      <c r="A122" s="8" t="s">
        <v>3</v>
      </c>
      <c r="B122" s="8" t="s">
        <v>60</v>
      </c>
      <c r="C122" s="8" t="s">
        <v>61</v>
      </c>
      <c r="D122" s="8" t="s">
        <v>200</v>
      </c>
      <c r="E122" s="8" t="e">
        <f>VLOOKUP(D122,#REF!,2,)</f>
        <v>#REF!</v>
      </c>
      <c r="F122" s="3" t="s">
        <v>13</v>
      </c>
      <c r="G122" s="8" t="s">
        <v>42</v>
      </c>
      <c r="H122" s="4"/>
      <c r="I122" s="8" t="e">
        <f>VLOOKUP(D122,#REF!,6,)</f>
        <v>#REF!</v>
      </c>
    </row>
    <row r="123" spans="1:12" ht="25.5">
      <c r="A123" s="8" t="s">
        <v>3</v>
      </c>
      <c r="B123" s="8" t="s">
        <v>60</v>
      </c>
      <c r="C123" s="8" t="s">
        <v>61</v>
      </c>
      <c r="D123" s="8" t="s">
        <v>231</v>
      </c>
      <c r="E123" s="8" t="e">
        <f>VLOOKUP(D123,#REF!,2,)</f>
        <v>#REF!</v>
      </c>
      <c r="F123" s="3" t="s">
        <v>13</v>
      </c>
      <c r="G123" s="8" t="s">
        <v>59</v>
      </c>
      <c r="H123" s="4"/>
      <c r="I123" s="8" t="e">
        <f>VLOOKUP(D123,#REF!,6,)</f>
        <v>#REF!</v>
      </c>
    </row>
    <row r="124" spans="1:12" ht="25.5">
      <c r="A124" s="8" t="s">
        <v>3</v>
      </c>
      <c r="B124" s="8" t="s">
        <v>60</v>
      </c>
      <c r="C124" s="8" t="s">
        <v>61</v>
      </c>
      <c r="D124" s="8" t="s">
        <v>201</v>
      </c>
      <c r="E124" s="8" t="e">
        <f>VLOOKUP(D124,#REF!,2,)</f>
        <v>#REF!</v>
      </c>
      <c r="F124" s="3" t="s">
        <v>13</v>
      </c>
      <c r="G124" s="8" t="s">
        <v>59</v>
      </c>
      <c r="H124" s="4"/>
      <c r="I124" s="8" t="e">
        <f>VLOOKUP(D124,#REF!,6,)</f>
        <v>#REF!</v>
      </c>
    </row>
    <row r="125" spans="1:12" ht="25.5">
      <c r="A125" s="8" t="s">
        <v>3</v>
      </c>
      <c r="B125" s="8" t="s">
        <v>60</v>
      </c>
      <c r="C125" s="8" t="s">
        <v>61</v>
      </c>
      <c r="D125" s="8" t="s">
        <v>202</v>
      </c>
      <c r="E125" s="8" t="e">
        <f>VLOOKUP(D125,#REF!,2,)</f>
        <v>#REF!</v>
      </c>
      <c r="F125" s="3" t="s">
        <v>13</v>
      </c>
      <c r="G125" s="8" t="s">
        <v>59</v>
      </c>
      <c r="H125" s="4"/>
      <c r="I125" s="8" t="e">
        <f>VLOOKUP(D125,#REF!,6,)</f>
        <v>#REF!</v>
      </c>
    </row>
    <row r="126" spans="1:12" ht="25.5">
      <c r="A126" s="8" t="s">
        <v>3</v>
      </c>
      <c r="B126" s="8" t="s">
        <v>60</v>
      </c>
      <c r="C126" s="8" t="s">
        <v>61</v>
      </c>
      <c r="D126" s="8" t="s">
        <v>232</v>
      </c>
      <c r="E126" s="8" t="e">
        <f>VLOOKUP(D126,#REF!,2,)</f>
        <v>#REF!</v>
      </c>
      <c r="F126" s="3" t="s">
        <v>13</v>
      </c>
      <c r="G126" s="8" t="s">
        <v>59</v>
      </c>
      <c r="H126" s="4"/>
      <c r="I126" s="8" t="e">
        <f>VLOOKUP(D126,#REF!,6,)</f>
        <v>#REF!</v>
      </c>
    </row>
    <row r="127" spans="1:12" ht="25.5">
      <c r="A127" s="8" t="s">
        <v>3</v>
      </c>
      <c r="B127" s="8" t="s">
        <v>60</v>
      </c>
      <c r="C127" s="8" t="s">
        <v>61</v>
      </c>
      <c r="D127" s="8" t="s">
        <v>205</v>
      </c>
      <c r="E127" s="8" t="e">
        <f>VLOOKUP(D127,#REF!,2,)</f>
        <v>#REF!</v>
      </c>
      <c r="F127" s="3" t="s">
        <v>13</v>
      </c>
      <c r="G127" s="8" t="s">
        <v>59</v>
      </c>
      <c r="H127" s="4"/>
      <c r="I127" s="8" t="e">
        <f>VLOOKUP(D127,#REF!,6,)</f>
        <v>#REF!</v>
      </c>
    </row>
    <row r="128" spans="1:12" ht="12.75">
      <c r="A128" s="8" t="s">
        <v>145</v>
      </c>
      <c r="B128" s="4"/>
      <c r="C128" s="4"/>
      <c r="D128" s="8" t="s">
        <v>207</v>
      </c>
      <c r="E128" s="8" t="e">
        <f>VLOOKUP(D128,#REF!,2,)</f>
        <v>#REF!</v>
      </c>
      <c r="F128" s="9"/>
      <c r="G128" s="4"/>
      <c r="H128" s="4"/>
      <c r="I128" s="8" t="e">
        <f>VLOOKUP(D128,#REF!,6,)</f>
        <v>#REF!</v>
      </c>
      <c r="J128" s="8"/>
      <c r="K128" s="8"/>
      <c r="L128" s="8"/>
    </row>
    <row r="129" spans="1:10" ht="25.5">
      <c r="A129" s="8" t="s">
        <v>3</v>
      </c>
      <c r="B129" s="8" t="s">
        <v>11</v>
      </c>
      <c r="C129" s="8" t="s">
        <v>15</v>
      </c>
      <c r="D129" s="8" t="s">
        <v>235</v>
      </c>
      <c r="E129" s="8" t="e">
        <f>VLOOKUP(D129,#REF!,2,)</f>
        <v>#REF!</v>
      </c>
      <c r="F129" s="9"/>
      <c r="G129" s="9"/>
      <c r="H129" s="4"/>
      <c r="I129" s="8" t="e">
        <f>VLOOKUP(D129,#REF!,6,)</f>
        <v>#REF!</v>
      </c>
      <c r="J129" s="8"/>
    </row>
  </sheetData>
  <customSheetViews>
    <customSheetView guid="{E79D1D05-9F65-4414-A4D1-ED3DAE422003}" filter="1" showAutoFilter="1">
      <pageMargins left="0.7" right="0.7" top="0.75" bottom="0.75" header="0.3" footer="0.3"/>
      <autoFilter ref="A1:I129" xr:uid="{00000000-0000-0000-0000-000000000000}"/>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M999"/>
  <sheetViews>
    <sheetView workbookViewId="0"/>
  </sheetViews>
  <sheetFormatPr baseColWidth="10" defaultColWidth="14.42578125" defaultRowHeight="15.75" customHeight="1"/>
  <cols>
    <col min="1" max="1" width="8.42578125" customWidth="1"/>
    <col min="2" max="2" width="13.140625" customWidth="1"/>
    <col min="3" max="3" width="16.42578125" customWidth="1"/>
    <col min="4" max="4" width="62.85546875" customWidth="1"/>
    <col min="5" max="5" width="46.85546875" customWidth="1"/>
    <col min="6" max="6" width="14.42578125" hidden="1"/>
    <col min="9" max="9" width="14.42578125" hidden="1"/>
    <col min="11" max="12" width="14.42578125" hidden="1"/>
    <col min="13" max="13" width="8" customWidth="1"/>
  </cols>
  <sheetData>
    <row r="1" spans="1:13" ht="15.75" customHeight="1">
      <c r="A1" s="5" t="s">
        <v>0</v>
      </c>
      <c r="B1" s="5" t="s">
        <v>64</v>
      </c>
      <c r="C1" s="5" t="s">
        <v>7</v>
      </c>
      <c r="D1" s="12" t="s">
        <v>65</v>
      </c>
      <c r="E1" s="5" t="s">
        <v>8</v>
      </c>
      <c r="F1" s="7" t="s">
        <v>209</v>
      </c>
      <c r="G1" s="5" t="s">
        <v>9</v>
      </c>
      <c r="H1" s="5" t="s">
        <v>10</v>
      </c>
      <c r="I1" s="5" t="s">
        <v>2</v>
      </c>
      <c r="J1" s="5" t="s">
        <v>20</v>
      </c>
      <c r="K1" s="5" t="s">
        <v>6</v>
      </c>
      <c r="L1" s="5" t="s">
        <v>4</v>
      </c>
      <c r="M1" s="5" t="s">
        <v>1</v>
      </c>
    </row>
    <row r="2" spans="1:13" ht="15.75" customHeight="1">
      <c r="A2" s="8" t="s">
        <v>3</v>
      </c>
      <c r="B2" s="8" t="s">
        <v>11</v>
      </c>
      <c r="C2" s="8" t="s">
        <v>54</v>
      </c>
      <c r="D2" s="13" t="s">
        <v>71</v>
      </c>
      <c r="E2" s="8" t="e">
        <f>VLOOKUP(D2,#REF!,2,)</f>
        <v>#REF!</v>
      </c>
      <c r="F2" s="3" t="s">
        <v>13</v>
      </c>
      <c r="G2" s="8" t="s">
        <v>59</v>
      </c>
      <c r="H2" s="4"/>
      <c r="I2" s="8"/>
      <c r="J2" s="8" t="e">
        <f>VLOOKUP(D2,#REF!,7,)</f>
        <v>#REF!</v>
      </c>
      <c r="K2" s="8" t="s">
        <v>5</v>
      </c>
      <c r="L2" s="8" t="s">
        <v>5</v>
      </c>
      <c r="M2" s="8" t="e">
        <f>VLOOKUP(D2,#REF!,10,)</f>
        <v>#REF!</v>
      </c>
    </row>
    <row r="3" spans="1:13" ht="15.75" customHeight="1">
      <c r="A3" s="8" t="s">
        <v>3</v>
      </c>
      <c r="B3" s="8" t="s">
        <v>11</v>
      </c>
      <c r="C3" s="8" t="s">
        <v>72</v>
      </c>
      <c r="D3" s="13" t="s">
        <v>236</v>
      </c>
      <c r="E3" s="8" t="e">
        <f>VLOOKUP(D3,#REF!,2,)</f>
        <v>#REF!</v>
      </c>
      <c r="F3" s="3" t="s">
        <v>13</v>
      </c>
      <c r="G3" s="8" t="s">
        <v>59</v>
      </c>
      <c r="H3" s="4"/>
      <c r="I3" s="8" t="s">
        <v>5</v>
      </c>
      <c r="J3" s="8" t="e">
        <f>VLOOKUP(D3,#REF!,7,)</f>
        <v>#REF!</v>
      </c>
      <c r="K3" s="8" t="s">
        <v>5</v>
      </c>
      <c r="L3" s="8" t="s">
        <v>5</v>
      </c>
      <c r="M3" s="8" t="e">
        <f>VLOOKUP(D3,#REF!,10,)</f>
        <v>#REF!</v>
      </c>
    </row>
    <row r="4" spans="1:13" ht="15.75" customHeight="1">
      <c r="A4" s="8" t="s">
        <v>3</v>
      </c>
      <c r="B4" s="8" t="s">
        <v>11</v>
      </c>
      <c r="C4" s="8" t="s">
        <v>18</v>
      </c>
      <c r="D4" s="13" t="s">
        <v>73</v>
      </c>
      <c r="E4" s="8" t="e">
        <f>VLOOKUP(D4,#REF!,2,)</f>
        <v>#REF!</v>
      </c>
      <c r="F4" s="3" t="s">
        <v>13</v>
      </c>
      <c r="G4" s="8" t="s">
        <v>42</v>
      </c>
      <c r="H4" s="4"/>
      <c r="I4" s="8" t="s">
        <v>5</v>
      </c>
      <c r="J4" s="8" t="e">
        <f>VLOOKUP(D4,#REF!,7,)</f>
        <v>#REF!</v>
      </c>
      <c r="K4" s="8" t="s">
        <v>5</v>
      </c>
      <c r="L4" s="8" t="s">
        <v>5</v>
      </c>
      <c r="M4" s="8" t="e">
        <f>VLOOKUP(D4,#REF!,10,)</f>
        <v>#REF!</v>
      </c>
    </row>
    <row r="5" spans="1:13" ht="15.75" customHeight="1">
      <c r="A5" s="8" t="s">
        <v>3</v>
      </c>
      <c r="B5" s="8" t="s">
        <v>11</v>
      </c>
      <c r="C5" s="8" t="s">
        <v>18</v>
      </c>
      <c r="D5" s="13" t="s">
        <v>74</v>
      </c>
      <c r="E5" s="8" t="e">
        <f>VLOOKUP(D5,#REF!,2,)</f>
        <v>#REF!</v>
      </c>
      <c r="F5" s="3" t="s">
        <v>13</v>
      </c>
      <c r="G5" s="8" t="s">
        <v>42</v>
      </c>
      <c r="H5" s="4"/>
      <c r="I5" s="8" t="s">
        <v>5</v>
      </c>
      <c r="J5" s="8" t="e">
        <f>VLOOKUP(D5,#REF!,7,)</f>
        <v>#REF!</v>
      </c>
      <c r="K5" s="8" t="s">
        <v>5</v>
      </c>
      <c r="L5" s="8" t="s">
        <v>5</v>
      </c>
      <c r="M5" s="8" t="e">
        <f>VLOOKUP(D5,#REF!,10,)</f>
        <v>#REF!</v>
      </c>
    </row>
    <row r="6" spans="1:13" ht="15.75" customHeight="1">
      <c r="A6" s="8" t="s">
        <v>3</v>
      </c>
      <c r="B6" s="8" t="s">
        <v>11</v>
      </c>
      <c r="C6" s="8" t="s">
        <v>12</v>
      </c>
      <c r="D6" s="8" t="s">
        <v>76</v>
      </c>
      <c r="E6" s="8" t="e">
        <f>VLOOKUP(D6,#REF!,2,)</f>
        <v>#REF!</v>
      </c>
      <c r="F6" s="3" t="s">
        <v>13</v>
      </c>
      <c r="G6" s="8" t="s">
        <v>14</v>
      </c>
      <c r="H6" s="4"/>
      <c r="I6" s="8" t="s">
        <v>5</v>
      </c>
      <c r="J6" s="8" t="e">
        <f>VLOOKUP(D6,#REF!,7,)</f>
        <v>#REF!</v>
      </c>
      <c r="K6" s="8" t="s">
        <v>5</v>
      </c>
      <c r="L6" s="8" t="s">
        <v>5</v>
      </c>
      <c r="M6" s="8" t="e">
        <f>VLOOKUP(D6,#REF!,10,)</f>
        <v>#REF!</v>
      </c>
    </row>
    <row r="7" spans="1:13" ht="15.75" customHeight="1">
      <c r="A7" s="8" t="s">
        <v>3</v>
      </c>
      <c r="B7" s="8" t="s">
        <v>11</v>
      </c>
      <c r="C7" s="8" t="s">
        <v>12</v>
      </c>
      <c r="D7" s="13" t="s">
        <v>77</v>
      </c>
      <c r="E7" s="8" t="e">
        <f>VLOOKUP(D7,#REF!,2,)</f>
        <v>#REF!</v>
      </c>
      <c r="F7" s="3" t="s">
        <v>13</v>
      </c>
      <c r="G7" s="4"/>
      <c r="H7" s="4"/>
      <c r="I7" s="8" t="s">
        <v>5</v>
      </c>
      <c r="J7" s="8" t="e">
        <f>VLOOKUP(D7,#REF!,7,)</f>
        <v>#REF!</v>
      </c>
      <c r="K7" s="8" t="s">
        <v>5</v>
      </c>
      <c r="L7" s="8" t="s">
        <v>5</v>
      </c>
      <c r="M7" s="8" t="e">
        <f>VLOOKUP(D7,#REF!,10,)</f>
        <v>#REF!</v>
      </c>
    </row>
    <row r="8" spans="1:13" ht="15.75" customHeight="1">
      <c r="A8" s="8" t="s">
        <v>70</v>
      </c>
      <c r="B8" s="8" t="s">
        <v>11</v>
      </c>
      <c r="C8" s="8" t="s">
        <v>54</v>
      </c>
      <c r="D8" s="13" t="s">
        <v>79</v>
      </c>
      <c r="E8" s="8" t="e">
        <f>VLOOKUP(D8,#REF!,2,)</f>
        <v>#REF!</v>
      </c>
      <c r="F8" s="3" t="s">
        <v>13</v>
      </c>
      <c r="G8" s="8" t="s">
        <v>42</v>
      </c>
      <c r="H8" s="4"/>
      <c r="I8" s="8"/>
      <c r="J8" s="8" t="e">
        <f>VLOOKUP(D8,#REF!,7,)</f>
        <v>#REF!</v>
      </c>
      <c r="K8" s="8" t="s">
        <v>5</v>
      </c>
      <c r="L8" s="8" t="s">
        <v>5</v>
      </c>
      <c r="M8" s="8" t="e">
        <f>VLOOKUP(D8,#REF!,10,)</f>
        <v>#REF!</v>
      </c>
    </row>
    <row r="9" spans="1:13" ht="15.75" customHeight="1">
      <c r="A9" s="8" t="s">
        <v>70</v>
      </c>
      <c r="B9" s="8" t="s">
        <v>11</v>
      </c>
      <c r="C9" s="8" t="s">
        <v>54</v>
      </c>
      <c r="D9" s="13" t="s">
        <v>80</v>
      </c>
      <c r="E9" s="8" t="e">
        <f>VLOOKUP(D9,#REF!,2,)</f>
        <v>#REF!</v>
      </c>
      <c r="F9" s="3" t="s">
        <v>13</v>
      </c>
      <c r="G9" s="8" t="s">
        <v>42</v>
      </c>
      <c r="H9" s="4"/>
      <c r="I9" s="8"/>
      <c r="J9" s="8" t="e">
        <f>VLOOKUP(D9,#REF!,7,)</f>
        <v>#REF!</v>
      </c>
      <c r="K9" s="8" t="s">
        <v>5</v>
      </c>
      <c r="L9" s="8" t="s">
        <v>5</v>
      </c>
      <c r="M9" s="8" t="e">
        <f>VLOOKUP(D9,#REF!,10,)</f>
        <v>#REF!</v>
      </c>
    </row>
    <row r="10" spans="1:13" ht="15.75" customHeight="1">
      <c r="A10" s="8" t="s">
        <v>3</v>
      </c>
      <c r="B10" s="8" t="s">
        <v>11</v>
      </c>
      <c r="C10" s="8" t="s">
        <v>81</v>
      </c>
      <c r="D10" s="13" t="s">
        <v>82</v>
      </c>
      <c r="E10" s="8" t="e">
        <f>VLOOKUP(D10,#REF!,2,)</f>
        <v>#REF!</v>
      </c>
      <c r="F10" s="3" t="s">
        <v>13</v>
      </c>
      <c r="G10" s="8" t="s">
        <v>14</v>
      </c>
      <c r="H10" s="4"/>
      <c r="I10" s="8" t="s">
        <v>5</v>
      </c>
      <c r="J10" s="8" t="e">
        <f>VLOOKUP(D10,#REF!,7,)</f>
        <v>#REF!</v>
      </c>
      <c r="K10" s="8" t="s">
        <v>5</v>
      </c>
      <c r="L10" s="8" t="s">
        <v>5</v>
      </c>
      <c r="M10" s="8" t="e">
        <f>VLOOKUP(D10,#REF!,10,)</f>
        <v>#REF!</v>
      </c>
    </row>
    <row r="11" spans="1:13" ht="15.75" customHeight="1">
      <c r="A11" s="8" t="s">
        <v>3</v>
      </c>
      <c r="B11" s="8" t="s">
        <v>11</v>
      </c>
      <c r="C11" s="8" t="s">
        <v>54</v>
      </c>
      <c r="D11" s="13" t="s">
        <v>83</v>
      </c>
      <c r="E11" s="8" t="e">
        <f>VLOOKUP(D11,#REF!,2,)</f>
        <v>#REF!</v>
      </c>
      <c r="F11" s="3" t="s">
        <v>13</v>
      </c>
      <c r="G11" s="8" t="s">
        <v>42</v>
      </c>
      <c r="H11" s="4"/>
      <c r="I11" s="8" t="s">
        <v>5</v>
      </c>
      <c r="J11" s="8" t="e">
        <f>VLOOKUP(D11,#REF!,7,)</f>
        <v>#REF!</v>
      </c>
      <c r="K11" s="8" t="s">
        <v>5</v>
      </c>
      <c r="L11" s="8" t="s">
        <v>5</v>
      </c>
      <c r="M11" s="8" t="e">
        <f>VLOOKUP(D11,#REF!,10,)</f>
        <v>#REF!</v>
      </c>
    </row>
    <row r="12" spans="1:13" ht="15.75" customHeight="1">
      <c r="A12" s="8" t="s">
        <v>3</v>
      </c>
      <c r="B12" s="8" t="s">
        <v>11</v>
      </c>
      <c r="C12" s="8" t="s">
        <v>54</v>
      </c>
      <c r="D12" s="24" t="s">
        <v>84</v>
      </c>
      <c r="E12" s="8" t="e">
        <f>VLOOKUP(D12,#REF!,2,)</f>
        <v>#REF!</v>
      </c>
      <c r="F12" s="3" t="s">
        <v>13</v>
      </c>
      <c r="G12" s="8" t="s">
        <v>14</v>
      </c>
      <c r="H12" s="4"/>
      <c r="I12" s="8"/>
      <c r="J12" s="8" t="e">
        <f>VLOOKUP(D12,#REF!,7,)</f>
        <v>#REF!</v>
      </c>
      <c r="K12" s="8" t="s">
        <v>5</v>
      </c>
      <c r="L12" s="8" t="s">
        <v>5</v>
      </c>
      <c r="M12" s="8" t="e">
        <f>VLOOKUP(D12,#REF!,10,)</f>
        <v>#REF!</v>
      </c>
    </row>
    <row r="13" spans="1:13" ht="15.75" customHeight="1">
      <c r="A13" s="8" t="s">
        <v>3</v>
      </c>
      <c r="B13" s="8" t="s">
        <v>11</v>
      </c>
      <c r="C13" s="8" t="s">
        <v>54</v>
      </c>
      <c r="D13" s="13" t="s">
        <v>85</v>
      </c>
      <c r="E13" s="8" t="e">
        <f>VLOOKUP(D13,#REF!,2,)</f>
        <v>#REF!</v>
      </c>
      <c r="F13" s="3" t="s">
        <v>13</v>
      </c>
      <c r="G13" s="8" t="s">
        <v>14</v>
      </c>
      <c r="H13" s="4"/>
      <c r="I13" s="8"/>
      <c r="J13" s="8" t="e">
        <f>VLOOKUP(D13,#REF!,7,)</f>
        <v>#REF!</v>
      </c>
      <c r="K13" s="8" t="s">
        <v>5</v>
      </c>
      <c r="L13" s="8" t="s">
        <v>5</v>
      </c>
      <c r="M13" s="8" t="e">
        <f>VLOOKUP(D13,#REF!,10,)</f>
        <v>#REF!</v>
      </c>
    </row>
    <row r="14" spans="1:13" ht="15.75" customHeight="1">
      <c r="A14" s="8" t="s">
        <v>3</v>
      </c>
      <c r="B14" s="8" t="s">
        <v>11</v>
      </c>
      <c r="C14" s="8" t="s">
        <v>54</v>
      </c>
      <c r="D14" s="13" t="s">
        <v>86</v>
      </c>
      <c r="E14" s="8" t="e">
        <f>VLOOKUP(D14,#REF!,2,)</f>
        <v>#REF!</v>
      </c>
      <c r="F14" s="3" t="s">
        <v>13</v>
      </c>
      <c r="G14" s="8" t="s">
        <v>14</v>
      </c>
      <c r="H14" s="4"/>
      <c r="I14" s="8"/>
      <c r="J14" s="8" t="e">
        <f>VLOOKUP(D14,#REF!,7,)</f>
        <v>#REF!</v>
      </c>
      <c r="K14" s="8" t="s">
        <v>5</v>
      </c>
      <c r="L14" s="8" t="s">
        <v>5</v>
      </c>
      <c r="M14" s="8" t="e">
        <f>VLOOKUP(D14,#REF!,10,)</f>
        <v>#REF!</v>
      </c>
    </row>
    <row r="15" spans="1:13" ht="15.75" customHeight="1">
      <c r="A15" s="8" t="s">
        <v>3</v>
      </c>
      <c r="B15" s="8" t="s">
        <v>11</v>
      </c>
      <c r="C15" s="8" t="s">
        <v>15</v>
      </c>
      <c r="D15" s="13" t="s">
        <v>89</v>
      </c>
      <c r="E15" s="8" t="e">
        <f>VLOOKUP(D15,#REF!,2,)</f>
        <v>#REF!</v>
      </c>
      <c r="F15" s="3" t="s">
        <v>13</v>
      </c>
      <c r="G15" s="8" t="s">
        <v>42</v>
      </c>
      <c r="H15" s="4"/>
      <c r="I15" s="8" t="s">
        <v>5</v>
      </c>
      <c r="J15" s="8" t="e">
        <f>VLOOKUP(D15,#REF!,7,)</f>
        <v>#REF!</v>
      </c>
      <c r="K15" s="8" t="s">
        <v>5</v>
      </c>
      <c r="L15" s="8" t="s">
        <v>5</v>
      </c>
      <c r="M15" s="8" t="e">
        <f>VLOOKUP(D15,#REF!,10,)</f>
        <v>#REF!</v>
      </c>
    </row>
    <row r="16" spans="1:13" ht="15.75" customHeight="1">
      <c r="A16" s="8" t="s">
        <v>3</v>
      </c>
      <c r="B16" s="8" t="s">
        <v>11</v>
      </c>
      <c r="C16" s="8" t="s">
        <v>15</v>
      </c>
      <c r="D16" s="13" t="s">
        <v>213</v>
      </c>
      <c r="E16" s="8" t="e">
        <f>VLOOKUP(D16,#REF!,2,)</f>
        <v>#REF!</v>
      </c>
      <c r="F16" s="3" t="s">
        <v>13</v>
      </c>
      <c r="G16" s="8" t="s">
        <v>14</v>
      </c>
      <c r="H16" s="4"/>
      <c r="I16" s="8" t="s">
        <v>5</v>
      </c>
      <c r="J16" s="8" t="e">
        <f>VLOOKUP(D16,#REF!,7,)</f>
        <v>#REF!</v>
      </c>
      <c r="K16" s="8" t="s">
        <v>5</v>
      </c>
      <c r="L16" s="8" t="s">
        <v>5</v>
      </c>
      <c r="M16" s="8" t="e">
        <f>VLOOKUP(D16,#REF!,10,)</f>
        <v>#REF!</v>
      </c>
    </row>
    <row r="17" spans="1:13" ht="15.75" customHeight="1">
      <c r="A17" s="8" t="s">
        <v>3</v>
      </c>
      <c r="B17" s="8" t="s">
        <v>11</v>
      </c>
      <c r="C17" s="8" t="s">
        <v>18</v>
      </c>
      <c r="D17" s="13" t="s">
        <v>90</v>
      </c>
      <c r="E17" s="8" t="e">
        <f>VLOOKUP(D17,#REF!,2,)</f>
        <v>#REF!</v>
      </c>
      <c r="F17" s="3" t="s">
        <v>13</v>
      </c>
      <c r="G17" s="8" t="s">
        <v>14</v>
      </c>
      <c r="H17" s="4"/>
      <c r="I17" s="8" t="s">
        <v>5</v>
      </c>
      <c r="J17" s="8" t="e">
        <f>VLOOKUP(D17,#REF!,7,)</f>
        <v>#REF!</v>
      </c>
      <c r="K17" s="8" t="s">
        <v>5</v>
      </c>
      <c r="L17" s="8" t="s">
        <v>5</v>
      </c>
      <c r="M17" s="8" t="e">
        <f>VLOOKUP(D17,#REF!,10,)</f>
        <v>#REF!</v>
      </c>
    </row>
    <row r="18" spans="1:13" ht="15.75" customHeight="1">
      <c r="A18" s="8" t="s">
        <v>3</v>
      </c>
      <c r="B18" s="8" t="s">
        <v>11</v>
      </c>
      <c r="C18" s="8" t="s">
        <v>12</v>
      </c>
      <c r="D18" s="13" t="s">
        <v>93</v>
      </c>
      <c r="E18" s="8" t="e">
        <f>VLOOKUP(D18,#REF!,2,)</f>
        <v>#REF!</v>
      </c>
      <c r="F18" s="3" t="s">
        <v>13</v>
      </c>
      <c r="G18" s="8" t="s">
        <v>210</v>
      </c>
      <c r="H18" s="4"/>
      <c r="I18" s="8" t="s">
        <v>5</v>
      </c>
      <c r="J18" s="8" t="e">
        <f>VLOOKUP(D18,#REF!,7,)</f>
        <v>#REF!</v>
      </c>
      <c r="K18" s="8" t="s">
        <v>5</v>
      </c>
      <c r="L18" s="8" t="s">
        <v>5</v>
      </c>
      <c r="M18" s="8" t="e">
        <f>VLOOKUP(D18,#REF!,10,)</f>
        <v>#REF!</v>
      </c>
    </row>
    <row r="19" spans="1:13" ht="15.75" customHeight="1">
      <c r="A19" s="8" t="s">
        <v>3</v>
      </c>
      <c r="B19" s="8" t="s">
        <v>11</v>
      </c>
      <c r="C19" s="8" t="s">
        <v>18</v>
      </c>
      <c r="D19" s="13" t="s">
        <v>101</v>
      </c>
      <c r="E19" s="8" t="e">
        <f>VLOOKUP(D19,#REF!,2,)</f>
        <v>#REF!</v>
      </c>
      <c r="F19" s="3" t="s">
        <v>13</v>
      </c>
      <c r="G19" s="8" t="s">
        <v>42</v>
      </c>
      <c r="H19" s="4"/>
      <c r="I19" s="8" t="s">
        <v>5</v>
      </c>
      <c r="J19" s="8" t="e">
        <f>VLOOKUP(D19,#REF!,7,)</f>
        <v>#REF!</v>
      </c>
      <c r="K19" s="8" t="s">
        <v>5</v>
      </c>
      <c r="L19" s="8" t="s">
        <v>5</v>
      </c>
      <c r="M19" s="8" t="e">
        <f>VLOOKUP(D19,#REF!,10,)</f>
        <v>#REF!</v>
      </c>
    </row>
    <row r="20" spans="1:13" ht="15.75" customHeight="1">
      <c r="A20" s="8" t="s">
        <v>3</v>
      </c>
      <c r="B20" s="8" t="s">
        <v>11</v>
      </c>
      <c r="C20" s="8" t="s">
        <v>18</v>
      </c>
      <c r="D20" s="13" t="s">
        <v>19</v>
      </c>
      <c r="E20" s="8" t="e">
        <f>VLOOKUP(D20,#REF!,2,)</f>
        <v>#REF!</v>
      </c>
      <c r="F20" s="3" t="s">
        <v>13</v>
      </c>
      <c r="G20" s="8" t="s">
        <v>14</v>
      </c>
      <c r="H20" s="4"/>
      <c r="I20" s="8" t="s">
        <v>5</v>
      </c>
      <c r="J20" s="8" t="e">
        <f>VLOOKUP(D20,#REF!,7,)</f>
        <v>#REF!</v>
      </c>
      <c r="K20" s="8" t="s">
        <v>5</v>
      </c>
      <c r="L20" s="8" t="s">
        <v>5</v>
      </c>
      <c r="M20" s="8" t="e">
        <f>VLOOKUP(D20,#REF!,10,)</f>
        <v>#REF!</v>
      </c>
    </row>
    <row r="21" spans="1:13" ht="15.75" customHeight="1">
      <c r="A21" s="8" t="s">
        <v>3</v>
      </c>
      <c r="B21" s="8" t="s">
        <v>11</v>
      </c>
      <c r="C21" s="8" t="s">
        <v>18</v>
      </c>
      <c r="D21" s="13" t="s">
        <v>104</v>
      </c>
      <c r="E21" s="8" t="e">
        <f>VLOOKUP(D21,#REF!,2,)</f>
        <v>#REF!</v>
      </c>
      <c r="F21" s="3" t="s">
        <v>13</v>
      </c>
      <c r="G21" s="8" t="s">
        <v>14</v>
      </c>
      <c r="H21" s="4"/>
      <c r="I21" s="8" t="s">
        <v>5</v>
      </c>
      <c r="J21" s="8" t="e">
        <f>VLOOKUP(D21,#REF!,7,)</f>
        <v>#REF!</v>
      </c>
      <c r="K21" s="8" t="s">
        <v>5</v>
      </c>
      <c r="L21" s="8" t="s">
        <v>5</v>
      </c>
      <c r="M21" s="8" t="e">
        <f>VLOOKUP(D21,#REF!,10,)</f>
        <v>#REF!</v>
      </c>
    </row>
    <row r="22" spans="1:13" ht="15.75" customHeight="1">
      <c r="A22" s="8" t="s">
        <v>3</v>
      </c>
      <c r="B22" s="8" t="s">
        <v>11</v>
      </c>
      <c r="C22" s="8" t="s">
        <v>12</v>
      </c>
      <c r="D22" s="13" t="s">
        <v>105</v>
      </c>
      <c r="E22" s="8" t="e">
        <f>VLOOKUP(D22,#REF!,2,)</f>
        <v>#REF!</v>
      </c>
      <c r="F22" s="3" t="s">
        <v>13</v>
      </c>
      <c r="G22" s="8" t="s">
        <v>42</v>
      </c>
      <c r="H22" s="4"/>
      <c r="I22" s="8" t="s">
        <v>5</v>
      </c>
      <c r="J22" s="8" t="e">
        <f>VLOOKUP(D22,#REF!,7,)</f>
        <v>#REF!</v>
      </c>
      <c r="K22" s="8" t="s">
        <v>5</v>
      </c>
      <c r="L22" s="8" t="s">
        <v>5</v>
      </c>
      <c r="M22" s="8" t="e">
        <f>VLOOKUP(D22,#REF!,10,)</f>
        <v>#REF!</v>
      </c>
    </row>
    <row r="23" spans="1:13" ht="15.75" customHeight="1">
      <c r="A23" s="8" t="s">
        <v>3</v>
      </c>
      <c r="B23" s="8" t="s">
        <v>11</v>
      </c>
      <c r="C23" s="8" t="s">
        <v>12</v>
      </c>
      <c r="D23" s="13" t="s">
        <v>106</v>
      </c>
      <c r="E23" s="8" t="e">
        <f>VLOOKUP(D23,#REF!,2,)</f>
        <v>#REF!</v>
      </c>
      <c r="F23" s="3" t="s">
        <v>13</v>
      </c>
      <c r="G23" s="8" t="s">
        <v>42</v>
      </c>
      <c r="H23" s="4"/>
      <c r="I23" s="8"/>
      <c r="J23" s="8" t="e">
        <f>VLOOKUP(D23,#REF!,7,)</f>
        <v>#REF!</v>
      </c>
      <c r="K23" s="8" t="s">
        <v>5</v>
      </c>
      <c r="L23" s="8" t="s">
        <v>5</v>
      </c>
      <c r="M23" s="8" t="e">
        <f>VLOOKUP(D23,#REF!,10,)</f>
        <v>#REF!</v>
      </c>
    </row>
    <row r="24" spans="1:13" ht="25.5">
      <c r="A24" s="8" t="s">
        <v>70</v>
      </c>
      <c r="B24" s="8" t="s">
        <v>11</v>
      </c>
      <c r="C24" s="8" t="s">
        <v>12</v>
      </c>
      <c r="D24" s="13" t="s">
        <v>107</v>
      </c>
      <c r="E24" s="8" t="e">
        <f>VLOOKUP(D24,#REF!,2,)</f>
        <v>#REF!</v>
      </c>
      <c r="F24" s="3" t="s">
        <v>13</v>
      </c>
      <c r="G24" s="8" t="s">
        <v>210</v>
      </c>
      <c r="H24" s="4"/>
      <c r="I24" s="8"/>
      <c r="J24" s="8" t="e">
        <f>VLOOKUP(D24,#REF!,7,)</f>
        <v>#REF!</v>
      </c>
      <c r="K24" s="8" t="s">
        <v>5</v>
      </c>
      <c r="L24" s="8" t="s">
        <v>5</v>
      </c>
      <c r="M24" s="8" t="e">
        <f>VLOOKUP(D24,#REF!,10,)</f>
        <v>#REF!</v>
      </c>
    </row>
    <row r="25" spans="1:13" ht="25.5">
      <c r="A25" s="8" t="s">
        <v>3</v>
      </c>
      <c r="B25" s="8" t="s">
        <v>11</v>
      </c>
      <c r="C25" s="8" t="s">
        <v>54</v>
      </c>
      <c r="D25" s="13" t="s">
        <v>108</v>
      </c>
      <c r="E25" s="8" t="e">
        <f>VLOOKUP(D25,#REF!,2,)</f>
        <v>#REF!</v>
      </c>
      <c r="F25" s="3" t="s">
        <v>13</v>
      </c>
      <c r="G25" s="8" t="s">
        <v>42</v>
      </c>
      <c r="H25" s="4"/>
      <c r="I25" s="8" t="s">
        <v>5</v>
      </c>
      <c r="J25" s="8" t="e">
        <f>VLOOKUP(D25,#REF!,7,)</f>
        <v>#REF!</v>
      </c>
      <c r="K25" s="8" t="s">
        <v>5</v>
      </c>
      <c r="L25" s="8" t="s">
        <v>5</v>
      </c>
      <c r="M25" s="8" t="e">
        <f>VLOOKUP(D25,#REF!,10,)</f>
        <v>#REF!</v>
      </c>
    </row>
    <row r="26" spans="1:13" ht="25.5">
      <c r="A26" s="8" t="s">
        <v>3</v>
      </c>
      <c r="B26" s="8" t="s">
        <v>11</v>
      </c>
      <c r="C26" s="8" t="s">
        <v>12</v>
      </c>
      <c r="D26" s="13" t="s">
        <v>111</v>
      </c>
      <c r="E26" s="8" t="e">
        <f>VLOOKUP(D26,#REF!,2,)</f>
        <v>#REF!</v>
      </c>
      <c r="F26" s="3" t="s">
        <v>13</v>
      </c>
      <c r="G26" s="8" t="s">
        <v>42</v>
      </c>
      <c r="H26" s="4"/>
      <c r="I26" s="8" t="s">
        <v>5</v>
      </c>
      <c r="J26" s="8" t="e">
        <f>VLOOKUP(D26,#REF!,7,)</f>
        <v>#REF!</v>
      </c>
      <c r="K26" s="8" t="s">
        <v>5</v>
      </c>
      <c r="L26" s="8" t="s">
        <v>5</v>
      </c>
      <c r="M26" s="8" t="e">
        <f>VLOOKUP(D26,#REF!,10,)</f>
        <v>#REF!</v>
      </c>
    </row>
    <row r="27" spans="1:13" ht="25.5">
      <c r="A27" s="8" t="s">
        <v>3</v>
      </c>
      <c r="B27" s="8" t="s">
        <v>11</v>
      </c>
      <c r="C27" s="8" t="s">
        <v>15</v>
      </c>
      <c r="D27" s="13" t="s">
        <v>115</v>
      </c>
      <c r="E27" s="8" t="e">
        <f>VLOOKUP(D27,#REF!,2,)</f>
        <v>#REF!</v>
      </c>
      <c r="F27" s="3" t="s">
        <v>13</v>
      </c>
      <c r="G27" s="8" t="s">
        <v>14</v>
      </c>
      <c r="H27" s="4"/>
      <c r="I27" s="8" t="s">
        <v>5</v>
      </c>
      <c r="J27" s="8" t="e">
        <f>VLOOKUP(D27,#REF!,7,)</f>
        <v>#REF!</v>
      </c>
      <c r="K27" s="8" t="s">
        <v>5</v>
      </c>
      <c r="L27" s="8" t="s">
        <v>5</v>
      </c>
      <c r="M27" s="8" t="e">
        <f>VLOOKUP(D27,#REF!,10,)</f>
        <v>#REF!</v>
      </c>
    </row>
    <row r="28" spans="1:13" ht="25.5">
      <c r="A28" s="8" t="s">
        <v>3</v>
      </c>
      <c r="B28" s="8" t="s">
        <v>11</v>
      </c>
      <c r="C28" s="8" t="s">
        <v>25</v>
      </c>
      <c r="D28" s="13" t="s">
        <v>116</v>
      </c>
      <c r="E28" s="8" t="e">
        <f>VLOOKUP(D28,#REF!,2,)</f>
        <v>#REF!</v>
      </c>
      <c r="F28" s="3" t="s">
        <v>13</v>
      </c>
      <c r="G28" s="8" t="s">
        <v>14</v>
      </c>
      <c r="H28" s="4"/>
      <c r="I28" s="8" t="s">
        <v>5</v>
      </c>
      <c r="J28" s="8" t="e">
        <f>VLOOKUP(D28,#REF!,7,)</f>
        <v>#REF!</v>
      </c>
      <c r="K28" s="8" t="s">
        <v>5</v>
      </c>
      <c r="L28" s="8" t="s">
        <v>5</v>
      </c>
      <c r="M28" s="8" t="e">
        <f>VLOOKUP(D28,#REF!,10,)</f>
        <v>#REF!</v>
      </c>
    </row>
    <row r="29" spans="1:13" ht="25.5">
      <c r="A29" s="8" t="s">
        <v>3</v>
      </c>
      <c r="B29" s="8" t="s">
        <v>11</v>
      </c>
      <c r="C29" s="8" t="s">
        <v>25</v>
      </c>
      <c r="D29" s="13" t="s">
        <v>117</v>
      </c>
      <c r="E29" s="8" t="e">
        <f>VLOOKUP(D29,#REF!,2,)</f>
        <v>#REF!</v>
      </c>
      <c r="F29" s="3" t="s">
        <v>13</v>
      </c>
      <c r="G29" s="8" t="s">
        <v>14</v>
      </c>
      <c r="H29" s="4"/>
      <c r="I29" s="8"/>
      <c r="J29" s="8" t="e">
        <f>VLOOKUP(D29,#REF!,7,)</f>
        <v>#REF!</v>
      </c>
      <c r="K29" s="8" t="s">
        <v>5</v>
      </c>
      <c r="L29" s="8" t="s">
        <v>5</v>
      </c>
      <c r="M29" s="8" t="e">
        <f>VLOOKUP(D29,#REF!,10,)</f>
        <v>#REF!</v>
      </c>
    </row>
    <row r="30" spans="1:13" ht="25.5">
      <c r="A30" s="8" t="s">
        <v>3</v>
      </c>
      <c r="B30" s="8" t="s">
        <v>11</v>
      </c>
      <c r="C30" s="8" t="s">
        <v>25</v>
      </c>
      <c r="D30" s="13" t="s">
        <v>118</v>
      </c>
      <c r="E30" s="8" t="e">
        <f>VLOOKUP(D30,#REF!,2,)</f>
        <v>#REF!</v>
      </c>
      <c r="F30" s="3" t="s">
        <v>13</v>
      </c>
      <c r="G30" s="8" t="s">
        <v>14</v>
      </c>
      <c r="H30" s="4"/>
      <c r="I30" s="8"/>
      <c r="J30" s="8" t="e">
        <f>VLOOKUP(D30,#REF!,7,)</f>
        <v>#REF!</v>
      </c>
      <c r="K30" s="8" t="s">
        <v>5</v>
      </c>
      <c r="L30" s="8" t="s">
        <v>5</v>
      </c>
      <c r="M30" s="8" t="e">
        <f>VLOOKUP(D30,#REF!,10,)</f>
        <v>#REF!</v>
      </c>
    </row>
    <row r="31" spans="1:13" ht="25.5">
      <c r="A31" s="8" t="s">
        <v>3</v>
      </c>
      <c r="B31" s="8" t="s">
        <v>11</v>
      </c>
      <c r="C31" s="8" t="s">
        <v>25</v>
      </c>
      <c r="D31" s="13" t="s">
        <v>119</v>
      </c>
      <c r="E31" s="8" t="e">
        <f>VLOOKUP(D31,#REF!,2,)</f>
        <v>#REF!</v>
      </c>
      <c r="F31" s="3" t="s">
        <v>13</v>
      </c>
      <c r="G31" s="8" t="s">
        <v>14</v>
      </c>
      <c r="H31" s="4"/>
      <c r="I31" s="8"/>
      <c r="J31" s="8" t="e">
        <f>VLOOKUP(D31,#REF!,7,)</f>
        <v>#REF!</v>
      </c>
      <c r="K31" s="8" t="s">
        <v>5</v>
      </c>
      <c r="L31" s="8" t="s">
        <v>5</v>
      </c>
      <c r="M31" s="8" t="e">
        <f>VLOOKUP(D31,#REF!,10,)</f>
        <v>#REF!</v>
      </c>
    </row>
    <row r="32" spans="1:13" ht="25.5">
      <c r="A32" s="8" t="s">
        <v>3</v>
      </c>
      <c r="B32" s="8" t="s">
        <v>11</v>
      </c>
      <c r="C32" s="8" t="s">
        <v>25</v>
      </c>
      <c r="D32" s="13" t="s">
        <v>120</v>
      </c>
      <c r="E32" s="8" t="e">
        <f>VLOOKUP(D32,#REF!,2,)</f>
        <v>#REF!</v>
      </c>
      <c r="F32" s="3" t="s">
        <v>13</v>
      </c>
      <c r="G32" s="8" t="s">
        <v>14</v>
      </c>
      <c r="H32" s="4"/>
      <c r="I32" s="8"/>
      <c r="J32" s="8" t="e">
        <f>VLOOKUP(D32,#REF!,7,)</f>
        <v>#REF!</v>
      </c>
      <c r="K32" s="8" t="s">
        <v>5</v>
      </c>
      <c r="L32" s="8" t="s">
        <v>5</v>
      </c>
      <c r="M32" s="8" t="e">
        <f>VLOOKUP(D32,#REF!,10,)</f>
        <v>#REF!</v>
      </c>
    </row>
    <row r="33" spans="1:13" ht="25.5">
      <c r="A33" s="8" t="s">
        <v>3</v>
      </c>
      <c r="B33" s="8" t="s">
        <v>11</v>
      </c>
      <c r="C33" s="8" t="s">
        <v>25</v>
      </c>
      <c r="D33" s="13" t="s">
        <v>121</v>
      </c>
      <c r="E33" s="8" t="e">
        <f>VLOOKUP(D33,#REF!,2,)</f>
        <v>#REF!</v>
      </c>
      <c r="F33" s="3" t="s">
        <v>13</v>
      </c>
      <c r="G33" s="8" t="s">
        <v>14</v>
      </c>
      <c r="H33" s="4"/>
      <c r="I33" s="8"/>
      <c r="J33" s="8" t="e">
        <f>VLOOKUP(D33,#REF!,7,)</f>
        <v>#REF!</v>
      </c>
      <c r="K33" s="8" t="s">
        <v>5</v>
      </c>
      <c r="L33" s="8" t="s">
        <v>5</v>
      </c>
      <c r="M33" s="8" t="e">
        <f>VLOOKUP(D33,#REF!,10,)</f>
        <v>#REF!</v>
      </c>
    </row>
    <row r="34" spans="1:13" ht="25.5">
      <c r="A34" s="8" t="s">
        <v>3</v>
      </c>
      <c r="B34" s="8" t="s">
        <v>11</v>
      </c>
      <c r="C34" s="8" t="s">
        <v>25</v>
      </c>
      <c r="D34" s="13" t="s">
        <v>122</v>
      </c>
      <c r="E34" s="8" t="e">
        <f>VLOOKUP(D34,#REF!,2,)</f>
        <v>#REF!</v>
      </c>
      <c r="F34" s="3" t="s">
        <v>13</v>
      </c>
      <c r="G34" s="8" t="s">
        <v>14</v>
      </c>
      <c r="H34" s="4"/>
      <c r="I34" s="8"/>
      <c r="J34" s="8" t="e">
        <f>VLOOKUP(D34,#REF!,7,)</f>
        <v>#REF!</v>
      </c>
      <c r="K34" s="8" t="s">
        <v>5</v>
      </c>
      <c r="L34" s="8" t="s">
        <v>5</v>
      </c>
      <c r="M34" s="8" t="e">
        <f>VLOOKUP(D34,#REF!,10,)</f>
        <v>#REF!</v>
      </c>
    </row>
    <row r="35" spans="1:13" ht="25.5">
      <c r="A35" s="8" t="s">
        <v>3</v>
      </c>
      <c r="B35" s="8" t="s">
        <v>11</v>
      </c>
      <c r="C35" s="8" t="s">
        <v>25</v>
      </c>
      <c r="D35" s="13" t="s">
        <v>123</v>
      </c>
      <c r="E35" s="8" t="e">
        <f>VLOOKUP(D35,#REF!,2,)</f>
        <v>#REF!</v>
      </c>
      <c r="F35" s="3" t="s">
        <v>13</v>
      </c>
      <c r="G35" s="8" t="s">
        <v>14</v>
      </c>
      <c r="H35" s="4"/>
      <c r="I35" s="8"/>
      <c r="J35" s="8" t="e">
        <f>VLOOKUP(D35,#REF!,7,)</f>
        <v>#REF!</v>
      </c>
      <c r="K35" s="8" t="s">
        <v>5</v>
      </c>
      <c r="L35" s="8" t="s">
        <v>5</v>
      </c>
      <c r="M35" s="8" t="e">
        <f>VLOOKUP(D35,#REF!,10,)</f>
        <v>#REF!</v>
      </c>
    </row>
    <row r="36" spans="1:13" ht="25.5">
      <c r="A36" s="8" t="s">
        <v>3</v>
      </c>
      <c r="B36" s="8" t="s">
        <v>11</v>
      </c>
      <c r="C36" s="8" t="s">
        <v>25</v>
      </c>
      <c r="D36" s="13" t="s">
        <v>124</v>
      </c>
      <c r="E36" s="8" t="e">
        <f>VLOOKUP(D36,#REF!,2,)</f>
        <v>#REF!</v>
      </c>
      <c r="F36" s="3" t="s">
        <v>13</v>
      </c>
      <c r="G36" s="8" t="s">
        <v>14</v>
      </c>
      <c r="H36" s="4"/>
      <c r="I36" s="8"/>
      <c r="J36" s="8" t="e">
        <f>VLOOKUP(D36,#REF!,7,)</f>
        <v>#REF!</v>
      </c>
      <c r="K36" s="8" t="s">
        <v>5</v>
      </c>
      <c r="L36" s="8" t="s">
        <v>5</v>
      </c>
      <c r="M36" s="8" t="e">
        <f>VLOOKUP(D36,#REF!,10,)</f>
        <v>#REF!</v>
      </c>
    </row>
    <row r="37" spans="1:13" ht="25.5">
      <c r="A37" s="8" t="s">
        <v>3</v>
      </c>
      <c r="B37" s="8" t="s">
        <v>11</v>
      </c>
      <c r="C37" s="8" t="s">
        <v>25</v>
      </c>
      <c r="D37" s="13" t="s">
        <v>125</v>
      </c>
      <c r="E37" s="8" t="e">
        <f>VLOOKUP(D37,#REF!,2,)</f>
        <v>#REF!</v>
      </c>
      <c r="F37" s="3" t="s">
        <v>13</v>
      </c>
      <c r="G37" s="8" t="s">
        <v>14</v>
      </c>
      <c r="H37" s="4"/>
      <c r="I37" s="8"/>
      <c r="J37" s="8" t="e">
        <f>VLOOKUP(D37,#REF!,7,)</f>
        <v>#REF!</v>
      </c>
      <c r="K37" s="8" t="s">
        <v>5</v>
      </c>
      <c r="L37" s="8" t="s">
        <v>5</v>
      </c>
      <c r="M37" s="8" t="e">
        <f>VLOOKUP(D37,#REF!,10,)</f>
        <v>#REF!</v>
      </c>
    </row>
    <row r="38" spans="1:13" ht="25.5">
      <c r="A38" s="8" t="s">
        <v>3</v>
      </c>
      <c r="B38" s="8" t="s">
        <v>11</v>
      </c>
      <c r="C38" s="8" t="s">
        <v>25</v>
      </c>
      <c r="D38" s="13" t="s">
        <v>126</v>
      </c>
      <c r="E38" s="8" t="e">
        <f>VLOOKUP(D38,#REF!,2,)</f>
        <v>#REF!</v>
      </c>
      <c r="F38" s="3" t="s">
        <v>13</v>
      </c>
      <c r="G38" s="8" t="s">
        <v>14</v>
      </c>
      <c r="H38" s="4"/>
      <c r="I38" s="8"/>
      <c r="J38" s="8" t="e">
        <f>VLOOKUP(D38,#REF!,7,)</f>
        <v>#REF!</v>
      </c>
      <c r="K38" s="8" t="s">
        <v>5</v>
      </c>
      <c r="L38" s="8" t="s">
        <v>5</v>
      </c>
      <c r="M38" s="8" t="e">
        <f>VLOOKUP(D38,#REF!,10,)</f>
        <v>#REF!</v>
      </c>
    </row>
    <row r="39" spans="1:13" ht="25.5">
      <c r="A39" s="8" t="s">
        <v>3</v>
      </c>
      <c r="B39" s="8" t="s">
        <v>11</v>
      </c>
      <c r="C39" s="8" t="s">
        <v>25</v>
      </c>
      <c r="D39" s="13" t="s">
        <v>127</v>
      </c>
      <c r="E39" s="8" t="e">
        <f>VLOOKUP(D39,#REF!,2,)</f>
        <v>#REF!</v>
      </c>
      <c r="F39" s="3" t="s">
        <v>13</v>
      </c>
      <c r="G39" s="8" t="s">
        <v>14</v>
      </c>
      <c r="H39" s="4"/>
      <c r="I39" s="8"/>
      <c r="J39" s="8" t="e">
        <f>VLOOKUP(D39,#REF!,7,)</f>
        <v>#REF!</v>
      </c>
      <c r="K39" s="8" t="s">
        <v>5</v>
      </c>
      <c r="L39" s="8" t="s">
        <v>5</v>
      </c>
      <c r="M39" s="8" t="e">
        <f>VLOOKUP(D39,#REF!,10,)</f>
        <v>#REF!</v>
      </c>
    </row>
    <row r="40" spans="1:13" ht="25.5">
      <c r="A40" s="8" t="s">
        <v>3</v>
      </c>
      <c r="B40" s="8" t="s">
        <v>11</v>
      </c>
      <c r="C40" s="8" t="s">
        <v>25</v>
      </c>
      <c r="D40" s="13" t="s">
        <v>128</v>
      </c>
      <c r="E40" s="8" t="e">
        <f>VLOOKUP(D40,#REF!,2,)</f>
        <v>#REF!</v>
      </c>
      <c r="F40" s="3" t="s">
        <v>13</v>
      </c>
      <c r="G40" s="8" t="s">
        <v>14</v>
      </c>
      <c r="H40" s="4"/>
      <c r="I40" s="8"/>
      <c r="J40" s="8" t="e">
        <f>VLOOKUP(D40,#REF!,7,)</f>
        <v>#REF!</v>
      </c>
      <c r="K40" s="8" t="s">
        <v>5</v>
      </c>
      <c r="L40" s="8" t="s">
        <v>5</v>
      </c>
      <c r="M40" s="8" t="e">
        <f>VLOOKUP(D40,#REF!,10,)</f>
        <v>#REF!</v>
      </c>
    </row>
    <row r="41" spans="1:13" ht="38.25">
      <c r="A41" s="8" t="s">
        <v>3</v>
      </c>
      <c r="B41" s="8" t="s">
        <v>11</v>
      </c>
      <c r="C41" s="8" t="s">
        <v>25</v>
      </c>
      <c r="D41" s="13" t="s">
        <v>129</v>
      </c>
      <c r="E41" s="8" t="e">
        <f>VLOOKUP(D41,#REF!,2,)</f>
        <v>#REF!</v>
      </c>
      <c r="F41" s="3" t="s">
        <v>13</v>
      </c>
      <c r="G41" s="8" t="s">
        <v>14</v>
      </c>
      <c r="H41" s="4"/>
      <c r="I41" s="8"/>
      <c r="J41" s="8" t="e">
        <f>VLOOKUP(D41,#REF!,7,)</f>
        <v>#REF!</v>
      </c>
      <c r="K41" s="8" t="s">
        <v>5</v>
      </c>
      <c r="L41" s="8" t="s">
        <v>5</v>
      </c>
      <c r="M41" s="8" t="e">
        <f>VLOOKUP(D41,#REF!,10,)</f>
        <v>#REF!</v>
      </c>
    </row>
    <row r="42" spans="1:13" ht="25.5">
      <c r="A42" s="8" t="s">
        <v>3</v>
      </c>
      <c r="B42" s="8" t="s">
        <v>11</v>
      </c>
      <c r="C42" s="8" t="s">
        <v>25</v>
      </c>
      <c r="D42" s="13" t="s">
        <v>130</v>
      </c>
      <c r="E42" s="8" t="e">
        <f>VLOOKUP(D42,#REF!,2,)</f>
        <v>#REF!</v>
      </c>
      <c r="F42" s="3" t="s">
        <v>13</v>
      </c>
      <c r="G42" s="8" t="s">
        <v>14</v>
      </c>
      <c r="H42" s="4"/>
      <c r="I42" s="8"/>
      <c r="J42" s="8" t="e">
        <f>VLOOKUP(D42,#REF!,7,)</f>
        <v>#REF!</v>
      </c>
      <c r="K42" s="8" t="s">
        <v>5</v>
      </c>
      <c r="L42" s="8" t="s">
        <v>5</v>
      </c>
      <c r="M42" s="8" t="e">
        <f>VLOOKUP(D42,#REF!,10,)</f>
        <v>#REF!</v>
      </c>
    </row>
    <row r="43" spans="1:13" ht="25.5">
      <c r="A43" s="8" t="s">
        <v>3</v>
      </c>
      <c r="B43" s="8" t="s">
        <v>11</v>
      </c>
      <c r="C43" s="8" t="s">
        <v>25</v>
      </c>
      <c r="D43" s="13" t="s">
        <v>131</v>
      </c>
      <c r="E43" s="8" t="e">
        <f>VLOOKUP(D43,#REF!,2,)</f>
        <v>#REF!</v>
      </c>
      <c r="F43" s="3" t="s">
        <v>13</v>
      </c>
      <c r="G43" s="8" t="s">
        <v>14</v>
      </c>
      <c r="H43" s="4"/>
      <c r="I43" s="8"/>
      <c r="J43" s="8" t="e">
        <f>VLOOKUP(D43,#REF!,7,)</f>
        <v>#REF!</v>
      </c>
      <c r="K43" s="8" t="s">
        <v>5</v>
      </c>
      <c r="L43" s="8" t="s">
        <v>5</v>
      </c>
      <c r="M43" s="8" t="e">
        <f>VLOOKUP(D43,#REF!,10,)</f>
        <v>#REF!</v>
      </c>
    </row>
    <row r="44" spans="1:13" ht="25.5">
      <c r="A44" s="8" t="s">
        <v>3</v>
      </c>
      <c r="B44" s="8" t="s">
        <v>11</v>
      </c>
      <c r="C44" s="8" t="s">
        <v>25</v>
      </c>
      <c r="D44" s="13" t="s">
        <v>132</v>
      </c>
      <c r="E44" s="8" t="e">
        <f>VLOOKUP(D44,#REF!,2,)</f>
        <v>#REF!</v>
      </c>
      <c r="F44" s="3" t="s">
        <v>13</v>
      </c>
      <c r="G44" s="8" t="s">
        <v>14</v>
      </c>
      <c r="H44" s="4"/>
      <c r="I44" s="8"/>
      <c r="J44" s="8" t="e">
        <f>VLOOKUP(D44,#REF!,7,)</f>
        <v>#REF!</v>
      </c>
      <c r="K44" s="8" t="s">
        <v>5</v>
      </c>
      <c r="L44" s="8" t="s">
        <v>5</v>
      </c>
      <c r="M44" s="8" t="e">
        <f>VLOOKUP(D44,#REF!,10,)</f>
        <v>#REF!</v>
      </c>
    </row>
    <row r="45" spans="1:13" ht="25.5">
      <c r="A45" s="8" t="s">
        <v>3</v>
      </c>
      <c r="B45" s="8" t="s">
        <v>11</v>
      </c>
      <c r="C45" s="8" t="s">
        <v>25</v>
      </c>
      <c r="D45" s="13" t="s">
        <v>133</v>
      </c>
      <c r="E45" s="8" t="e">
        <f>VLOOKUP(D45,#REF!,2,)</f>
        <v>#REF!</v>
      </c>
      <c r="F45" s="3" t="s">
        <v>13</v>
      </c>
      <c r="G45" s="8" t="s">
        <v>14</v>
      </c>
      <c r="H45" s="4"/>
      <c r="I45" s="8"/>
      <c r="J45" s="8" t="e">
        <f>VLOOKUP(D45,#REF!,7,)</f>
        <v>#REF!</v>
      </c>
      <c r="K45" s="8" t="s">
        <v>5</v>
      </c>
      <c r="L45" s="8" t="s">
        <v>5</v>
      </c>
      <c r="M45" s="8" t="e">
        <f>VLOOKUP(D45,#REF!,10,)</f>
        <v>#REF!</v>
      </c>
    </row>
    <row r="46" spans="1:13" ht="38.25">
      <c r="A46" s="8" t="s">
        <v>3</v>
      </c>
      <c r="B46" s="8" t="s">
        <v>11</v>
      </c>
      <c r="C46" s="8" t="s">
        <v>25</v>
      </c>
      <c r="D46" s="13" t="s">
        <v>134</v>
      </c>
      <c r="E46" s="8" t="e">
        <f>VLOOKUP(D46,#REF!,2,)</f>
        <v>#REF!</v>
      </c>
      <c r="F46" s="3" t="s">
        <v>13</v>
      </c>
      <c r="G46" s="8" t="s">
        <v>14</v>
      </c>
      <c r="H46" s="4"/>
      <c r="I46" s="8"/>
      <c r="J46" s="8" t="e">
        <f>VLOOKUP(D46,#REF!,7,)</f>
        <v>#REF!</v>
      </c>
      <c r="K46" s="8" t="s">
        <v>5</v>
      </c>
      <c r="L46" s="8" t="s">
        <v>5</v>
      </c>
      <c r="M46" s="8" t="e">
        <f>VLOOKUP(D46,#REF!,10,)</f>
        <v>#REF!</v>
      </c>
    </row>
    <row r="47" spans="1:13" ht="25.5">
      <c r="A47" s="8" t="s">
        <v>3</v>
      </c>
      <c r="B47" s="8" t="s">
        <v>11</v>
      </c>
      <c r="C47" s="8" t="s">
        <v>25</v>
      </c>
      <c r="D47" s="13" t="s">
        <v>135</v>
      </c>
      <c r="E47" s="8" t="e">
        <f>VLOOKUP(D47,#REF!,2,)</f>
        <v>#REF!</v>
      </c>
      <c r="F47" s="3" t="s">
        <v>13</v>
      </c>
      <c r="G47" s="8" t="s">
        <v>14</v>
      </c>
      <c r="H47" s="4"/>
      <c r="I47" s="8"/>
      <c r="J47" s="8" t="e">
        <f>VLOOKUP(D47,#REF!,7,)</f>
        <v>#REF!</v>
      </c>
      <c r="K47" s="8" t="s">
        <v>5</v>
      </c>
      <c r="L47" s="8" t="s">
        <v>5</v>
      </c>
      <c r="M47" s="8" t="e">
        <f>VLOOKUP(D47,#REF!,10,)</f>
        <v>#REF!</v>
      </c>
    </row>
    <row r="48" spans="1:13" ht="25.5">
      <c r="A48" s="8" t="s">
        <v>3</v>
      </c>
      <c r="B48" s="8" t="s">
        <v>11</v>
      </c>
      <c r="C48" s="8" t="s">
        <v>25</v>
      </c>
      <c r="D48" s="13" t="s">
        <v>136</v>
      </c>
      <c r="E48" s="8" t="e">
        <f>VLOOKUP(D48,#REF!,2,)</f>
        <v>#REF!</v>
      </c>
      <c r="F48" s="3" t="s">
        <v>13</v>
      </c>
      <c r="G48" s="8" t="s">
        <v>14</v>
      </c>
      <c r="H48" s="4"/>
      <c r="I48" s="8"/>
      <c r="J48" s="8" t="e">
        <f>VLOOKUP(D48,#REF!,7,)</f>
        <v>#REF!</v>
      </c>
      <c r="K48" s="8" t="s">
        <v>5</v>
      </c>
      <c r="L48" s="8" t="s">
        <v>5</v>
      </c>
      <c r="M48" s="8" t="e">
        <f>VLOOKUP(D48,#REF!,10,)</f>
        <v>#REF!</v>
      </c>
    </row>
    <row r="49" spans="1:13" ht="25.5">
      <c r="A49" s="8" t="s">
        <v>3</v>
      </c>
      <c r="B49" s="8" t="s">
        <v>11</v>
      </c>
      <c r="C49" s="8" t="s">
        <v>25</v>
      </c>
      <c r="D49" s="13" t="s">
        <v>137</v>
      </c>
      <c r="E49" s="8" t="e">
        <f>VLOOKUP(D49,#REF!,2,)</f>
        <v>#REF!</v>
      </c>
      <c r="F49" s="3" t="s">
        <v>13</v>
      </c>
      <c r="G49" s="8" t="s">
        <v>14</v>
      </c>
      <c r="H49" s="4"/>
      <c r="I49" s="8"/>
      <c r="J49" s="8" t="e">
        <f>VLOOKUP(D49,#REF!,7,)</f>
        <v>#REF!</v>
      </c>
      <c r="K49" s="8" t="s">
        <v>5</v>
      </c>
      <c r="L49" s="8" t="s">
        <v>5</v>
      </c>
      <c r="M49" s="8" t="e">
        <f>VLOOKUP(D49,#REF!,10,)</f>
        <v>#REF!</v>
      </c>
    </row>
    <row r="50" spans="1:13" ht="25.5">
      <c r="A50" s="8" t="s">
        <v>3</v>
      </c>
      <c r="B50" s="8" t="s">
        <v>11</v>
      </c>
      <c r="C50" s="8" t="s">
        <v>25</v>
      </c>
      <c r="D50" s="13" t="s">
        <v>138</v>
      </c>
      <c r="E50" s="8" t="e">
        <f>VLOOKUP(D50,#REF!,2,)</f>
        <v>#REF!</v>
      </c>
      <c r="F50" s="3" t="s">
        <v>13</v>
      </c>
      <c r="G50" s="8" t="s">
        <v>14</v>
      </c>
      <c r="H50" s="4"/>
      <c r="I50" s="8"/>
      <c r="J50" s="8" t="e">
        <f>VLOOKUP(D50,#REF!,7,)</f>
        <v>#REF!</v>
      </c>
      <c r="K50" s="8" t="s">
        <v>5</v>
      </c>
      <c r="L50" s="8" t="s">
        <v>5</v>
      </c>
      <c r="M50" s="8" t="e">
        <f>VLOOKUP(D50,#REF!,10,)</f>
        <v>#REF!</v>
      </c>
    </row>
    <row r="51" spans="1:13" ht="25.5">
      <c r="A51" s="8" t="s">
        <v>3</v>
      </c>
      <c r="B51" s="8" t="s">
        <v>11</v>
      </c>
      <c r="C51" s="8" t="s">
        <v>25</v>
      </c>
      <c r="D51" s="13" t="s">
        <v>139</v>
      </c>
      <c r="E51" s="8" t="e">
        <f>VLOOKUP(D51,#REF!,2,)</f>
        <v>#REF!</v>
      </c>
      <c r="F51" s="3" t="s">
        <v>13</v>
      </c>
      <c r="G51" s="8" t="s">
        <v>14</v>
      </c>
      <c r="H51" s="4"/>
      <c r="I51" s="8"/>
      <c r="J51" s="8" t="e">
        <f>VLOOKUP(D51,#REF!,7,)</f>
        <v>#REF!</v>
      </c>
      <c r="K51" s="8" t="s">
        <v>5</v>
      </c>
      <c r="L51" s="8" t="s">
        <v>5</v>
      </c>
      <c r="M51" s="8" t="e">
        <f>VLOOKUP(D51,#REF!,10,)</f>
        <v>#REF!</v>
      </c>
    </row>
    <row r="52" spans="1:13" ht="25.5">
      <c r="A52" s="8" t="s">
        <v>3</v>
      </c>
      <c r="B52" s="8" t="s">
        <v>11</v>
      </c>
      <c r="C52" s="8" t="s">
        <v>15</v>
      </c>
      <c r="D52" s="13" t="s">
        <v>140</v>
      </c>
      <c r="E52" s="8" t="e">
        <f>VLOOKUP(D52,#REF!,2,)</f>
        <v>#REF!</v>
      </c>
      <c r="F52" s="3" t="s">
        <v>13</v>
      </c>
      <c r="G52" s="8" t="s">
        <v>14</v>
      </c>
      <c r="H52" s="4"/>
      <c r="I52" s="8" t="s">
        <v>5</v>
      </c>
      <c r="J52" s="8" t="e">
        <f>VLOOKUP(D52,#REF!,7,)</f>
        <v>#REF!</v>
      </c>
      <c r="K52" s="8" t="s">
        <v>5</v>
      </c>
      <c r="L52" s="8" t="s">
        <v>5</v>
      </c>
      <c r="M52" s="8" t="e">
        <f>VLOOKUP(D52,#REF!,10,)</f>
        <v>#REF!</v>
      </c>
    </row>
    <row r="53" spans="1:13" ht="25.5">
      <c r="A53" s="8" t="s">
        <v>3</v>
      </c>
      <c r="B53" s="8" t="s">
        <v>11</v>
      </c>
      <c r="C53" s="8" t="s">
        <v>15</v>
      </c>
      <c r="D53" s="13" t="s">
        <v>141</v>
      </c>
      <c r="E53" s="8" t="e">
        <f>VLOOKUP(D53,#REF!,2,)</f>
        <v>#REF!</v>
      </c>
      <c r="F53" s="3" t="s">
        <v>13</v>
      </c>
      <c r="G53" s="8" t="s">
        <v>14</v>
      </c>
      <c r="H53" s="4"/>
      <c r="I53" s="8" t="s">
        <v>5</v>
      </c>
      <c r="J53" s="8" t="e">
        <f>VLOOKUP(D53,#REF!,7,)</f>
        <v>#REF!</v>
      </c>
      <c r="K53" s="8" t="s">
        <v>5</v>
      </c>
      <c r="L53" s="8" t="s">
        <v>5</v>
      </c>
      <c r="M53" s="8" t="e">
        <f>VLOOKUP(D53,#REF!,10,)</f>
        <v>#REF!</v>
      </c>
    </row>
    <row r="54" spans="1:13" ht="25.5">
      <c r="A54" s="8" t="s">
        <v>3</v>
      </c>
      <c r="B54" s="8" t="s">
        <v>11</v>
      </c>
      <c r="C54" s="8" t="s">
        <v>15</v>
      </c>
      <c r="D54" s="13" t="s">
        <v>142</v>
      </c>
      <c r="E54" s="8" t="e">
        <f>VLOOKUP(D54,#REF!,2,)</f>
        <v>#REF!</v>
      </c>
      <c r="F54" s="3" t="s">
        <v>13</v>
      </c>
      <c r="G54" s="8" t="s">
        <v>14</v>
      </c>
      <c r="H54" s="4"/>
      <c r="I54" s="8" t="s">
        <v>5</v>
      </c>
      <c r="J54" s="8" t="e">
        <f>VLOOKUP(D54,#REF!,7,)</f>
        <v>#REF!</v>
      </c>
      <c r="K54" s="8" t="s">
        <v>5</v>
      </c>
      <c r="L54" s="8" t="s">
        <v>5</v>
      </c>
      <c r="M54" s="8" t="e">
        <f>VLOOKUP(D54,#REF!,10,)</f>
        <v>#REF!</v>
      </c>
    </row>
    <row r="55" spans="1:13" ht="25.5">
      <c r="A55" s="8" t="s">
        <v>175</v>
      </c>
      <c r="B55" s="8" t="s">
        <v>11</v>
      </c>
      <c r="C55" s="8" t="s">
        <v>34</v>
      </c>
      <c r="D55" s="13" t="s">
        <v>221</v>
      </c>
      <c r="E55" s="8" t="e">
        <f>VLOOKUP(D55,#REF!,2,)</f>
        <v>#REF!</v>
      </c>
      <c r="F55" s="3" t="s">
        <v>13</v>
      </c>
      <c r="G55" s="8" t="s">
        <v>14</v>
      </c>
      <c r="H55" s="4"/>
      <c r="I55" s="8" t="s">
        <v>5</v>
      </c>
      <c r="J55" s="8" t="e">
        <f>VLOOKUP(D55,#REF!,7,)</f>
        <v>#REF!</v>
      </c>
      <c r="K55" s="8" t="s">
        <v>5</v>
      </c>
      <c r="L55" s="8" t="s">
        <v>5</v>
      </c>
      <c r="M55" s="8" t="e">
        <f>VLOOKUP(D55,#REF!,10,)</f>
        <v>#REF!</v>
      </c>
    </row>
    <row r="56" spans="1:13" ht="25.5">
      <c r="A56" s="8" t="s">
        <v>3</v>
      </c>
      <c r="B56" s="8" t="s">
        <v>11</v>
      </c>
      <c r="C56" s="8" t="s">
        <v>18</v>
      </c>
      <c r="D56" s="13" t="s">
        <v>225</v>
      </c>
      <c r="E56" s="8" t="e">
        <f>VLOOKUP(D56,#REF!,2,)</f>
        <v>#REF!</v>
      </c>
      <c r="F56" s="3" t="s">
        <v>13</v>
      </c>
      <c r="G56" s="8"/>
      <c r="H56" s="4"/>
      <c r="I56" s="8" t="s">
        <v>5</v>
      </c>
      <c r="J56" s="8" t="e">
        <f>VLOOKUP(D56,#REF!,7,)</f>
        <v>#REF!</v>
      </c>
      <c r="K56" s="8" t="s">
        <v>5</v>
      </c>
      <c r="L56" s="8" t="s">
        <v>5</v>
      </c>
      <c r="M56" s="8" t="e">
        <f>VLOOKUP(D56,#REF!,10,)</f>
        <v>#REF!</v>
      </c>
    </row>
    <row r="57" spans="1:13" ht="25.5">
      <c r="A57" s="1" t="s">
        <v>3</v>
      </c>
      <c r="B57" s="8" t="s">
        <v>11</v>
      </c>
      <c r="C57" s="8" t="s">
        <v>18</v>
      </c>
      <c r="D57" s="27" t="s">
        <v>203</v>
      </c>
      <c r="E57" s="8" t="e">
        <f>VLOOKUP(D57,#REF!,2,)</f>
        <v>#REF!</v>
      </c>
      <c r="F57" s="3" t="s">
        <v>13</v>
      </c>
      <c r="G57" s="8" t="s">
        <v>210</v>
      </c>
      <c r="H57" s="4"/>
      <c r="I57" s="8" t="s">
        <v>5</v>
      </c>
      <c r="J57" s="8" t="e">
        <f>VLOOKUP(D57,#REF!,7,)</f>
        <v>#REF!</v>
      </c>
      <c r="K57" s="8" t="s">
        <v>5</v>
      </c>
      <c r="L57" s="8" t="s">
        <v>5</v>
      </c>
      <c r="M57" s="8" t="e">
        <f>VLOOKUP(D57,#REF!,10,)</f>
        <v>#REF!</v>
      </c>
    </row>
    <row r="58" spans="1:13" ht="25.5">
      <c r="A58" s="1" t="s">
        <v>3</v>
      </c>
      <c r="B58" s="8" t="s">
        <v>11</v>
      </c>
      <c r="C58" s="8" t="s">
        <v>18</v>
      </c>
      <c r="D58" s="13" t="s">
        <v>204</v>
      </c>
      <c r="E58" s="8" t="e">
        <f>VLOOKUP(D58,#REF!,2,)</f>
        <v>#REF!</v>
      </c>
      <c r="F58" s="3" t="s">
        <v>13</v>
      </c>
      <c r="G58" s="8" t="s">
        <v>233</v>
      </c>
      <c r="H58" s="4"/>
      <c r="I58" s="8" t="s">
        <v>5</v>
      </c>
      <c r="J58" s="8" t="e">
        <f>VLOOKUP(D58,#REF!,7,)</f>
        <v>#REF!</v>
      </c>
      <c r="K58" s="8" t="s">
        <v>5</v>
      </c>
      <c r="L58" s="8" t="s">
        <v>5</v>
      </c>
      <c r="M58" s="8" t="e">
        <f>VLOOKUP(D58,#REF!,10,)</f>
        <v>#REF!</v>
      </c>
    </row>
    <row r="59" spans="1:13" ht="25.5">
      <c r="A59" s="1" t="s">
        <v>3</v>
      </c>
      <c r="B59" s="8" t="s">
        <v>11</v>
      </c>
      <c r="C59" s="8" t="s">
        <v>12</v>
      </c>
      <c r="D59" s="13" t="s">
        <v>206</v>
      </c>
      <c r="E59" s="8" t="e">
        <f>VLOOKUP(D59,#REF!,2,)</f>
        <v>#REF!</v>
      </c>
      <c r="F59" s="3" t="s">
        <v>13</v>
      </c>
      <c r="G59" s="8" t="s">
        <v>210</v>
      </c>
      <c r="H59" s="4"/>
      <c r="I59" s="8" t="s">
        <v>5</v>
      </c>
      <c r="J59" s="8" t="e">
        <f>VLOOKUP(D59,#REF!,7,)</f>
        <v>#REF!</v>
      </c>
      <c r="K59" s="8" t="s">
        <v>5</v>
      </c>
      <c r="L59" s="8" t="s">
        <v>5</v>
      </c>
      <c r="M59" s="8" t="e">
        <f>VLOOKUP(D59,#REF!,10,)</f>
        <v>#REF!</v>
      </c>
    </row>
    <row r="60" spans="1:13" ht="38.25">
      <c r="A60" s="8" t="s">
        <v>3</v>
      </c>
      <c r="B60" s="8" t="s">
        <v>60</v>
      </c>
      <c r="C60" s="8" t="s">
        <v>66</v>
      </c>
      <c r="D60" s="13" t="s">
        <v>67</v>
      </c>
      <c r="E60" s="8" t="e">
        <f>VLOOKUP(D60,#REF!,2,)</f>
        <v>#REF!</v>
      </c>
      <c r="F60" s="3" t="s">
        <v>13</v>
      </c>
      <c r="G60" s="8" t="s">
        <v>59</v>
      </c>
      <c r="H60" s="4"/>
      <c r="I60" s="8" t="s">
        <v>5</v>
      </c>
      <c r="J60" s="8" t="e">
        <f>VLOOKUP(D60,#REF!,7,)</f>
        <v>#REF!</v>
      </c>
      <c r="K60" s="8" t="s">
        <v>5</v>
      </c>
      <c r="L60" s="8" t="s">
        <v>5</v>
      </c>
      <c r="M60" s="8" t="e">
        <f>VLOOKUP(D60,#REF!,10,)</f>
        <v>#REF!</v>
      </c>
    </row>
    <row r="61" spans="1:13" ht="38.25">
      <c r="A61" s="8" t="s">
        <v>3</v>
      </c>
      <c r="B61" s="8" t="s">
        <v>60</v>
      </c>
      <c r="C61" s="8" t="s">
        <v>61</v>
      </c>
      <c r="D61" s="13" t="s">
        <v>75</v>
      </c>
      <c r="E61" s="8" t="e">
        <f>VLOOKUP(D61,#REF!,2,)</f>
        <v>#REF!</v>
      </c>
      <c r="F61" s="3" t="s">
        <v>13</v>
      </c>
      <c r="G61" s="8" t="s">
        <v>14</v>
      </c>
      <c r="H61" s="4"/>
      <c r="I61" s="8" t="s">
        <v>5</v>
      </c>
      <c r="J61" s="8" t="e">
        <f>VLOOKUP(D61,#REF!,7,)</f>
        <v>#REF!</v>
      </c>
      <c r="K61" s="8" t="s">
        <v>5</v>
      </c>
      <c r="L61" s="8" t="s">
        <v>5</v>
      </c>
      <c r="M61" s="8" t="e">
        <f>VLOOKUP(D61,#REF!,10,)</f>
        <v>#REF!</v>
      </c>
    </row>
    <row r="62" spans="1:13" ht="38.25">
      <c r="A62" s="8" t="s">
        <v>3</v>
      </c>
      <c r="B62" s="8" t="s">
        <v>60</v>
      </c>
      <c r="C62" s="8" t="s">
        <v>61</v>
      </c>
      <c r="D62" s="13" t="s">
        <v>87</v>
      </c>
      <c r="E62" s="8" t="e">
        <f>VLOOKUP(D62,#REF!,2,)</f>
        <v>#REF!</v>
      </c>
      <c r="F62" s="3" t="s">
        <v>13</v>
      </c>
      <c r="G62" s="8" t="s">
        <v>14</v>
      </c>
      <c r="H62" s="4"/>
      <c r="I62" s="8" t="s">
        <v>5</v>
      </c>
      <c r="J62" s="8" t="e">
        <f>VLOOKUP(D62,#REF!,7,)</f>
        <v>#REF!</v>
      </c>
      <c r="K62" s="8" t="s">
        <v>5</v>
      </c>
      <c r="L62" s="8" t="s">
        <v>5</v>
      </c>
      <c r="M62" s="8" t="e">
        <f>VLOOKUP(D62,#REF!,10,)</f>
        <v>#REF!</v>
      </c>
    </row>
    <row r="63" spans="1:13" ht="38.25">
      <c r="A63" s="8" t="s">
        <v>3</v>
      </c>
      <c r="B63" s="8" t="s">
        <v>60</v>
      </c>
      <c r="C63" s="8" t="s">
        <v>61</v>
      </c>
      <c r="D63" s="13" t="s">
        <v>88</v>
      </c>
      <c r="E63" s="8" t="e">
        <f>VLOOKUP(D63,#REF!,2,)</f>
        <v>#REF!</v>
      </c>
      <c r="F63" s="3" t="s">
        <v>13</v>
      </c>
      <c r="G63" s="8" t="s">
        <v>14</v>
      </c>
      <c r="H63" s="4"/>
      <c r="I63" s="8" t="s">
        <v>5</v>
      </c>
      <c r="J63" s="8" t="e">
        <f>VLOOKUP(D63,#REF!,7,)</f>
        <v>#REF!</v>
      </c>
      <c r="K63" s="8" t="s">
        <v>5</v>
      </c>
      <c r="L63" s="8" t="s">
        <v>5</v>
      </c>
      <c r="M63" s="8" t="e">
        <f>VLOOKUP(D63,#REF!,10,)</f>
        <v>#REF!</v>
      </c>
    </row>
    <row r="64" spans="1:13" ht="38.25">
      <c r="A64" s="8" t="s">
        <v>3</v>
      </c>
      <c r="B64" s="8" t="s">
        <v>60</v>
      </c>
      <c r="C64" s="8" t="s">
        <v>61</v>
      </c>
      <c r="D64" s="13" t="s">
        <v>214</v>
      </c>
      <c r="E64" s="8" t="e">
        <f>VLOOKUP(D64,#REF!,2,)</f>
        <v>#REF!</v>
      </c>
      <c r="F64" s="3" t="s">
        <v>13</v>
      </c>
      <c r="G64" s="8" t="s">
        <v>42</v>
      </c>
      <c r="H64" s="4"/>
      <c r="I64" s="8" t="s">
        <v>5</v>
      </c>
      <c r="J64" s="8" t="e">
        <f>VLOOKUP(D64,#REF!,7,)</f>
        <v>#REF!</v>
      </c>
      <c r="K64" s="8" t="s">
        <v>5</v>
      </c>
      <c r="L64" s="8" t="s">
        <v>5</v>
      </c>
      <c r="M64" s="8" t="e">
        <f>VLOOKUP(D64,#REF!,10,)</f>
        <v>#REF!</v>
      </c>
    </row>
    <row r="65" spans="1:13" ht="38.25">
      <c r="A65" s="8" t="s">
        <v>3</v>
      </c>
      <c r="B65" s="8" t="s">
        <v>60</v>
      </c>
      <c r="C65" s="8" t="s">
        <v>61</v>
      </c>
      <c r="D65" s="13" t="s">
        <v>91</v>
      </c>
      <c r="E65" s="8" t="e">
        <f>VLOOKUP(D65,#REF!,2,)</f>
        <v>#REF!</v>
      </c>
      <c r="F65" s="3" t="s">
        <v>13</v>
      </c>
      <c r="G65" s="8" t="s">
        <v>42</v>
      </c>
      <c r="H65" s="4"/>
      <c r="I65" s="8" t="s">
        <v>5</v>
      </c>
      <c r="J65" s="8" t="e">
        <f>VLOOKUP(D65,#REF!,7,)</f>
        <v>#REF!</v>
      </c>
      <c r="K65" s="8" t="s">
        <v>5</v>
      </c>
      <c r="L65" s="8" t="s">
        <v>5</v>
      </c>
      <c r="M65" s="8" t="e">
        <f>VLOOKUP(D65,#REF!,10,)</f>
        <v>#REF!</v>
      </c>
    </row>
    <row r="66" spans="1:13" ht="38.25">
      <c r="A66" s="8" t="s">
        <v>3</v>
      </c>
      <c r="B66" s="8" t="s">
        <v>60</v>
      </c>
      <c r="C66" s="8" t="s">
        <v>61</v>
      </c>
      <c r="D66" s="13" t="s">
        <v>92</v>
      </c>
      <c r="E66" s="8" t="e">
        <f>VLOOKUP(D66,#REF!,2,)</f>
        <v>#REF!</v>
      </c>
      <c r="F66" s="3" t="s">
        <v>13</v>
      </c>
      <c r="G66" s="8" t="s">
        <v>42</v>
      </c>
      <c r="H66" s="4"/>
      <c r="I66" s="8" t="s">
        <v>5</v>
      </c>
      <c r="J66" s="8" t="e">
        <f>VLOOKUP(D66,#REF!,7,)</f>
        <v>#REF!</v>
      </c>
      <c r="K66" s="8" t="s">
        <v>5</v>
      </c>
      <c r="L66" s="8" t="s">
        <v>5</v>
      </c>
      <c r="M66" s="8" t="e">
        <f>VLOOKUP(D66,#REF!,10,)</f>
        <v>#REF!</v>
      </c>
    </row>
    <row r="67" spans="1:13" ht="38.25">
      <c r="A67" s="8" t="s">
        <v>3</v>
      </c>
      <c r="B67" s="8" t="s">
        <v>60</v>
      </c>
      <c r="C67" s="8" t="s">
        <v>61</v>
      </c>
      <c r="D67" s="13" t="s">
        <v>95</v>
      </c>
      <c r="E67" s="8" t="e">
        <f>VLOOKUP(D67,#REF!,2,)</f>
        <v>#REF!</v>
      </c>
      <c r="F67" s="3" t="s">
        <v>13</v>
      </c>
      <c r="G67" s="8" t="s">
        <v>42</v>
      </c>
      <c r="H67" s="4"/>
      <c r="I67" s="8" t="s">
        <v>5</v>
      </c>
      <c r="J67" s="8" t="e">
        <f>VLOOKUP(D67,#REF!,7,)</f>
        <v>#REF!</v>
      </c>
      <c r="K67" s="8" t="s">
        <v>5</v>
      </c>
      <c r="L67" s="8" t="s">
        <v>5</v>
      </c>
      <c r="M67" s="8" t="e">
        <f>VLOOKUP(D67,#REF!,10,)</f>
        <v>#REF!</v>
      </c>
    </row>
    <row r="68" spans="1:13" ht="38.25">
      <c r="A68" s="8" t="s">
        <v>3</v>
      </c>
      <c r="B68" s="8" t="s">
        <v>60</v>
      </c>
      <c r="C68" s="8" t="s">
        <v>61</v>
      </c>
      <c r="D68" s="13" t="s">
        <v>96</v>
      </c>
      <c r="E68" s="8" t="e">
        <f>VLOOKUP(D68,#REF!,2,)</f>
        <v>#REF!</v>
      </c>
      <c r="F68" s="3" t="s">
        <v>13</v>
      </c>
      <c r="G68" s="8" t="s">
        <v>14</v>
      </c>
      <c r="H68" s="4"/>
      <c r="I68" s="8" t="s">
        <v>5</v>
      </c>
      <c r="J68" s="8" t="e">
        <f>VLOOKUP(D68,#REF!,7,)</f>
        <v>#REF!</v>
      </c>
      <c r="K68" s="8" t="s">
        <v>5</v>
      </c>
      <c r="L68" s="8" t="s">
        <v>5</v>
      </c>
      <c r="M68" s="8" t="e">
        <f>VLOOKUP(D68,#REF!,10,)</f>
        <v>#REF!</v>
      </c>
    </row>
    <row r="69" spans="1:13" ht="38.25">
      <c r="A69" s="8" t="s">
        <v>3</v>
      </c>
      <c r="B69" s="8" t="s">
        <v>60</v>
      </c>
      <c r="C69" s="8" t="s">
        <v>61</v>
      </c>
      <c r="D69" s="13" t="s">
        <v>215</v>
      </c>
      <c r="E69" s="8" t="e">
        <f>VLOOKUP(D69,#REF!,2,)</f>
        <v>#REF!</v>
      </c>
      <c r="F69" s="3" t="s">
        <v>13</v>
      </c>
      <c r="G69" s="8" t="s">
        <v>14</v>
      </c>
      <c r="H69" s="4"/>
      <c r="I69" s="8"/>
      <c r="J69" s="8" t="e">
        <f>VLOOKUP(D69,#REF!,7,)</f>
        <v>#REF!</v>
      </c>
      <c r="K69" s="8" t="s">
        <v>5</v>
      </c>
      <c r="L69" s="8" t="s">
        <v>5</v>
      </c>
      <c r="M69" s="8" t="e">
        <f>VLOOKUP(D69,#REF!,10,)</f>
        <v>#REF!</v>
      </c>
    </row>
    <row r="70" spans="1:13" ht="38.25">
      <c r="A70" s="8" t="s">
        <v>3</v>
      </c>
      <c r="B70" s="8" t="s">
        <v>60</v>
      </c>
      <c r="C70" s="8" t="s">
        <v>61</v>
      </c>
      <c r="D70" s="13" t="s">
        <v>97</v>
      </c>
      <c r="E70" s="8" t="e">
        <f>VLOOKUP(D70,#REF!,2,)</f>
        <v>#REF!</v>
      </c>
      <c r="F70" s="3" t="s">
        <v>13</v>
      </c>
      <c r="G70" s="8" t="s">
        <v>14</v>
      </c>
      <c r="H70" s="4"/>
      <c r="I70" s="8" t="s">
        <v>5</v>
      </c>
      <c r="J70" s="8" t="e">
        <f>VLOOKUP(D70,#REF!,7,)</f>
        <v>#REF!</v>
      </c>
      <c r="K70" s="8" t="s">
        <v>5</v>
      </c>
      <c r="L70" s="8" t="s">
        <v>5</v>
      </c>
      <c r="M70" s="8" t="e">
        <f>VLOOKUP(D70,#REF!,10,)</f>
        <v>#REF!</v>
      </c>
    </row>
    <row r="71" spans="1:13" ht="38.25">
      <c r="A71" s="8" t="s">
        <v>3</v>
      </c>
      <c r="B71" s="8" t="s">
        <v>60</v>
      </c>
      <c r="C71" s="8" t="s">
        <v>61</v>
      </c>
      <c r="D71" s="13" t="s">
        <v>98</v>
      </c>
      <c r="E71" s="8" t="e">
        <f>VLOOKUP(D71,#REF!,2,)</f>
        <v>#REF!</v>
      </c>
      <c r="F71" s="3" t="s">
        <v>13</v>
      </c>
      <c r="G71" s="8" t="s">
        <v>14</v>
      </c>
      <c r="H71" s="4"/>
      <c r="I71" s="8" t="s">
        <v>5</v>
      </c>
      <c r="J71" s="8" t="e">
        <f>VLOOKUP(D71,#REF!,7,)</f>
        <v>#REF!</v>
      </c>
      <c r="K71" s="8" t="s">
        <v>5</v>
      </c>
      <c r="L71" s="8" t="s">
        <v>5</v>
      </c>
      <c r="M71" s="8" t="e">
        <f>VLOOKUP(D71,#REF!,10,)</f>
        <v>#REF!</v>
      </c>
    </row>
    <row r="72" spans="1:13" ht="38.25">
      <c r="A72" s="8" t="s">
        <v>3</v>
      </c>
      <c r="B72" s="8" t="s">
        <v>60</v>
      </c>
      <c r="C72" s="8" t="s">
        <v>61</v>
      </c>
      <c r="D72" s="13" t="s">
        <v>100</v>
      </c>
      <c r="E72" s="8" t="e">
        <f>VLOOKUP(D72,#REF!,2,)</f>
        <v>#REF!</v>
      </c>
      <c r="F72" s="3" t="s">
        <v>13</v>
      </c>
      <c r="G72" s="8" t="s">
        <v>14</v>
      </c>
      <c r="H72" s="4"/>
      <c r="I72" s="8" t="s">
        <v>5</v>
      </c>
      <c r="J72" s="8" t="e">
        <f>VLOOKUP(D72,#REF!,7,)</f>
        <v>#REF!</v>
      </c>
      <c r="K72" s="8" t="s">
        <v>5</v>
      </c>
      <c r="L72" s="8" t="s">
        <v>5</v>
      </c>
      <c r="M72" s="8" t="e">
        <f>VLOOKUP(D72,#REF!,10,)</f>
        <v>#REF!</v>
      </c>
    </row>
    <row r="73" spans="1:13" ht="38.25">
      <c r="A73" s="8" t="s">
        <v>3</v>
      </c>
      <c r="B73" s="8" t="s">
        <v>60</v>
      </c>
      <c r="C73" s="8" t="s">
        <v>61</v>
      </c>
      <c r="D73" s="13" t="s">
        <v>102</v>
      </c>
      <c r="E73" s="8" t="e">
        <f>VLOOKUP(D73,#REF!,2,)</f>
        <v>#REF!</v>
      </c>
      <c r="F73" s="3" t="s">
        <v>13</v>
      </c>
      <c r="G73" s="8" t="s">
        <v>14</v>
      </c>
      <c r="H73" s="4"/>
      <c r="I73" s="8" t="s">
        <v>5</v>
      </c>
      <c r="J73" s="8" t="e">
        <f>VLOOKUP(D73,#REF!,7,)</f>
        <v>#REF!</v>
      </c>
      <c r="K73" s="8" t="s">
        <v>5</v>
      </c>
      <c r="L73" s="8" t="s">
        <v>5</v>
      </c>
      <c r="M73" s="8" t="e">
        <f>VLOOKUP(D73,#REF!,10,)</f>
        <v>#REF!</v>
      </c>
    </row>
    <row r="74" spans="1:13" ht="38.25">
      <c r="A74" s="8" t="s">
        <v>3</v>
      </c>
      <c r="B74" s="8" t="s">
        <v>60</v>
      </c>
      <c r="C74" s="8" t="s">
        <v>61</v>
      </c>
      <c r="D74" s="13" t="s">
        <v>216</v>
      </c>
      <c r="E74" s="8" t="e">
        <f>VLOOKUP(D74,#REF!,2,)</f>
        <v>#REF!</v>
      </c>
      <c r="F74" s="3" t="s">
        <v>13</v>
      </c>
      <c r="G74" s="8" t="s">
        <v>14</v>
      </c>
      <c r="H74" s="4"/>
      <c r="I74" s="8" t="s">
        <v>5</v>
      </c>
      <c r="J74" s="8" t="e">
        <f>VLOOKUP(D74,#REF!,7,)</f>
        <v>#REF!</v>
      </c>
      <c r="K74" s="8" t="s">
        <v>5</v>
      </c>
      <c r="L74" s="8" t="s">
        <v>5</v>
      </c>
      <c r="M74" s="8" t="e">
        <f>VLOOKUP(D74,#REF!,10,)</f>
        <v>#REF!</v>
      </c>
    </row>
    <row r="75" spans="1:13" ht="38.25">
      <c r="A75" s="8" t="s">
        <v>3</v>
      </c>
      <c r="B75" s="8" t="s">
        <v>60</v>
      </c>
      <c r="C75" s="8" t="s">
        <v>61</v>
      </c>
      <c r="D75" s="13" t="s">
        <v>103</v>
      </c>
      <c r="E75" s="8" t="e">
        <f>VLOOKUP(D75,#REF!,2,)</f>
        <v>#REF!</v>
      </c>
      <c r="F75" s="3" t="s">
        <v>13</v>
      </c>
      <c r="G75" s="8" t="s">
        <v>14</v>
      </c>
      <c r="H75" s="4"/>
      <c r="I75" s="8" t="s">
        <v>5</v>
      </c>
      <c r="J75" s="8" t="e">
        <f>VLOOKUP(D75,#REF!,7,)</f>
        <v>#REF!</v>
      </c>
      <c r="K75" s="8" t="s">
        <v>5</v>
      </c>
      <c r="L75" s="8" t="s">
        <v>5</v>
      </c>
      <c r="M75" s="8" t="e">
        <f>VLOOKUP(D75,#REF!,10,)</f>
        <v>#REF!</v>
      </c>
    </row>
    <row r="76" spans="1:13" ht="38.25">
      <c r="A76" s="8" t="s">
        <v>3</v>
      </c>
      <c r="B76" s="8" t="s">
        <v>60</v>
      </c>
      <c r="C76" s="8" t="s">
        <v>61</v>
      </c>
      <c r="D76" s="13" t="s">
        <v>109</v>
      </c>
      <c r="E76" s="8" t="e">
        <f>VLOOKUP(D76,#REF!,2,)</f>
        <v>#REF!</v>
      </c>
      <c r="F76" s="3" t="s">
        <v>13</v>
      </c>
      <c r="G76" s="8" t="s">
        <v>14</v>
      </c>
      <c r="H76" s="4"/>
      <c r="I76" s="8" t="s">
        <v>5</v>
      </c>
      <c r="J76" s="8" t="e">
        <f>VLOOKUP(D76,#REF!,7,)</f>
        <v>#REF!</v>
      </c>
      <c r="K76" s="8" t="s">
        <v>5</v>
      </c>
      <c r="L76" s="8" t="s">
        <v>5</v>
      </c>
      <c r="M76" s="8" t="e">
        <f>VLOOKUP(D76,#REF!,10,)</f>
        <v>#REF!</v>
      </c>
    </row>
    <row r="77" spans="1:13" ht="38.25">
      <c r="A77" s="8" t="s">
        <v>3</v>
      </c>
      <c r="B77" s="8" t="s">
        <v>60</v>
      </c>
      <c r="C77" s="8" t="s">
        <v>61</v>
      </c>
      <c r="D77" s="13" t="s">
        <v>217</v>
      </c>
      <c r="E77" s="8" t="e">
        <f>VLOOKUP(D77,#REF!,2,)</f>
        <v>#REF!</v>
      </c>
      <c r="F77" s="3" t="s">
        <v>13</v>
      </c>
      <c r="G77" s="8" t="s">
        <v>14</v>
      </c>
      <c r="H77" s="4"/>
      <c r="I77" s="8" t="s">
        <v>5</v>
      </c>
      <c r="J77" s="8" t="e">
        <f>VLOOKUP(D77,#REF!,7,)</f>
        <v>#REF!</v>
      </c>
      <c r="K77" s="8" t="s">
        <v>5</v>
      </c>
      <c r="L77" s="8" t="s">
        <v>5</v>
      </c>
      <c r="M77" s="8" t="e">
        <f>VLOOKUP(D77,#REF!,10,)</f>
        <v>#REF!</v>
      </c>
    </row>
    <row r="78" spans="1:13" ht="38.25">
      <c r="A78" s="8" t="s">
        <v>3</v>
      </c>
      <c r="B78" s="8" t="s">
        <v>60</v>
      </c>
      <c r="C78" s="8" t="s">
        <v>61</v>
      </c>
      <c r="D78" s="13" t="s">
        <v>113</v>
      </c>
      <c r="E78" s="8" t="e">
        <f>VLOOKUP(D78,#REF!,2,)</f>
        <v>#REF!</v>
      </c>
      <c r="F78" s="3" t="s">
        <v>13</v>
      </c>
      <c r="G78" s="8" t="s">
        <v>42</v>
      </c>
      <c r="H78" s="4"/>
      <c r="I78" s="8" t="s">
        <v>5</v>
      </c>
      <c r="J78" s="8" t="e">
        <f>VLOOKUP(D78,#REF!,7,)</f>
        <v>#REF!</v>
      </c>
      <c r="K78" s="8" t="s">
        <v>5</v>
      </c>
      <c r="L78" s="8" t="s">
        <v>5</v>
      </c>
      <c r="M78" s="8" t="e">
        <f>VLOOKUP(D78,#REF!,10,)</f>
        <v>#REF!</v>
      </c>
    </row>
    <row r="79" spans="1:13" ht="38.25">
      <c r="A79" s="8" t="s">
        <v>3</v>
      </c>
      <c r="B79" s="8" t="s">
        <v>60</v>
      </c>
      <c r="C79" s="8" t="s">
        <v>61</v>
      </c>
      <c r="D79" s="13" t="s">
        <v>114</v>
      </c>
      <c r="E79" s="8" t="e">
        <f>VLOOKUP(D79,#REF!,2,)</f>
        <v>#REF!</v>
      </c>
      <c r="F79" s="3" t="s">
        <v>13</v>
      </c>
      <c r="G79" s="8" t="s">
        <v>14</v>
      </c>
      <c r="H79" s="4"/>
      <c r="I79" s="8" t="s">
        <v>5</v>
      </c>
      <c r="J79" s="8" t="e">
        <f>VLOOKUP(D79,#REF!,7,)</f>
        <v>#REF!</v>
      </c>
      <c r="K79" s="8" t="s">
        <v>5</v>
      </c>
      <c r="L79" s="8" t="s">
        <v>5</v>
      </c>
      <c r="M79" s="8" t="e">
        <f>VLOOKUP(D79,#REF!,10,)</f>
        <v>#REF!</v>
      </c>
    </row>
    <row r="80" spans="1:13" ht="38.25">
      <c r="A80" s="8" t="s">
        <v>3</v>
      </c>
      <c r="B80" s="8" t="s">
        <v>60</v>
      </c>
      <c r="C80" s="8" t="s">
        <v>61</v>
      </c>
      <c r="D80" s="8" t="s">
        <v>143</v>
      </c>
      <c r="E80" s="8" t="e">
        <f>VLOOKUP(D80,#REF!,2,)</f>
        <v>#REF!</v>
      </c>
      <c r="F80" s="3" t="s">
        <v>13</v>
      </c>
      <c r="G80" s="8" t="s">
        <v>14</v>
      </c>
      <c r="H80" s="4"/>
      <c r="I80" s="8" t="s">
        <v>5</v>
      </c>
      <c r="J80" s="8" t="e">
        <f>VLOOKUP(D80,#REF!,7,)</f>
        <v>#REF!</v>
      </c>
      <c r="K80" s="8" t="s">
        <v>5</v>
      </c>
      <c r="L80" s="8" t="s">
        <v>5</v>
      </c>
      <c r="M80" s="8" t="e">
        <f>VLOOKUP(D80,#REF!,10,)</f>
        <v>#REF!</v>
      </c>
    </row>
    <row r="81" spans="1:13" ht="38.25">
      <c r="A81" s="8" t="s">
        <v>3</v>
      </c>
      <c r="B81" s="8" t="s">
        <v>60</v>
      </c>
      <c r="C81" s="8" t="s">
        <v>61</v>
      </c>
      <c r="D81" s="13" t="s">
        <v>144</v>
      </c>
      <c r="E81" s="8" t="e">
        <f>VLOOKUP(D81,#REF!,2,)</f>
        <v>#REF!</v>
      </c>
      <c r="F81" s="3" t="s">
        <v>13</v>
      </c>
      <c r="G81" s="8" t="s">
        <v>42</v>
      </c>
      <c r="H81" s="4"/>
      <c r="I81" s="8" t="s">
        <v>5</v>
      </c>
      <c r="J81" s="8" t="e">
        <f>VLOOKUP(D81,#REF!,7,)</f>
        <v>#REF!</v>
      </c>
      <c r="K81" s="8" t="s">
        <v>5</v>
      </c>
      <c r="L81" s="8" t="s">
        <v>5</v>
      </c>
      <c r="M81" s="8" t="e">
        <f>VLOOKUP(D81,#REF!,10,)</f>
        <v>#REF!</v>
      </c>
    </row>
    <row r="82" spans="1:13" ht="38.25">
      <c r="A82" s="8" t="s">
        <v>145</v>
      </c>
      <c r="B82" s="8" t="s">
        <v>60</v>
      </c>
      <c r="C82" s="8" t="s">
        <v>61</v>
      </c>
      <c r="D82" s="13" t="s">
        <v>155</v>
      </c>
      <c r="E82" s="8" t="e">
        <f>VLOOKUP(D82,#REF!,2,)</f>
        <v>#REF!</v>
      </c>
      <c r="F82" s="3" t="s">
        <v>13</v>
      </c>
      <c r="G82" s="8" t="s">
        <v>14</v>
      </c>
      <c r="H82" s="4"/>
      <c r="I82" s="8"/>
      <c r="J82" s="8" t="e">
        <f>VLOOKUP(D82,#REF!,7,)</f>
        <v>#REF!</v>
      </c>
      <c r="K82" s="8" t="s">
        <v>5</v>
      </c>
      <c r="L82" s="8" t="s">
        <v>5</v>
      </c>
      <c r="M82" s="8" t="e">
        <f>VLOOKUP(D82,#REF!,10,)</f>
        <v>#REF!</v>
      </c>
    </row>
    <row r="83" spans="1:13" ht="38.25">
      <c r="A83" s="8" t="s">
        <v>145</v>
      </c>
      <c r="B83" s="8" t="s">
        <v>60</v>
      </c>
      <c r="C83" s="8" t="s">
        <v>61</v>
      </c>
      <c r="D83" s="13" t="s">
        <v>156</v>
      </c>
      <c r="E83" s="8" t="e">
        <f>VLOOKUP(D83,#REF!,2,)</f>
        <v>#REF!</v>
      </c>
      <c r="F83" s="3" t="s">
        <v>13</v>
      </c>
      <c r="G83" s="8" t="s">
        <v>14</v>
      </c>
      <c r="H83" s="4"/>
      <c r="I83" s="8"/>
      <c r="J83" s="8" t="e">
        <f>VLOOKUP(D83,#REF!,7,)</f>
        <v>#REF!</v>
      </c>
      <c r="K83" s="8" t="s">
        <v>5</v>
      </c>
      <c r="L83" s="8" t="s">
        <v>5</v>
      </c>
      <c r="M83" s="8" t="e">
        <f>VLOOKUP(D83,#REF!,10,)</f>
        <v>#REF!</v>
      </c>
    </row>
    <row r="84" spans="1:13" ht="38.25">
      <c r="A84" s="8" t="s">
        <v>145</v>
      </c>
      <c r="B84" s="8" t="s">
        <v>60</v>
      </c>
      <c r="C84" s="8" t="s">
        <v>61</v>
      </c>
      <c r="D84" s="13" t="s">
        <v>99</v>
      </c>
      <c r="E84" s="8" t="e">
        <f>VLOOKUP(D84,#REF!,2,)</f>
        <v>#REF!</v>
      </c>
      <c r="F84" s="3" t="s">
        <v>13</v>
      </c>
      <c r="G84" s="8" t="s">
        <v>14</v>
      </c>
      <c r="H84" s="4"/>
      <c r="I84" s="8" t="s">
        <v>5</v>
      </c>
      <c r="J84" s="8" t="e">
        <f>VLOOKUP(D84,#REF!,7,)</f>
        <v>#REF!</v>
      </c>
      <c r="K84" s="8" t="s">
        <v>5</v>
      </c>
      <c r="L84" s="8" t="s">
        <v>5</v>
      </c>
      <c r="M84" s="8" t="e">
        <f>VLOOKUP(D84,#REF!,10,)</f>
        <v>#REF!</v>
      </c>
    </row>
    <row r="85" spans="1:13" ht="38.25">
      <c r="A85" s="8" t="s">
        <v>145</v>
      </c>
      <c r="B85" s="8" t="s">
        <v>60</v>
      </c>
      <c r="C85" s="8" t="s">
        <v>61</v>
      </c>
      <c r="D85" s="13" t="s">
        <v>157</v>
      </c>
      <c r="E85" s="8" t="e">
        <f>VLOOKUP(D85,#REF!,2,)</f>
        <v>#REF!</v>
      </c>
      <c r="F85" s="3" t="s">
        <v>13</v>
      </c>
      <c r="G85" s="8" t="s">
        <v>42</v>
      </c>
      <c r="H85" s="4"/>
      <c r="I85" s="8" t="s">
        <v>5</v>
      </c>
      <c r="J85" s="8" t="e">
        <f>VLOOKUP(D85,#REF!,7,)</f>
        <v>#REF!</v>
      </c>
      <c r="K85" s="8" t="s">
        <v>5</v>
      </c>
      <c r="L85" s="8" t="s">
        <v>5</v>
      </c>
      <c r="M85" s="8" t="e">
        <f>VLOOKUP(D85,#REF!,10,)</f>
        <v>#REF!</v>
      </c>
    </row>
    <row r="86" spans="1:13" ht="38.25">
      <c r="A86" s="8" t="s">
        <v>145</v>
      </c>
      <c r="B86" s="8" t="s">
        <v>60</v>
      </c>
      <c r="C86" s="8" t="s">
        <v>61</v>
      </c>
      <c r="D86" s="13" t="s">
        <v>158</v>
      </c>
      <c r="E86" s="8" t="e">
        <f>VLOOKUP(D86,#REF!,2,)</f>
        <v>#REF!</v>
      </c>
      <c r="F86" s="3" t="s">
        <v>13</v>
      </c>
      <c r="G86" s="8" t="s">
        <v>14</v>
      </c>
      <c r="H86" s="4"/>
      <c r="I86" s="8" t="s">
        <v>5</v>
      </c>
      <c r="J86" s="8" t="e">
        <f>VLOOKUP(D86,#REF!,7,)</f>
        <v>#REF!</v>
      </c>
      <c r="K86" s="8" t="s">
        <v>5</v>
      </c>
      <c r="L86" s="8" t="s">
        <v>5</v>
      </c>
      <c r="M86" s="8" t="e">
        <f>VLOOKUP(D86,#REF!,10,)</f>
        <v>#REF!</v>
      </c>
    </row>
    <row r="87" spans="1:13" ht="38.25">
      <c r="A87" s="8" t="s">
        <v>145</v>
      </c>
      <c r="B87" s="8" t="s">
        <v>60</v>
      </c>
      <c r="C87" s="8" t="s">
        <v>61</v>
      </c>
      <c r="D87" s="13" t="s">
        <v>159</v>
      </c>
      <c r="E87" s="8" t="e">
        <f>VLOOKUP(D87,#REF!,2,)</f>
        <v>#REF!</v>
      </c>
      <c r="F87" s="3" t="s">
        <v>13</v>
      </c>
      <c r="G87" s="8" t="s">
        <v>14</v>
      </c>
      <c r="H87" s="4"/>
      <c r="I87" s="8" t="s">
        <v>5</v>
      </c>
      <c r="J87" s="8" t="e">
        <f>VLOOKUP(D87,#REF!,7,)</f>
        <v>#REF!</v>
      </c>
      <c r="K87" s="8" t="s">
        <v>5</v>
      </c>
      <c r="L87" s="8" t="s">
        <v>5</v>
      </c>
      <c r="M87" s="8" t="e">
        <f>VLOOKUP(D87,#REF!,10,)</f>
        <v>#REF!</v>
      </c>
    </row>
    <row r="88" spans="1:13" ht="38.25">
      <c r="A88" s="8" t="s">
        <v>145</v>
      </c>
      <c r="B88" s="8" t="s">
        <v>60</v>
      </c>
      <c r="C88" s="8" t="s">
        <v>61</v>
      </c>
      <c r="D88" s="13" t="s">
        <v>160</v>
      </c>
      <c r="E88" s="8" t="e">
        <f>VLOOKUP(D88,#REF!,2,)</f>
        <v>#REF!</v>
      </c>
      <c r="F88" s="3" t="s">
        <v>13</v>
      </c>
      <c r="G88" s="8" t="s">
        <v>14</v>
      </c>
      <c r="H88" s="4"/>
      <c r="I88" s="8" t="s">
        <v>5</v>
      </c>
      <c r="J88" s="8" t="e">
        <f>VLOOKUP(D88,#REF!,7,)</f>
        <v>#REF!</v>
      </c>
      <c r="K88" s="8" t="s">
        <v>5</v>
      </c>
      <c r="L88" s="8" t="s">
        <v>5</v>
      </c>
      <c r="M88" s="8" t="e">
        <f>VLOOKUP(D88,#REF!,10,)</f>
        <v>#REF!</v>
      </c>
    </row>
    <row r="89" spans="1:13" ht="38.25">
      <c r="A89" s="8" t="s">
        <v>3</v>
      </c>
      <c r="B89" s="8" t="s">
        <v>60</v>
      </c>
      <c r="C89" s="8" t="s">
        <v>61</v>
      </c>
      <c r="D89" s="13" t="s">
        <v>161</v>
      </c>
      <c r="E89" s="8" t="e">
        <f>VLOOKUP(D89,#REF!,2,)</f>
        <v>#REF!</v>
      </c>
      <c r="F89" s="3" t="s">
        <v>13</v>
      </c>
      <c r="G89" s="8" t="s">
        <v>14</v>
      </c>
      <c r="H89" s="4"/>
      <c r="I89" s="8" t="s">
        <v>5</v>
      </c>
      <c r="J89" s="8" t="e">
        <f>VLOOKUP(D89,#REF!,7,)</f>
        <v>#REF!</v>
      </c>
      <c r="K89" s="8" t="s">
        <v>5</v>
      </c>
      <c r="L89" s="8" t="s">
        <v>5</v>
      </c>
      <c r="M89" s="8" t="e">
        <f>VLOOKUP(D89,#REF!,10,)</f>
        <v>#REF!</v>
      </c>
    </row>
    <row r="90" spans="1:13" ht="51">
      <c r="A90" s="8" t="s">
        <v>3</v>
      </c>
      <c r="B90" s="8" t="s">
        <v>60</v>
      </c>
      <c r="C90" s="8" t="s">
        <v>61</v>
      </c>
      <c r="D90" s="13" t="s">
        <v>162</v>
      </c>
      <c r="E90" s="8" t="e">
        <f>VLOOKUP(D90,#REF!,2,)</f>
        <v>#REF!</v>
      </c>
      <c r="F90" s="3" t="s">
        <v>13</v>
      </c>
      <c r="G90" s="8" t="s">
        <v>42</v>
      </c>
      <c r="H90" s="4"/>
      <c r="I90" s="8" t="s">
        <v>5</v>
      </c>
      <c r="J90" s="8" t="e">
        <f>VLOOKUP(D90,#REF!,7,)</f>
        <v>#REF!</v>
      </c>
      <c r="K90" s="8" t="s">
        <v>5</v>
      </c>
      <c r="L90" s="8" t="s">
        <v>5</v>
      </c>
      <c r="M90" s="8" t="e">
        <f>VLOOKUP(D90,#REF!,10,)</f>
        <v>#REF!</v>
      </c>
    </row>
    <row r="91" spans="1:13" ht="38.25">
      <c r="A91" s="8" t="s">
        <v>3</v>
      </c>
      <c r="B91" s="8" t="s">
        <v>60</v>
      </c>
      <c r="C91" s="8" t="s">
        <v>61</v>
      </c>
      <c r="D91" s="13" t="s">
        <v>163</v>
      </c>
      <c r="E91" s="8" t="e">
        <f>VLOOKUP(D91,#REF!,2,)</f>
        <v>#REF!</v>
      </c>
      <c r="F91" s="3" t="s">
        <v>13</v>
      </c>
      <c r="G91" s="8" t="s">
        <v>14</v>
      </c>
      <c r="H91" s="4"/>
      <c r="I91" s="8" t="s">
        <v>5</v>
      </c>
      <c r="J91" s="8" t="e">
        <f>VLOOKUP(D91,#REF!,7,)</f>
        <v>#REF!</v>
      </c>
      <c r="K91" s="8" t="s">
        <v>5</v>
      </c>
      <c r="L91" s="8" t="s">
        <v>5</v>
      </c>
      <c r="M91" s="8" t="e">
        <f>VLOOKUP(D91,#REF!,10,)</f>
        <v>#REF!</v>
      </c>
    </row>
    <row r="92" spans="1:13" ht="38.25">
      <c r="A92" s="8" t="s">
        <v>3</v>
      </c>
      <c r="B92" s="8" t="s">
        <v>60</v>
      </c>
      <c r="C92" s="8" t="s">
        <v>61</v>
      </c>
      <c r="D92" s="13" t="s">
        <v>164</v>
      </c>
      <c r="E92" s="8" t="e">
        <f>VLOOKUP(D92,#REF!,2,)</f>
        <v>#REF!</v>
      </c>
      <c r="F92" s="3" t="s">
        <v>13</v>
      </c>
      <c r="G92" s="8" t="s">
        <v>14</v>
      </c>
      <c r="H92" s="4"/>
      <c r="I92" s="8" t="s">
        <v>5</v>
      </c>
      <c r="J92" s="8" t="e">
        <f>VLOOKUP(D92,#REF!,7,)</f>
        <v>#REF!</v>
      </c>
      <c r="K92" s="8" t="s">
        <v>5</v>
      </c>
      <c r="L92" s="8" t="s">
        <v>5</v>
      </c>
      <c r="M92" s="8" t="e">
        <f>VLOOKUP(D92,#REF!,10,)</f>
        <v>#REF!</v>
      </c>
    </row>
    <row r="93" spans="1:13" ht="38.25">
      <c r="A93" s="8" t="s">
        <v>3</v>
      </c>
      <c r="B93" s="8" t="s">
        <v>60</v>
      </c>
      <c r="C93" s="8" t="s">
        <v>61</v>
      </c>
      <c r="D93" s="13" t="s">
        <v>165</v>
      </c>
      <c r="E93" s="8" t="e">
        <f>VLOOKUP(D93,#REF!,2,)</f>
        <v>#REF!</v>
      </c>
      <c r="F93" s="3" t="s">
        <v>13</v>
      </c>
      <c r="G93" s="8" t="s">
        <v>14</v>
      </c>
      <c r="H93" s="4"/>
      <c r="I93" s="8" t="s">
        <v>5</v>
      </c>
      <c r="J93" s="8" t="e">
        <f>VLOOKUP(D93,#REF!,7,)</f>
        <v>#REF!</v>
      </c>
      <c r="K93" s="8" t="s">
        <v>5</v>
      </c>
      <c r="L93" s="8" t="s">
        <v>5</v>
      </c>
      <c r="M93" s="8" t="e">
        <f>VLOOKUP(D93,#REF!,10,)</f>
        <v>#REF!</v>
      </c>
    </row>
    <row r="94" spans="1:13" ht="38.25">
      <c r="A94" s="8" t="s">
        <v>3</v>
      </c>
      <c r="B94" s="8" t="s">
        <v>60</v>
      </c>
      <c r="C94" s="8" t="s">
        <v>61</v>
      </c>
      <c r="D94" s="13" t="s">
        <v>166</v>
      </c>
      <c r="E94" s="8" t="e">
        <f>VLOOKUP(D94,#REF!,2,)</f>
        <v>#REF!</v>
      </c>
      <c r="F94" s="3" t="s">
        <v>13</v>
      </c>
      <c r="G94" s="8" t="s">
        <v>42</v>
      </c>
      <c r="H94" s="4"/>
      <c r="I94" s="8" t="s">
        <v>5</v>
      </c>
      <c r="J94" s="8" t="e">
        <f>VLOOKUP(D94,#REF!,7,)</f>
        <v>#REF!</v>
      </c>
      <c r="K94" s="8" t="s">
        <v>5</v>
      </c>
      <c r="L94" s="8" t="s">
        <v>5</v>
      </c>
      <c r="M94" s="8" t="e">
        <f>VLOOKUP(D94,#REF!,10,)</f>
        <v>#REF!</v>
      </c>
    </row>
    <row r="95" spans="1:13" ht="38.25">
      <c r="A95" s="8" t="s">
        <v>3</v>
      </c>
      <c r="B95" s="8" t="s">
        <v>60</v>
      </c>
      <c r="C95" s="8" t="s">
        <v>61</v>
      </c>
      <c r="D95" s="13" t="s">
        <v>167</v>
      </c>
      <c r="E95" s="8" t="e">
        <f>VLOOKUP(D95,#REF!,2,)</f>
        <v>#REF!</v>
      </c>
      <c r="F95" s="3" t="s">
        <v>13</v>
      </c>
      <c r="G95" s="8" t="s">
        <v>42</v>
      </c>
      <c r="H95" s="4"/>
      <c r="I95" s="8" t="s">
        <v>5</v>
      </c>
      <c r="J95" s="8" t="e">
        <f>VLOOKUP(D95,#REF!,7,)</f>
        <v>#REF!</v>
      </c>
      <c r="K95" s="8" t="s">
        <v>5</v>
      </c>
      <c r="L95" s="8" t="s">
        <v>5</v>
      </c>
      <c r="M95" s="8" t="e">
        <f>VLOOKUP(D95,#REF!,10,)</f>
        <v>#REF!</v>
      </c>
    </row>
    <row r="96" spans="1:13" ht="38.25">
      <c r="A96" s="8" t="s">
        <v>3</v>
      </c>
      <c r="B96" s="8" t="s">
        <v>60</v>
      </c>
      <c r="C96" s="8" t="s">
        <v>61</v>
      </c>
      <c r="D96" s="13" t="s">
        <v>218</v>
      </c>
      <c r="E96" s="8" t="e">
        <f>VLOOKUP(D96,#REF!,2,)</f>
        <v>#REF!</v>
      </c>
      <c r="F96" s="3" t="s">
        <v>13</v>
      </c>
      <c r="G96" s="8" t="s">
        <v>14</v>
      </c>
      <c r="H96" s="4"/>
      <c r="I96" s="8" t="s">
        <v>5</v>
      </c>
      <c r="J96" s="8" t="e">
        <f>VLOOKUP(D96,#REF!,7,)</f>
        <v>#REF!</v>
      </c>
      <c r="K96" s="8" t="s">
        <v>5</v>
      </c>
      <c r="L96" s="8" t="s">
        <v>5</v>
      </c>
      <c r="M96" s="8" t="e">
        <f>VLOOKUP(D96,#REF!,10,)</f>
        <v>#REF!</v>
      </c>
    </row>
    <row r="97" spans="1:13" ht="38.25">
      <c r="A97" s="8" t="s">
        <v>3</v>
      </c>
      <c r="B97" s="8" t="s">
        <v>60</v>
      </c>
      <c r="C97" s="8" t="s">
        <v>61</v>
      </c>
      <c r="D97" s="13" t="s">
        <v>168</v>
      </c>
      <c r="E97" s="8" t="e">
        <f>VLOOKUP(D97,#REF!,2,)</f>
        <v>#REF!</v>
      </c>
      <c r="F97" s="3" t="s">
        <v>13</v>
      </c>
      <c r="G97" s="8" t="s">
        <v>14</v>
      </c>
      <c r="H97" s="4"/>
      <c r="I97" s="8" t="s">
        <v>5</v>
      </c>
      <c r="J97" s="8" t="e">
        <f>VLOOKUP(D97,#REF!,7,)</f>
        <v>#REF!</v>
      </c>
      <c r="K97" s="8" t="s">
        <v>5</v>
      </c>
      <c r="L97" s="8" t="s">
        <v>5</v>
      </c>
      <c r="M97" s="8" t="e">
        <f>VLOOKUP(D97,#REF!,10,)</f>
        <v>#REF!</v>
      </c>
    </row>
    <row r="98" spans="1:13" ht="38.25">
      <c r="A98" s="8" t="s">
        <v>3</v>
      </c>
      <c r="B98" s="8" t="s">
        <v>60</v>
      </c>
      <c r="C98" s="8" t="s">
        <v>61</v>
      </c>
      <c r="D98" s="13" t="s">
        <v>169</v>
      </c>
      <c r="E98" s="8" t="e">
        <f>VLOOKUP(D98,#REF!,2,)</f>
        <v>#REF!</v>
      </c>
      <c r="F98" s="3" t="s">
        <v>13</v>
      </c>
      <c r="G98" s="8" t="s">
        <v>14</v>
      </c>
      <c r="H98" s="4"/>
      <c r="I98" s="8" t="s">
        <v>5</v>
      </c>
      <c r="J98" s="8" t="e">
        <f>VLOOKUP(D98,#REF!,7,)</f>
        <v>#REF!</v>
      </c>
      <c r="K98" s="8" t="s">
        <v>5</v>
      </c>
      <c r="L98" s="8" t="s">
        <v>5</v>
      </c>
      <c r="M98" s="8" t="e">
        <f>VLOOKUP(D98,#REF!,10,)</f>
        <v>#REF!</v>
      </c>
    </row>
    <row r="99" spans="1:13" ht="38.25">
      <c r="A99" s="8" t="s">
        <v>3</v>
      </c>
      <c r="B99" s="8" t="s">
        <v>60</v>
      </c>
      <c r="C99" s="8" t="s">
        <v>61</v>
      </c>
      <c r="D99" s="13" t="s">
        <v>170</v>
      </c>
      <c r="E99" s="8" t="e">
        <f>VLOOKUP(D99,#REF!,2,)</f>
        <v>#REF!</v>
      </c>
      <c r="F99" s="3" t="s">
        <v>13</v>
      </c>
      <c r="G99" s="8" t="s">
        <v>14</v>
      </c>
      <c r="H99" s="4"/>
      <c r="I99" s="8" t="s">
        <v>5</v>
      </c>
      <c r="J99" s="8" t="e">
        <f>VLOOKUP(D99,#REF!,7,)</f>
        <v>#REF!</v>
      </c>
      <c r="K99" s="8" t="s">
        <v>5</v>
      </c>
      <c r="L99" s="8" t="s">
        <v>5</v>
      </c>
      <c r="M99" s="8" t="e">
        <f>VLOOKUP(D99,#REF!,10,)</f>
        <v>#REF!</v>
      </c>
    </row>
    <row r="100" spans="1:13" ht="38.25">
      <c r="A100" s="8" t="s">
        <v>3</v>
      </c>
      <c r="B100" s="8" t="s">
        <v>60</v>
      </c>
      <c r="C100" s="8" t="s">
        <v>61</v>
      </c>
      <c r="D100" s="13" t="s">
        <v>171</v>
      </c>
      <c r="E100" s="8" t="e">
        <f>VLOOKUP(D100,#REF!,2,)</f>
        <v>#REF!</v>
      </c>
      <c r="F100" s="3" t="s">
        <v>13</v>
      </c>
      <c r="G100" s="8" t="s">
        <v>14</v>
      </c>
      <c r="H100" s="4"/>
      <c r="I100" s="8" t="s">
        <v>5</v>
      </c>
      <c r="J100" s="8" t="e">
        <f>VLOOKUP(D100,#REF!,7,)</f>
        <v>#REF!</v>
      </c>
      <c r="K100" s="8" t="s">
        <v>5</v>
      </c>
      <c r="L100" s="8" t="s">
        <v>5</v>
      </c>
      <c r="M100" s="8" t="e">
        <f>VLOOKUP(D100,#REF!,10,)</f>
        <v>#REF!</v>
      </c>
    </row>
    <row r="101" spans="1:13" ht="38.25">
      <c r="A101" s="8" t="s">
        <v>3</v>
      </c>
      <c r="B101" s="8" t="s">
        <v>60</v>
      </c>
      <c r="C101" s="8" t="s">
        <v>61</v>
      </c>
      <c r="D101" s="13" t="s">
        <v>172</v>
      </c>
      <c r="E101" s="8" t="e">
        <f>VLOOKUP(D101,#REF!,2,)</f>
        <v>#REF!</v>
      </c>
      <c r="F101" s="3" t="s">
        <v>13</v>
      </c>
      <c r="G101" s="8" t="s">
        <v>14</v>
      </c>
      <c r="H101" s="4"/>
      <c r="I101" s="8" t="s">
        <v>5</v>
      </c>
      <c r="J101" s="8" t="e">
        <f>VLOOKUP(D101,#REF!,7,)</f>
        <v>#REF!</v>
      </c>
      <c r="K101" s="8" t="s">
        <v>5</v>
      </c>
      <c r="L101" s="8" t="s">
        <v>5</v>
      </c>
      <c r="M101" s="8" t="e">
        <f>VLOOKUP(D101,#REF!,10,)</f>
        <v>#REF!</v>
      </c>
    </row>
    <row r="102" spans="1:13" ht="38.25">
      <c r="A102" s="8" t="s">
        <v>3</v>
      </c>
      <c r="B102" s="8" t="s">
        <v>60</v>
      </c>
      <c r="C102" s="8" t="s">
        <v>61</v>
      </c>
      <c r="D102" s="13" t="s">
        <v>219</v>
      </c>
      <c r="E102" s="8" t="e">
        <f>VLOOKUP(D102,#REF!,2,)</f>
        <v>#REF!</v>
      </c>
      <c r="F102" s="3" t="s">
        <v>13</v>
      </c>
      <c r="G102" s="8" t="s">
        <v>14</v>
      </c>
      <c r="H102" s="4"/>
      <c r="I102" s="8" t="s">
        <v>5</v>
      </c>
      <c r="J102" s="8" t="e">
        <f>VLOOKUP(D102,#REF!,7,)</f>
        <v>#REF!</v>
      </c>
      <c r="K102" s="8" t="s">
        <v>5</v>
      </c>
      <c r="L102" s="8" t="s">
        <v>5</v>
      </c>
      <c r="M102" s="8" t="e">
        <f>VLOOKUP(D102,#REF!,10,)</f>
        <v>#REF!</v>
      </c>
    </row>
    <row r="103" spans="1:13" ht="38.25">
      <c r="A103" s="8" t="s">
        <v>3</v>
      </c>
      <c r="B103" s="8" t="s">
        <v>60</v>
      </c>
      <c r="C103" s="8" t="s">
        <v>61</v>
      </c>
      <c r="D103" s="13" t="s">
        <v>173</v>
      </c>
      <c r="E103" s="8" t="e">
        <f>VLOOKUP(D103,#REF!,2,)</f>
        <v>#REF!</v>
      </c>
      <c r="F103" s="3" t="s">
        <v>13</v>
      </c>
      <c r="G103" s="8" t="s">
        <v>14</v>
      </c>
      <c r="H103" s="4"/>
      <c r="I103" s="8" t="s">
        <v>5</v>
      </c>
      <c r="J103" s="8" t="e">
        <f>VLOOKUP(D103,#REF!,7,)</f>
        <v>#REF!</v>
      </c>
      <c r="K103" s="8" t="s">
        <v>5</v>
      </c>
      <c r="L103" s="8" t="s">
        <v>5</v>
      </c>
      <c r="M103" s="8" t="e">
        <f>VLOOKUP(D103,#REF!,10,)</f>
        <v>#REF!</v>
      </c>
    </row>
    <row r="104" spans="1:13" ht="38.25">
      <c r="A104" s="8" t="s">
        <v>3</v>
      </c>
      <c r="B104" s="8" t="s">
        <v>60</v>
      </c>
      <c r="C104" s="8" t="s">
        <v>61</v>
      </c>
      <c r="D104" s="13" t="s">
        <v>174</v>
      </c>
      <c r="E104" s="8" t="e">
        <f>VLOOKUP(D104,#REF!,2,)</f>
        <v>#REF!</v>
      </c>
      <c r="F104" s="3" t="s">
        <v>13</v>
      </c>
      <c r="G104" s="8" t="s">
        <v>42</v>
      </c>
      <c r="H104" s="4"/>
      <c r="I104" s="8" t="s">
        <v>5</v>
      </c>
      <c r="J104" s="8" t="e">
        <f>VLOOKUP(D104,#REF!,7,)</f>
        <v>#REF!</v>
      </c>
      <c r="K104" s="8" t="s">
        <v>5</v>
      </c>
      <c r="L104" s="8" t="s">
        <v>5</v>
      </c>
      <c r="M104" s="8" t="e">
        <f>VLOOKUP(D104,#REF!,10,)</f>
        <v>#REF!</v>
      </c>
    </row>
    <row r="105" spans="1:13" ht="38.25">
      <c r="A105" s="8" t="s">
        <v>175</v>
      </c>
      <c r="B105" s="8" t="s">
        <v>60</v>
      </c>
      <c r="C105" s="8" t="s">
        <v>61</v>
      </c>
      <c r="D105" s="13" t="s">
        <v>94</v>
      </c>
      <c r="E105" s="8" t="e">
        <f>VLOOKUP(D105,#REF!,2,)</f>
        <v>#REF!</v>
      </c>
      <c r="F105" s="3" t="s">
        <v>13</v>
      </c>
      <c r="G105" s="8" t="s">
        <v>14</v>
      </c>
      <c r="H105" s="4"/>
      <c r="I105" s="8" t="s">
        <v>5</v>
      </c>
      <c r="J105" s="8" t="e">
        <f>VLOOKUP(D105,#REF!,7,)</f>
        <v>#REF!</v>
      </c>
      <c r="K105" s="8" t="s">
        <v>5</v>
      </c>
      <c r="L105" s="8" t="s">
        <v>5</v>
      </c>
      <c r="M105" s="8" t="e">
        <f>VLOOKUP(D105,#REF!,10,)</f>
        <v>#REF!</v>
      </c>
    </row>
    <row r="106" spans="1:13" ht="38.25">
      <c r="A106" s="8" t="s">
        <v>3</v>
      </c>
      <c r="B106" s="8" t="s">
        <v>60</v>
      </c>
      <c r="C106" s="8" t="s">
        <v>61</v>
      </c>
      <c r="D106" s="13" t="s">
        <v>180</v>
      </c>
      <c r="E106" s="8" t="e">
        <f>VLOOKUP(D106,#REF!,2,)</f>
        <v>#REF!</v>
      </c>
      <c r="F106" s="3" t="s">
        <v>13</v>
      </c>
      <c r="G106" s="8" t="s">
        <v>59</v>
      </c>
      <c r="H106" s="4"/>
      <c r="I106" s="8" t="s">
        <v>5</v>
      </c>
      <c r="J106" s="8" t="e">
        <f>VLOOKUP(D106,#REF!,7,)</f>
        <v>#REF!</v>
      </c>
      <c r="K106" s="8" t="s">
        <v>5</v>
      </c>
      <c r="L106" s="8" t="s">
        <v>5</v>
      </c>
      <c r="M106" s="8" t="e">
        <f>VLOOKUP(D106,#REF!,10,)</f>
        <v>#REF!</v>
      </c>
    </row>
    <row r="107" spans="1:13" ht="38.25">
      <c r="A107" s="8" t="s">
        <v>3</v>
      </c>
      <c r="B107" s="8" t="s">
        <v>60</v>
      </c>
      <c r="C107" s="8" t="s">
        <v>61</v>
      </c>
      <c r="D107" s="13" t="s">
        <v>181</v>
      </c>
      <c r="E107" s="8" t="e">
        <f>VLOOKUP(D107,#REF!,2,)</f>
        <v>#REF!</v>
      </c>
      <c r="F107" s="3" t="s">
        <v>13</v>
      </c>
      <c r="G107" s="8" t="s">
        <v>59</v>
      </c>
      <c r="H107" s="4"/>
      <c r="I107" s="8" t="s">
        <v>5</v>
      </c>
      <c r="J107" s="8" t="e">
        <f>VLOOKUP(D107,#REF!,7,)</f>
        <v>#REF!</v>
      </c>
      <c r="K107" s="8" t="s">
        <v>5</v>
      </c>
      <c r="L107" s="8" t="s">
        <v>5</v>
      </c>
      <c r="M107" s="8" t="e">
        <f>VLOOKUP(D107,#REF!,10,)</f>
        <v>#REF!</v>
      </c>
    </row>
    <row r="108" spans="1:13" ht="38.25">
      <c r="A108" s="8" t="s">
        <v>3</v>
      </c>
      <c r="B108" s="8" t="s">
        <v>60</v>
      </c>
      <c r="C108" s="8" t="s">
        <v>61</v>
      </c>
      <c r="D108" s="13" t="s">
        <v>182</v>
      </c>
      <c r="E108" s="8" t="e">
        <f>VLOOKUP(D108,#REF!,2,)</f>
        <v>#REF!</v>
      </c>
      <c r="F108" s="3" t="s">
        <v>13</v>
      </c>
      <c r="G108" s="8" t="s">
        <v>42</v>
      </c>
      <c r="H108" s="4"/>
      <c r="I108" s="8" t="s">
        <v>5</v>
      </c>
      <c r="J108" s="8" t="e">
        <f>VLOOKUP(D108,#REF!,7,)</f>
        <v>#REF!</v>
      </c>
      <c r="K108" s="8" t="s">
        <v>5</v>
      </c>
      <c r="L108" s="8" t="s">
        <v>5</v>
      </c>
      <c r="M108" s="8" t="e">
        <f>VLOOKUP(D108,#REF!,10,)</f>
        <v>#REF!</v>
      </c>
    </row>
    <row r="109" spans="1:13" ht="38.25">
      <c r="A109" s="8" t="s">
        <v>3</v>
      </c>
      <c r="B109" s="8" t="s">
        <v>60</v>
      </c>
      <c r="C109" s="8" t="s">
        <v>61</v>
      </c>
      <c r="D109" s="13" t="s">
        <v>183</v>
      </c>
      <c r="E109" s="8" t="e">
        <f>VLOOKUP(D109,#REF!,2,)</f>
        <v>#REF!</v>
      </c>
      <c r="F109" s="3" t="s">
        <v>13</v>
      </c>
      <c r="G109" s="8" t="s">
        <v>59</v>
      </c>
      <c r="H109" s="4"/>
      <c r="I109" s="8" t="s">
        <v>5</v>
      </c>
      <c r="J109" s="8" t="e">
        <f>VLOOKUP(D109,#REF!,7,)</f>
        <v>#REF!</v>
      </c>
      <c r="K109" s="8" t="s">
        <v>5</v>
      </c>
      <c r="L109" s="8" t="s">
        <v>5</v>
      </c>
      <c r="M109" s="8" t="e">
        <f>VLOOKUP(D109,#REF!,10,)</f>
        <v>#REF!</v>
      </c>
    </row>
    <row r="110" spans="1:13" ht="38.25">
      <c r="A110" s="8" t="s">
        <v>3</v>
      </c>
      <c r="B110" s="8" t="s">
        <v>60</v>
      </c>
      <c r="C110" s="8" t="s">
        <v>61</v>
      </c>
      <c r="D110" s="13" t="s">
        <v>222</v>
      </c>
      <c r="E110" s="8" t="e">
        <f>VLOOKUP(D110,#REF!,2,)</f>
        <v>#REF!</v>
      </c>
      <c r="F110" s="3" t="s">
        <v>13</v>
      </c>
      <c r="G110" s="8" t="s">
        <v>59</v>
      </c>
      <c r="H110" s="4"/>
      <c r="I110" s="8" t="s">
        <v>5</v>
      </c>
      <c r="J110" s="8" t="e">
        <f>VLOOKUP(D110,#REF!,7,)</f>
        <v>#REF!</v>
      </c>
      <c r="K110" s="8" t="s">
        <v>5</v>
      </c>
      <c r="L110" s="8" t="s">
        <v>5</v>
      </c>
      <c r="M110" s="8" t="e">
        <f>VLOOKUP(D110,#REF!,10,)</f>
        <v>#REF!</v>
      </c>
    </row>
    <row r="111" spans="1:13" ht="38.25">
      <c r="A111" s="8" t="s">
        <v>3</v>
      </c>
      <c r="B111" s="8" t="s">
        <v>60</v>
      </c>
      <c r="C111" s="8" t="s">
        <v>61</v>
      </c>
      <c r="D111" s="13" t="s">
        <v>223</v>
      </c>
      <c r="E111" s="8" t="e">
        <f>VLOOKUP(D111,#REF!,2,)</f>
        <v>#REF!</v>
      </c>
      <c r="F111" s="3" t="s">
        <v>13</v>
      </c>
      <c r="G111" s="8" t="s">
        <v>59</v>
      </c>
      <c r="H111" s="4"/>
      <c r="I111" s="8" t="s">
        <v>5</v>
      </c>
      <c r="J111" s="8" t="e">
        <f>VLOOKUP(D111,#REF!,7,)</f>
        <v>#REF!</v>
      </c>
      <c r="K111" s="8" t="s">
        <v>5</v>
      </c>
      <c r="L111" s="8" t="s">
        <v>5</v>
      </c>
      <c r="M111" s="8" t="e">
        <f>VLOOKUP(D111,#REF!,10,)</f>
        <v>#REF!</v>
      </c>
    </row>
    <row r="112" spans="1:13" ht="38.25">
      <c r="A112" s="8" t="s">
        <v>3</v>
      </c>
      <c r="B112" s="8" t="s">
        <v>60</v>
      </c>
      <c r="C112" s="8" t="s">
        <v>61</v>
      </c>
      <c r="D112" s="13" t="s">
        <v>184</v>
      </c>
      <c r="E112" s="8" t="e">
        <f>VLOOKUP(D112,#REF!,2,)</f>
        <v>#REF!</v>
      </c>
      <c r="F112" s="3" t="s">
        <v>13</v>
      </c>
      <c r="G112" s="8" t="s">
        <v>59</v>
      </c>
      <c r="H112" s="4"/>
      <c r="I112" s="8" t="s">
        <v>5</v>
      </c>
      <c r="J112" s="8" t="e">
        <f>VLOOKUP(D112,#REF!,7,)</f>
        <v>#REF!</v>
      </c>
      <c r="K112" s="8" t="s">
        <v>5</v>
      </c>
      <c r="L112" s="8" t="s">
        <v>5</v>
      </c>
      <c r="M112" s="8" t="e">
        <f>VLOOKUP(D112,#REF!,10,)</f>
        <v>#REF!</v>
      </c>
    </row>
    <row r="113" spans="1:13" ht="38.25">
      <c r="A113" s="8" t="s">
        <v>3</v>
      </c>
      <c r="B113" s="8" t="s">
        <v>60</v>
      </c>
      <c r="C113" s="8" t="s">
        <v>61</v>
      </c>
      <c r="D113" s="13" t="s">
        <v>185</v>
      </c>
      <c r="E113" s="8" t="e">
        <f>VLOOKUP(D113,#REF!,2,)</f>
        <v>#REF!</v>
      </c>
      <c r="F113" s="3" t="s">
        <v>13</v>
      </c>
      <c r="G113" s="8" t="s">
        <v>59</v>
      </c>
      <c r="H113" s="4"/>
      <c r="I113" s="8" t="s">
        <v>5</v>
      </c>
      <c r="J113" s="8" t="e">
        <f>VLOOKUP(D113,#REF!,7,)</f>
        <v>#REF!</v>
      </c>
      <c r="K113" s="8" t="s">
        <v>5</v>
      </c>
      <c r="L113" s="8" t="s">
        <v>5</v>
      </c>
      <c r="M113" s="8" t="e">
        <f>VLOOKUP(D113,#REF!,10,)</f>
        <v>#REF!</v>
      </c>
    </row>
    <row r="114" spans="1:13" ht="38.25">
      <c r="A114" s="8" t="s">
        <v>3</v>
      </c>
      <c r="B114" s="8" t="s">
        <v>60</v>
      </c>
      <c r="C114" s="8" t="s">
        <v>61</v>
      </c>
      <c r="D114" s="13" t="s">
        <v>224</v>
      </c>
      <c r="E114" s="8" t="e">
        <f>VLOOKUP(D114,#REF!,2,)</f>
        <v>#REF!</v>
      </c>
      <c r="F114" s="3" t="s">
        <v>13</v>
      </c>
      <c r="G114" s="8" t="s">
        <v>59</v>
      </c>
      <c r="H114" s="4"/>
      <c r="I114" s="8" t="s">
        <v>5</v>
      </c>
      <c r="J114" s="8" t="e">
        <f>VLOOKUP(D114,#REF!,7,)</f>
        <v>#REF!</v>
      </c>
      <c r="K114" s="8" t="s">
        <v>5</v>
      </c>
      <c r="L114" s="8" t="s">
        <v>5</v>
      </c>
      <c r="M114" s="8" t="e">
        <f>VLOOKUP(D114,#REF!,10,)</f>
        <v>#REF!</v>
      </c>
    </row>
    <row r="115" spans="1:13" ht="38.25">
      <c r="A115" s="8" t="s">
        <v>3</v>
      </c>
      <c r="B115" s="8" t="s">
        <v>60</v>
      </c>
      <c r="C115" s="8" t="s">
        <v>61</v>
      </c>
      <c r="D115" s="13" t="s">
        <v>186</v>
      </c>
      <c r="E115" s="8" t="e">
        <f>VLOOKUP(D115,#REF!,2,)</f>
        <v>#REF!</v>
      </c>
      <c r="F115" s="3" t="s">
        <v>13</v>
      </c>
      <c r="G115" s="8" t="s">
        <v>42</v>
      </c>
      <c r="H115" s="4"/>
      <c r="I115" s="8" t="s">
        <v>5</v>
      </c>
      <c r="J115" s="8" t="e">
        <f>VLOOKUP(D115,#REF!,7,)</f>
        <v>#REF!</v>
      </c>
      <c r="K115" s="8" t="s">
        <v>5</v>
      </c>
      <c r="L115" s="8" t="s">
        <v>5</v>
      </c>
      <c r="M115" s="8" t="e">
        <f>VLOOKUP(D115,#REF!,10,)</f>
        <v>#REF!</v>
      </c>
    </row>
    <row r="116" spans="1:13" ht="38.25">
      <c r="A116" s="8" t="s">
        <v>3</v>
      </c>
      <c r="B116" s="8" t="s">
        <v>60</v>
      </c>
      <c r="C116" s="8" t="s">
        <v>61</v>
      </c>
      <c r="D116" s="13" t="s">
        <v>226</v>
      </c>
      <c r="E116" s="8" t="e">
        <f>VLOOKUP(D116,#REF!,2,)</f>
        <v>#REF!</v>
      </c>
      <c r="F116" s="3" t="s">
        <v>13</v>
      </c>
      <c r="G116" s="8" t="s">
        <v>59</v>
      </c>
      <c r="H116" s="4"/>
      <c r="I116" s="8" t="s">
        <v>5</v>
      </c>
      <c r="J116" s="8" t="e">
        <f>VLOOKUP(D116,#REF!,7,)</f>
        <v>#REF!</v>
      </c>
      <c r="K116" s="8" t="s">
        <v>5</v>
      </c>
      <c r="L116" s="8" t="s">
        <v>5</v>
      </c>
      <c r="M116" s="8" t="e">
        <f>VLOOKUP(D116,#REF!,10,)</f>
        <v>#REF!</v>
      </c>
    </row>
    <row r="117" spans="1:13" ht="38.25">
      <c r="A117" s="8" t="s">
        <v>3</v>
      </c>
      <c r="B117" s="8" t="s">
        <v>60</v>
      </c>
      <c r="C117" s="8" t="s">
        <v>61</v>
      </c>
      <c r="D117" s="27" t="s">
        <v>227</v>
      </c>
      <c r="E117" s="8" t="e">
        <f>VLOOKUP(D117,#REF!,2,)</f>
        <v>#REF!</v>
      </c>
      <c r="F117" s="3" t="s">
        <v>13</v>
      </c>
      <c r="G117" s="8" t="s">
        <v>59</v>
      </c>
      <c r="H117" s="4"/>
      <c r="I117" s="8" t="s">
        <v>5</v>
      </c>
      <c r="J117" s="8" t="e">
        <f>VLOOKUP(D117,#REF!,7,)</f>
        <v>#REF!</v>
      </c>
      <c r="K117" s="8" t="s">
        <v>5</v>
      </c>
      <c r="L117" s="8" t="s">
        <v>5</v>
      </c>
      <c r="M117" s="8" t="e">
        <f>VLOOKUP(D117,#REF!,10,)</f>
        <v>#REF!</v>
      </c>
    </row>
    <row r="118" spans="1:13" ht="38.25">
      <c r="A118" s="8" t="s">
        <v>3</v>
      </c>
      <c r="B118" s="8" t="s">
        <v>60</v>
      </c>
      <c r="C118" s="8" t="s">
        <v>61</v>
      </c>
      <c r="D118" s="13" t="s">
        <v>187</v>
      </c>
      <c r="E118" s="8" t="e">
        <f>VLOOKUP(D118,#REF!,2,)</f>
        <v>#REF!</v>
      </c>
      <c r="F118" s="3" t="s">
        <v>13</v>
      </c>
      <c r="G118" s="8" t="s">
        <v>59</v>
      </c>
      <c r="H118" s="4"/>
      <c r="I118" s="8" t="s">
        <v>5</v>
      </c>
      <c r="J118" s="8" t="e">
        <f>VLOOKUP(D118,#REF!,7,)</f>
        <v>#REF!</v>
      </c>
      <c r="K118" s="8" t="s">
        <v>5</v>
      </c>
      <c r="L118" s="8" t="s">
        <v>5</v>
      </c>
      <c r="M118" s="8" t="e">
        <f>VLOOKUP(D118,#REF!,10,)</f>
        <v>#REF!</v>
      </c>
    </row>
    <row r="119" spans="1:13" ht="38.25">
      <c r="A119" s="8" t="s">
        <v>3</v>
      </c>
      <c r="B119" s="8" t="s">
        <v>60</v>
      </c>
      <c r="C119" s="8" t="s">
        <v>61</v>
      </c>
      <c r="D119" s="13" t="s">
        <v>188</v>
      </c>
      <c r="E119" s="8" t="e">
        <f>VLOOKUP(D119,#REF!,2,)</f>
        <v>#REF!</v>
      </c>
      <c r="F119" s="3" t="s">
        <v>13</v>
      </c>
      <c r="G119" s="8" t="s">
        <v>42</v>
      </c>
      <c r="H119" s="4"/>
      <c r="I119" s="8" t="s">
        <v>5</v>
      </c>
      <c r="J119" s="8" t="e">
        <f>VLOOKUP(D119,#REF!,7,)</f>
        <v>#REF!</v>
      </c>
      <c r="K119" s="8" t="s">
        <v>5</v>
      </c>
      <c r="L119" s="8" t="s">
        <v>5</v>
      </c>
      <c r="M119" s="8" t="e">
        <f>VLOOKUP(D119,#REF!,10,)</f>
        <v>#REF!</v>
      </c>
    </row>
    <row r="120" spans="1:13" ht="38.25">
      <c r="A120" s="8" t="s">
        <v>3</v>
      </c>
      <c r="B120" s="8" t="s">
        <v>60</v>
      </c>
      <c r="C120" s="8" t="s">
        <v>61</v>
      </c>
      <c r="D120" s="13" t="s">
        <v>228</v>
      </c>
      <c r="E120" s="8" t="e">
        <f>VLOOKUP(D120,#REF!,2,)</f>
        <v>#REF!</v>
      </c>
      <c r="F120" s="3" t="s">
        <v>13</v>
      </c>
      <c r="G120" s="8" t="s">
        <v>59</v>
      </c>
      <c r="H120" s="4"/>
      <c r="I120" s="8" t="s">
        <v>5</v>
      </c>
      <c r="J120" s="8" t="e">
        <f>VLOOKUP(D120,#REF!,7,)</f>
        <v>#REF!</v>
      </c>
      <c r="K120" s="8" t="s">
        <v>5</v>
      </c>
      <c r="L120" s="8" t="s">
        <v>5</v>
      </c>
      <c r="M120" s="8" t="e">
        <f>VLOOKUP(D120,#REF!,10,)</f>
        <v>#REF!</v>
      </c>
    </row>
    <row r="121" spans="1:13" ht="38.25">
      <c r="A121" s="8" t="s">
        <v>3</v>
      </c>
      <c r="B121" s="8" t="s">
        <v>60</v>
      </c>
      <c r="C121" s="8" t="s">
        <v>61</v>
      </c>
      <c r="D121" s="13" t="s">
        <v>189</v>
      </c>
      <c r="E121" s="8" t="e">
        <f>VLOOKUP(D121,#REF!,2,)</f>
        <v>#REF!</v>
      </c>
      <c r="F121" s="3" t="s">
        <v>13</v>
      </c>
      <c r="G121" s="8" t="s">
        <v>59</v>
      </c>
      <c r="H121" s="4"/>
      <c r="I121" s="8" t="s">
        <v>5</v>
      </c>
      <c r="J121" s="8" t="e">
        <f>VLOOKUP(D121,#REF!,7,)</f>
        <v>#REF!</v>
      </c>
      <c r="K121" s="8" t="s">
        <v>5</v>
      </c>
      <c r="L121" s="8" t="s">
        <v>5</v>
      </c>
      <c r="M121" s="8" t="e">
        <f>VLOOKUP(D121,#REF!,10,)</f>
        <v>#REF!</v>
      </c>
    </row>
    <row r="122" spans="1:13" ht="38.25">
      <c r="A122" s="8" t="s">
        <v>3</v>
      </c>
      <c r="B122" s="8" t="s">
        <v>60</v>
      </c>
      <c r="C122" s="8" t="s">
        <v>61</v>
      </c>
      <c r="D122" s="13" t="s">
        <v>190</v>
      </c>
      <c r="E122" s="8" t="e">
        <f>VLOOKUP(D122,#REF!,2,)</f>
        <v>#REF!</v>
      </c>
      <c r="F122" s="3" t="s">
        <v>13</v>
      </c>
      <c r="G122" s="8" t="s">
        <v>59</v>
      </c>
      <c r="H122" s="4"/>
      <c r="I122" s="8" t="s">
        <v>5</v>
      </c>
      <c r="J122" s="8" t="e">
        <f>VLOOKUP(D122,#REF!,7,)</f>
        <v>#REF!</v>
      </c>
      <c r="K122" s="8" t="s">
        <v>5</v>
      </c>
      <c r="L122" s="8" t="s">
        <v>5</v>
      </c>
      <c r="M122" s="8" t="e">
        <f>VLOOKUP(D122,#REF!,10,)</f>
        <v>#REF!</v>
      </c>
    </row>
    <row r="123" spans="1:13" ht="38.25">
      <c r="A123" s="8" t="s">
        <v>3</v>
      </c>
      <c r="B123" s="8" t="s">
        <v>60</v>
      </c>
      <c r="C123" s="8" t="s">
        <v>61</v>
      </c>
      <c r="D123" s="13" t="s">
        <v>191</v>
      </c>
      <c r="E123" s="8" t="e">
        <f>VLOOKUP(D123,#REF!,2,)</f>
        <v>#REF!</v>
      </c>
      <c r="F123" s="3" t="s">
        <v>13</v>
      </c>
      <c r="G123" s="8" t="s">
        <v>42</v>
      </c>
      <c r="H123" s="4"/>
      <c r="I123" s="8" t="s">
        <v>5</v>
      </c>
      <c r="J123" s="8" t="e">
        <f>VLOOKUP(D123,#REF!,7,)</f>
        <v>#REF!</v>
      </c>
      <c r="K123" s="8" t="s">
        <v>5</v>
      </c>
      <c r="L123" s="8" t="s">
        <v>5</v>
      </c>
      <c r="M123" s="8" t="e">
        <f>VLOOKUP(D123,#REF!,10,)</f>
        <v>#REF!</v>
      </c>
    </row>
    <row r="124" spans="1:13" ht="38.25">
      <c r="A124" s="8" t="s">
        <v>3</v>
      </c>
      <c r="B124" s="8" t="s">
        <v>60</v>
      </c>
      <c r="C124" s="8" t="s">
        <v>61</v>
      </c>
      <c r="D124" s="13" t="s">
        <v>192</v>
      </c>
      <c r="E124" s="8" t="e">
        <f>VLOOKUP(D124,#REF!,2,)</f>
        <v>#REF!</v>
      </c>
      <c r="F124" s="3" t="s">
        <v>13</v>
      </c>
      <c r="G124" s="8" t="s">
        <v>42</v>
      </c>
      <c r="H124" s="4"/>
      <c r="I124" s="8" t="s">
        <v>5</v>
      </c>
      <c r="J124" s="8" t="e">
        <f>VLOOKUP(D124,#REF!,7,)</f>
        <v>#REF!</v>
      </c>
      <c r="K124" s="8" t="s">
        <v>5</v>
      </c>
      <c r="L124" s="8" t="s">
        <v>5</v>
      </c>
      <c r="M124" s="8" t="e">
        <f>VLOOKUP(D124,#REF!,10,)</f>
        <v>#REF!</v>
      </c>
    </row>
    <row r="125" spans="1:13" ht="38.25">
      <c r="A125" s="8" t="s">
        <v>3</v>
      </c>
      <c r="B125" s="8" t="s">
        <v>60</v>
      </c>
      <c r="C125" s="8" t="s">
        <v>61</v>
      </c>
      <c r="D125" s="13" t="s">
        <v>229</v>
      </c>
      <c r="E125" s="8" t="e">
        <f>VLOOKUP(D125,#REF!,2,)</f>
        <v>#REF!</v>
      </c>
      <c r="F125" s="3" t="s">
        <v>13</v>
      </c>
      <c r="G125" s="8" t="s">
        <v>59</v>
      </c>
      <c r="H125" s="4"/>
      <c r="I125" s="8"/>
      <c r="J125" s="8" t="e">
        <f>VLOOKUP(D125,#REF!,7,)</f>
        <v>#REF!</v>
      </c>
      <c r="K125" s="8" t="s">
        <v>5</v>
      </c>
      <c r="L125" s="8" t="s">
        <v>5</v>
      </c>
      <c r="M125" s="8" t="e">
        <f>VLOOKUP(D125,#REF!,10,)</f>
        <v>#REF!</v>
      </c>
    </row>
    <row r="126" spans="1:13" ht="38.25">
      <c r="A126" s="8" t="s">
        <v>3</v>
      </c>
      <c r="B126" s="8" t="s">
        <v>60</v>
      </c>
      <c r="C126" s="8" t="s">
        <v>61</v>
      </c>
      <c r="D126" s="13" t="s">
        <v>230</v>
      </c>
      <c r="E126" s="8" t="e">
        <f>VLOOKUP(D126,#REF!,2,)</f>
        <v>#REF!</v>
      </c>
      <c r="F126" s="3" t="s">
        <v>13</v>
      </c>
      <c r="G126" s="8" t="s">
        <v>59</v>
      </c>
      <c r="H126" s="4"/>
      <c r="I126" s="8"/>
      <c r="J126" s="8" t="e">
        <f>VLOOKUP(D126,#REF!,7,)</f>
        <v>#REF!</v>
      </c>
      <c r="K126" s="8" t="s">
        <v>5</v>
      </c>
      <c r="L126" s="8" t="s">
        <v>5</v>
      </c>
      <c r="M126" s="8" t="e">
        <f>VLOOKUP(D126,#REF!,10,)</f>
        <v>#REF!</v>
      </c>
    </row>
    <row r="127" spans="1:13" ht="38.25">
      <c r="A127" s="8" t="s">
        <v>3</v>
      </c>
      <c r="B127" s="8" t="s">
        <v>60</v>
      </c>
      <c r="C127" s="8" t="s">
        <v>61</v>
      </c>
      <c r="D127" s="13" t="s">
        <v>193</v>
      </c>
      <c r="E127" s="8" t="e">
        <f>VLOOKUP(D127,#REF!,2,)</f>
        <v>#REF!</v>
      </c>
      <c r="F127" s="3" t="s">
        <v>13</v>
      </c>
      <c r="G127" s="8" t="s">
        <v>42</v>
      </c>
      <c r="H127" s="4"/>
      <c r="I127" s="8" t="s">
        <v>5</v>
      </c>
      <c r="J127" s="8" t="e">
        <f>VLOOKUP(D127,#REF!,7,)</f>
        <v>#REF!</v>
      </c>
      <c r="K127" s="8" t="s">
        <v>5</v>
      </c>
      <c r="L127" s="8" t="s">
        <v>5</v>
      </c>
      <c r="M127" s="8" t="e">
        <f>VLOOKUP(D127,#REF!,10,)</f>
        <v>#REF!</v>
      </c>
    </row>
    <row r="128" spans="1:13" ht="38.25">
      <c r="A128" s="8" t="s">
        <v>3</v>
      </c>
      <c r="B128" s="8" t="s">
        <v>60</v>
      </c>
      <c r="C128" s="8" t="s">
        <v>61</v>
      </c>
      <c r="D128" s="13" t="s">
        <v>194</v>
      </c>
      <c r="E128" s="8" t="e">
        <f>VLOOKUP(D128,#REF!,2,)</f>
        <v>#REF!</v>
      </c>
      <c r="F128" s="3" t="s">
        <v>13</v>
      </c>
      <c r="G128" s="8" t="s">
        <v>59</v>
      </c>
      <c r="H128" s="4"/>
      <c r="I128" s="8" t="s">
        <v>5</v>
      </c>
      <c r="J128" s="8" t="e">
        <f>VLOOKUP(D128,#REF!,7,)</f>
        <v>#REF!</v>
      </c>
      <c r="K128" s="8" t="s">
        <v>5</v>
      </c>
      <c r="L128" s="8" t="s">
        <v>5</v>
      </c>
      <c r="M128" s="8" t="e">
        <f>VLOOKUP(D128,#REF!,10,)</f>
        <v>#REF!</v>
      </c>
    </row>
    <row r="129" spans="1:13" ht="38.25">
      <c r="A129" s="8" t="s">
        <v>3</v>
      </c>
      <c r="B129" s="8" t="s">
        <v>60</v>
      </c>
      <c r="C129" s="8" t="s">
        <v>61</v>
      </c>
      <c r="D129" s="13" t="s">
        <v>195</v>
      </c>
      <c r="E129" s="8" t="e">
        <f>VLOOKUP(D129,#REF!,2,)</f>
        <v>#REF!</v>
      </c>
      <c r="F129" s="3" t="s">
        <v>13</v>
      </c>
      <c r="G129" s="8" t="s">
        <v>42</v>
      </c>
      <c r="H129" s="4"/>
      <c r="I129" s="8" t="s">
        <v>5</v>
      </c>
      <c r="J129" s="8" t="e">
        <f>VLOOKUP(D129,#REF!,7,)</f>
        <v>#REF!</v>
      </c>
      <c r="K129" s="8" t="s">
        <v>5</v>
      </c>
      <c r="L129" s="8" t="s">
        <v>5</v>
      </c>
      <c r="M129" s="8" t="e">
        <f>VLOOKUP(D129,#REF!,10,)</f>
        <v>#REF!</v>
      </c>
    </row>
    <row r="130" spans="1:13" ht="38.25">
      <c r="A130" s="8" t="s">
        <v>3</v>
      </c>
      <c r="B130" s="8" t="s">
        <v>60</v>
      </c>
      <c r="C130" s="8" t="s">
        <v>61</v>
      </c>
      <c r="D130" s="13" t="s">
        <v>196</v>
      </c>
      <c r="E130" s="8" t="e">
        <f>VLOOKUP(D130,#REF!,2,)</f>
        <v>#REF!</v>
      </c>
      <c r="F130" s="3" t="s">
        <v>13</v>
      </c>
      <c r="G130" s="8" t="s">
        <v>59</v>
      </c>
      <c r="H130" s="4"/>
      <c r="I130" s="8" t="s">
        <v>5</v>
      </c>
      <c r="J130" s="8" t="e">
        <f>VLOOKUP(D130,#REF!,7,)</f>
        <v>#REF!</v>
      </c>
      <c r="K130" s="8" t="s">
        <v>5</v>
      </c>
      <c r="L130" s="8" t="s">
        <v>5</v>
      </c>
      <c r="M130" s="8" t="e">
        <f>VLOOKUP(D130,#REF!,10,)</f>
        <v>#REF!</v>
      </c>
    </row>
    <row r="131" spans="1:13" ht="38.25">
      <c r="A131" s="8" t="s">
        <v>3</v>
      </c>
      <c r="B131" s="8" t="s">
        <v>60</v>
      </c>
      <c r="C131" s="8" t="s">
        <v>61</v>
      </c>
      <c r="D131" s="13" t="s">
        <v>197</v>
      </c>
      <c r="E131" s="8" t="e">
        <f>VLOOKUP(D131,#REF!,2,)</f>
        <v>#REF!</v>
      </c>
      <c r="F131" s="3" t="s">
        <v>13</v>
      </c>
      <c r="G131" s="8" t="s">
        <v>59</v>
      </c>
      <c r="H131" s="4"/>
      <c r="I131" s="8" t="s">
        <v>5</v>
      </c>
      <c r="J131" s="8" t="e">
        <f>VLOOKUP(D131,#REF!,7,)</f>
        <v>#REF!</v>
      </c>
      <c r="K131" s="8" t="s">
        <v>5</v>
      </c>
      <c r="L131" s="8" t="s">
        <v>5</v>
      </c>
      <c r="M131" s="8" t="e">
        <f>VLOOKUP(D131,#REF!,10,)</f>
        <v>#REF!</v>
      </c>
    </row>
    <row r="132" spans="1:13" ht="38.25">
      <c r="A132" s="8" t="s">
        <v>3</v>
      </c>
      <c r="B132" s="8" t="s">
        <v>60</v>
      </c>
      <c r="C132" s="8" t="s">
        <v>61</v>
      </c>
      <c r="D132" s="13" t="s">
        <v>198</v>
      </c>
      <c r="E132" s="8" t="e">
        <f>VLOOKUP(D132,#REF!,2,)</f>
        <v>#REF!</v>
      </c>
      <c r="F132" s="3" t="s">
        <v>13</v>
      </c>
      <c r="G132" s="8" t="s">
        <v>42</v>
      </c>
      <c r="H132" s="4"/>
      <c r="I132" s="8" t="s">
        <v>5</v>
      </c>
      <c r="J132" s="8" t="e">
        <f>VLOOKUP(D132,#REF!,7,)</f>
        <v>#REF!</v>
      </c>
      <c r="K132" s="8" t="s">
        <v>5</v>
      </c>
      <c r="L132" s="8" t="s">
        <v>5</v>
      </c>
      <c r="M132" s="8" t="e">
        <f>VLOOKUP(D132,#REF!,10,)</f>
        <v>#REF!</v>
      </c>
    </row>
    <row r="133" spans="1:13" ht="38.25">
      <c r="A133" s="8" t="s">
        <v>3</v>
      </c>
      <c r="B133" s="8" t="s">
        <v>60</v>
      </c>
      <c r="C133" s="8" t="s">
        <v>61</v>
      </c>
      <c r="D133" s="13" t="s">
        <v>199</v>
      </c>
      <c r="E133" s="8" t="e">
        <f>VLOOKUP(D133,#REF!,2,)</f>
        <v>#REF!</v>
      </c>
      <c r="F133" s="3" t="s">
        <v>13</v>
      </c>
      <c r="G133" s="8" t="s">
        <v>59</v>
      </c>
      <c r="H133" s="4"/>
      <c r="I133" s="8" t="s">
        <v>5</v>
      </c>
      <c r="J133" s="8" t="e">
        <f>VLOOKUP(D133,#REF!,7,)</f>
        <v>#REF!</v>
      </c>
      <c r="K133" s="8" t="s">
        <v>5</v>
      </c>
      <c r="L133" s="8" t="s">
        <v>5</v>
      </c>
      <c r="M133" s="8" t="e">
        <f>VLOOKUP(D133,#REF!,10,)</f>
        <v>#REF!</v>
      </c>
    </row>
    <row r="134" spans="1:13" ht="38.25">
      <c r="A134" s="8" t="s">
        <v>3</v>
      </c>
      <c r="B134" s="8" t="s">
        <v>60</v>
      </c>
      <c r="C134" s="8" t="s">
        <v>61</v>
      </c>
      <c r="D134" s="13" t="s">
        <v>200</v>
      </c>
      <c r="E134" s="8" t="e">
        <f>VLOOKUP(D134,#REF!,2,)</f>
        <v>#REF!</v>
      </c>
      <c r="F134" s="3" t="s">
        <v>13</v>
      </c>
      <c r="G134" s="8" t="s">
        <v>42</v>
      </c>
      <c r="H134" s="4"/>
      <c r="I134" s="8" t="s">
        <v>5</v>
      </c>
      <c r="J134" s="8" t="e">
        <f>VLOOKUP(D134,#REF!,7,)</f>
        <v>#REF!</v>
      </c>
      <c r="K134" s="8" t="s">
        <v>5</v>
      </c>
      <c r="L134" s="8" t="s">
        <v>5</v>
      </c>
      <c r="M134" s="8" t="e">
        <f>VLOOKUP(D134,#REF!,10,)</f>
        <v>#REF!</v>
      </c>
    </row>
    <row r="135" spans="1:13" ht="38.25">
      <c r="A135" s="8" t="s">
        <v>3</v>
      </c>
      <c r="B135" s="8" t="s">
        <v>60</v>
      </c>
      <c r="C135" s="8" t="s">
        <v>61</v>
      </c>
      <c r="D135" s="13" t="s">
        <v>231</v>
      </c>
      <c r="E135" s="8" t="e">
        <f>VLOOKUP(D135,#REF!,2,)</f>
        <v>#REF!</v>
      </c>
      <c r="F135" s="3" t="s">
        <v>13</v>
      </c>
      <c r="G135" s="8" t="s">
        <v>59</v>
      </c>
      <c r="H135" s="4"/>
      <c r="I135" s="8" t="s">
        <v>5</v>
      </c>
      <c r="J135" s="8" t="e">
        <f>VLOOKUP(D135,#REF!,7,)</f>
        <v>#REF!</v>
      </c>
      <c r="K135" s="8" t="s">
        <v>5</v>
      </c>
      <c r="L135" s="8" t="s">
        <v>5</v>
      </c>
      <c r="M135" s="8" t="e">
        <f>VLOOKUP(D135,#REF!,10,)</f>
        <v>#REF!</v>
      </c>
    </row>
    <row r="136" spans="1:13" ht="38.25">
      <c r="A136" s="8" t="s">
        <v>3</v>
      </c>
      <c r="B136" s="8" t="s">
        <v>60</v>
      </c>
      <c r="C136" s="8" t="s">
        <v>61</v>
      </c>
      <c r="D136" s="13" t="s">
        <v>201</v>
      </c>
      <c r="E136" s="8" t="e">
        <f>VLOOKUP(D136,#REF!,2,)</f>
        <v>#REF!</v>
      </c>
      <c r="F136" s="3" t="s">
        <v>13</v>
      </c>
      <c r="G136" s="8" t="s">
        <v>59</v>
      </c>
      <c r="H136" s="4"/>
      <c r="I136" s="8" t="s">
        <v>5</v>
      </c>
      <c r="J136" s="8" t="e">
        <f>VLOOKUP(D136,#REF!,7,)</f>
        <v>#REF!</v>
      </c>
      <c r="K136" s="8" t="s">
        <v>5</v>
      </c>
      <c r="L136" s="8" t="s">
        <v>5</v>
      </c>
      <c r="M136" s="8" t="e">
        <f>VLOOKUP(D136,#REF!,10,)</f>
        <v>#REF!</v>
      </c>
    </row>
    <row r="137" spans="1:13" ht="38.25">
      <c r="A137" s="8" t="s">
        <v>3</v>
      </c>
      <c r="B137" s="8" t="s">
        <v>60</v>
      </c>
      <c r="C137" s="8" t="s">
        <v>61</v>
      </c>
      <c r="D137" s="13" t="s">
        <v>202</v>
      </c>
      <c r="E137" s="8" t="e">
        <f>VLOOKUP(D137,#REF!,2,)</f>
        <v>#REF!</v>
      </c>
      <c r="F137" s="3" t="s">
        <v>13</v>
      </c>
      <c r="G137" s="8" t="s">
        <v>59</v>
      </c>
      <c r="H137" s="4"/>
      <c r="I137" s="8" t="s">
        <v>5</v>
      </c>
      <c r="J137" s="8" t="e">
        <f>VLOOKUP(D137,#REF!,7,)</f>
        <v>#REF!</v>
      </c>
      <c r="K137" s="8" t="s">
        <v>5</v>
      </c>
      <c r="L137" s="8" t="s">
        <v>5</v>
      </c>
      <c r="M137" s="8" t="e">
        <f>VLOOKUP(D137,#REF!,10,)</f>
        <v>#REF!</v>
      </c>
    </row>
    <row r="138" spans="1:13" ht="38.25">
      <c r="A138" s="8" t="s">
        <v>3</v>
      </c>
      <c r="B138" s="8" t="s">
        <v>60</v>
      </c>
      <c r="C138" s="8" t="s">
        <v>61</v>
      </c>
      <c r="D138" s="13" t="s">
        <v>232</v>
      </c>
      <c r="E138" s="8" t="e">
        <f>VLOOKUP(D138,#REF!,2,)</f>
        <v>#REF!</v>
      </c>
      <c r="F138" s="3" t="s">
        <v>13</v>
      </c>
      <c r="G138" s="8" t="s">
        <v>59</v>
      </c>
      <c r="H138" s="4"/>
      <c r="I138" s="8" t="s">
        <v>5</v>
      </c>
      <c r="J138" s="8" t="e">
        <f>VLOOKUP(D138,#REF!,7,)</f>
        <v>#REF!</v>
      </c>
      <c r="K138" s="8" t="s">
        <v>5</v>
      </c>
      <c r="L138" s="8" t="s">
        <v>5</v>
      </c>
      <c r="M138" s="8" t="e">
        <f>VLOOKUP(D138,#REF!,10,)</f>
        <v>#REF!</v>
      </c>
    </row>
    <row r="139" spans="1:13" ht="38.25">
      <c r="A139" s="8" t="s">
        <v>3</v>
      </c>
      <c r="B139" s="8" t="s">
        <v>60</v>
      </c>
      <c r="C139" s="8" t="s">
        <v>61</v>
      </c>
      <c r="D139" s="13" t="s">
        <v>205</v>
      </c>
      <c r="E139" s="8" t="e">
        <f>VLOOKUP(D139,#REF!,2,)</f>
        <v>#REF!</v>
      </c>
      <c r="F139" s="3" t="s">
        <v>13</v>
      </c>
      <c r="G139" s="8" t="s">
        <v>59</v>
      </c>
      <c r="H139" s="4"/>
      <c r="I139" s="8" t="s">
        <v>5</v>
      </c>
      <c r="J139" s="8" t="e">
        <f>VLOOKUP(D139,#REF!,7,)</f>
        <v>#REF!</v>
      </c>
      <c r="K139" s="8" t="s">
        <v>5</v>
      </c>
      <c r="L139" s="8" t="s">
        <v>5</v>
      </c>
      <c r="M139" s="8" t="e">
        <f>VLOOKUP(D139,#REF!,10,)</f>
        <v>#REF!</v>
      </c>
    </row>
    <row r="140" spans="1:13" ht="38.25">
      <c r="A140" s="8" t="s">
        <v>3</v>
      </c>
      <c r="B140" s="8" t="s">
        <v>63</v>
      </c>
      <c r="C140" s="8" t="s">
        <v>68</v>
      </c>
      <c r="D140" s="13" t="s">
        <v>69</v>
      </c>
      <c r="E140" s="8" t="e">
        <f>VLOOKUP(D140,#REF!,2,)</f>
        <v>#REF!</v>
      </c>
      <c r="F140" s="3" t="s">
        <v>13</v>
      </c>
      <c r="G140" s="8" t="s">
        <v>59</v>
      </c>
      <c r="H140" s="4"/>
      <c r="I140" s="8" t="s">
        <v>5</v>
      </c>
      <c r="J140" s="8" t="e">
        <f>VLOOKUP(D140,#REF!,7,)</f>
        <v>#REF!</v>
      </c>
      <c r="K140" s="8" t="s">
        <v>5</v>
      </c>
      <c r="L140" s="8" t="s">
        <v>5</v>
      </c>
      <c r="M140" s="8" t="e">
        <f>VLOOKUP(D140,#REF!,10,)</f>
        <v>#REF!</v>
      </c>
    </row>
    <row r="141" spans="1:13" ht="38.25">
      <c r="A141" s="8" t="s">
        <v>3</v>
      </c>
      <c r="B141" s="8" t="s">
        <v>63</v>
      </c>
      <c r="C141" s="8" t="s">
        <v>68</v>
      </c>
      <c r="D141" s="13" t="s">
        <v>110</v>
      </c>
      <c r="E141" s="8" t="e">
        <f>VLOOKUP(D141,#REF!,2,)</f>
        <v>#REF!</v>
      </c>
      <c r="F141" s="3" t="s">
        <v>13</v>
      </c>
      <c r="G141" s="8" t="s">
        <v>42</v>
      </c>
      <c r="H141" s="4"/>
      <c r="I141" s="8" t="s">
        <v>5</v>
      </c>
      <c r="J141" s="8" t="e">
        <f>VLOOKUP(D141,#REF!,7,)</f>
        <v>#REF!</v>
      </c>
      <c r="K141" s="8" t="s">
        <v>5</v>
      </c>
      <c r="L141" s="8" t="s">
        <v>5</v>
      </c>
      <c r="M141" s="8" t="e">
        <f>VLOOKUP(D141,#REF!,10,)</f>
        <v>#REF!</v>
      </c>
    </row>
    <row r="142" spans="1:13" ht="38.25">
      <c r="A142" s="8" t="s">
        <v>3</v>
      </c>
      <c r="B142" s="8" t="s">
        <v>63</v>
      </c>
      <c r="C142" s="8" t="s">
        <v>68</v>
      </c>
      <c r="D142" s="13" t="s">
        <v>112</v>
      </c>
      <c r="E142" s="8" t="e">
        <f>VLOOKUP(D142,#REF!,2,)</f>
        <v>#REF!</v>
      </c>
      <c r="F142" s="3" t="s">
        <v>13</v>
      </c>
      <c r="G142" s="8" t="s">
        <v>14</v>
      </c>
      <c r="H142" s="4"/>
      <c r="I142" s="8" t="s">
        <v>5</v>
      </c>
      <c r="J142" s="8" t="e">
        <f>VLOOKUP(D142,#REF!,7,)</f>
        <v>#REF!</v>
      </c>
      <c r="K142" s="8" t="s">
        <v>5</v>
      </c>
      <c r="L142" s="8" t="s">
        <v>5</v>
      </c>
      <c r="M142" s="8" t="e">
        <f>VLOOKUP(D142,#REF!,10,)</f>
        <v>#REF!</v>
      </c>
    </row>
    <row r="143" spans="1:13" ht="38.25">
      <c r="A143" s="8" t="s">
        <v>145</v>
      </c>
      <c r="B143" s="8" t="s">
        <v>63</v>
      </c>
      <c r="C143" s="8" t="s">
        <v>68</v>
      </c>
      <c r="D143" s="13" t="s">
        <v>146</v>
      </c>
      <c r="E143" s="8" t="e">
        <f>VLOOKUP(D143,#REF!,2,)</f>
        <v>#REF!</v>
      </c>
      <c r="F143" s="3" t="s">
        <v>13</v>
      </c>
      <c r="G143" s="8" t="s">
        <v>14</v>
      </c>
      <c r="H143" s="4"/>
      <c r="I143" s="8" t="s">
        <v>5</v>
      </c>
      <c r="J143" s="8" t="e">
        <f>VLOOKUP(D143,#REF!,7,)</f>
        <v>#REF!</v>
      </c>
      <c r="K143" s="8" t="s">
        <v>5</v>
      </c>
      <c r="L143" s="8" t="s">
        <v>5</v>
      </c>
      <c r="M143" s="8" t="e">
        <f>VLOOKUP(D143,#REF!,10,)</f>
        <v>#REF!</v>
      </c>
    </row>
    <row r="144" spans="1:13" ht="38.25">
      <c r="A144" s="8" t="s">
        <v>145</v>
      </c>
      <c r="B144" s="8" t="s">
        <v>63</v>
      </c>
      <c r="C144" s="8" t="s">
        <v>68</v>
      </c>
      <c r="D144" s="13" t="s">
        <v>147</v>
      </c>
      <c r="E144" s="8" t="e">
        <f>VLOOKUP(D144,#REF!,2,)</f>
        <v>#REF!</v>
      </c>
      <c r="F144" s="3" t="s">
        <v>13</v>
      </c>
      <c r="G144" s="8" t="s">
        <v>42</v>
      </c>
      <c r="H144" s="4"/>
      <c r="I144" s="8" t="s">
        <v>5</v>
      </c>
      <c r="J144" s="8" t="e">
        <f>VLOOKUP(D144,#REF!,7,)</f>
        <v>#REF!</v>
      </c>
      <c r="K144" s="8" t="s">
        <v>5</v>
      </c>
      <c r="L144" s="8" t="s">
        <v>5</v>
      </c>
      <c r="M144" s="8" t="e">
        <f>VLOOKUP(D144,#REF!,10,)</f>
        <v>#REF!</v>
      </c>
    </row>
    <row r="145" spans="1:13" ht="38.25">
      <c r="A145" s="8" t="s">
        <v>145</v>
      </c>
      <c r="B145" s="8" t="s">
        <v>63</v>
      </c>
      <c r="C145" s="8" t="s">
        <v>68</v>
      </c>
      <c r="D145" s="13" t="s">
        <v>148</v>
      </c>
      <c r="E145" s="8" t="e">
        <f>VLOOKUP(D145,#REF!,2,)</f>
        <v>#REF!</v>
      </c>
      <c r="F145" s="3" t="s">
        <v>13</v>
      </c>
      <c r="G145" s="8" t="s">
        <v>42</v>
      </c>
      <c r="H145" s="4"/>
      <c r="I145" s="8" t="s">
        <v>5</v>
      </c>
      <c r="J145" s="8" t="e">
        <f>VLOOKUP(D145,#REF!,7,)</f>
        <v>#REF!</v>
      </c>
      <c r="K145" s="8" t="s">
        <v>5</v>
      </c>
      <c r="L145" s="8" t="s">
        <v>5</v>
      </c>
      <c r="M145" s="8" t="e">
        <f>VLOOKUP(D145,#REF!,10,)</f>
        <v>#REF!</v>
      </c>
    </row>
    <row r="146" spans="1:13" ht="38.25">
      <c r="A146" s="8" t="s">
        <v>145</v>
      </c>
      <c r="B146" s="8" t="s">
        <v>63</v>
      </c>
      <c r="C146" s="8" t="s">
        <v>68</v>
      </c>
      <c r="D146" s="13" t="s">
        <v>149</v>
      </c>
      <c r="E146" s="8" t="e">
        <f>VLOOKUP(D146,#REF!,2,)</f>
        <v>#REF!</v>
      </c>
      <c r="F146" s="3" t="s">
        <v>13</v>
      </c>
      <c r="G146" s="8" t="s">
        <v>14</v>
      </c>
      <c r="H146" s="4"/>
      <c r="I146" s="8"/>
      <c r="J146" s="8" t="e">
        <f>VLOOKUP(D146,#REF!,7,)</f>
        <v>#REF!</v>
      </c>
      <c r="K146" s="8" t="s">
        <v>5</v>
      </c>
      <c r="L146" s="8" t="s">
        <v>5</v>
      </c>
      <c r="M146" s="8" t="e">
        <f>VLOOKUP(D146,#REF!,10,)</f>
        <v>#REF!</v>
      </c>
    </row>
    <row r="147" spans="1:13" ht="38.25">
      <c r="A147" s="8" t="s">
        <v>145</v>
      </c>
      <c r="B147" s="8" t="s">
        <v>63</v>
      </c>
      <c r="C147" s="8" t="s">
        <v>68</v>
      </c>
      <c r="D147" s="13" t="s">
        <v>150</v>
      </c>
      <c r="E147" s="8" t="e">
        <f>VLOOKUP(D147,#REF!,2,)</f>
        <v>#REF!</v>
      </c>
      <c r="F147" s="3" t="s">
        <v>13</v>
      </c>
      <c r="G147" s="8" t="s">
        <v>42</v>
      </c>
      <c r="H147" s="4"/>
      <c r="I147" s="8" t="s">
        <v>5</v>
      </c>
      <c r="J147" s="8" t="e">
        <f>VLOOKUP(D147,#REF!,7,)</f>
        <v>#REF!</v>
      </c>
      <c r="K147" s="8" t="s">
        <v>5</v>
      </c>
      <c r="L147" s="8" t="s">
        <v>5</v>
      </c>
      <c r="M147" s="8" t="e">
        <f>VLOOKUP(D147,#REF!,10,)</f>
        <v>#REF!</v>
      </c>
    </row>
    <row r="148" spans="1:13" ht="38.25">
      <c r="A148" s="8" t="s">
        <v>145</v>
      </c>
      <c r="B148" s="8" t="s">
        <v>63</v>
      </c>
      <c r="C148" s="8" t="s">
        <v>68</v>
      </c>
      <c r="D148" s="13" t="s">
        <v>151</v>
      </c>
      <c r="E148" s="8" t="e">
        <f>VLOOKUP(D148,#REF!,2,)</f>
        <v>#REF!</v>
      </c>
      <c r="F148" s="3" t="s">
        <v>13</v>
      </c>
      <c r="G148" s="8" t="s">
        <v>42</v>
      </c>
      <c r="H148" s="4"/>
      <c r="I148" s="8" t="s">
        <v>5</v>
      </c>
      <c r="J148" s="8" t="e">
        <f>VLOOKUP(D148,#REF!,7,)</f>
        <v>#REF!</v>
      </c>
      <c r="K148" s="8" t="s">
        <v>5</v>
      </c>
      <c r="L148" s="8" t="s">
        <v>5</v>
      </c>
      <c r="M148" s="8" t="e">
        <f>VLOOKUP(D148,#REF!,10,)</f>
        <v>#REF!</v>
      </c>
    </row>
    <row r="149" spans="1:13" ht="38.25">
      <c r="A149" s="8" t="s">
        <v>145</v>
      </c>
      <c r="B149" s="8" t="s">
        <v>63</v>
      </c>
      <c r="C149" s="8" t="s">
        <v>68</v>
      </c>
      <c r="D149" s="13" t="s">
        <v>152</v>
      </c>
      <c r="E149" s="8" t="e">
        <f>VLOOKUP(D149,#REF!,2,)</f>
        <v>#REF!</v>
      </c>
      <c r="F149" s="3" t="s">
        <v>13</v>
      </c>
      <c r="G149" s="8" t="s">
        <v>42</v>
      </c>
      <c r="H149" s="4"/>
      <c r="I149" s="8" t="s">
        <v>5</v>
      </c>
      <c r="J149" s="8" t="e">
        <f>VLOOKUP(D149,#REF!,7,)</f>
        <v>#REF!</v>
      </c>
      <c r="K149" s="8" t="s">
        <v>5</v>
      </c>
      <c r="L149" s="8" t="s">
        <v>5</v>
      </c>
      <c r="M149" s="8" t="e">
        <f>VLOOKUP(D149,#REF!,10,)</f>
        <v>#REF!</v>
      </c>
    </row>
    <row r="150" spans="1:13" ht="38.25">
      <c r="A150" s="8" t="s">
        <v>145</v>
      </c>
      <c r="B150" s="8" t="s">
        <v>63</v>
      </c>
      <c r="C150" s="8" t="s">
        <v>68</v>
      </c>
      <c r="D150" s="13" t="s">
        <v>153</v>
      </c>
      <c r="E150" s="8" t="e">
        <f>VLOOKUP(D150,#REF!,2,)</f>
        <v>#REF!</v>
      </c>
      <c r="F150" s="3" t="s">
        <v>13</v>
      </c>
      <c r="G150" s="8" t="s">
        <v>42</v>
      </c>
      <c r="H150" s="4"/>
      <c r="I150" s="8" t="s">
        <v>5</v>
      </c>
      <c r="J150" s="8" t="e">
        <f>VLOOKUP(D150,#REF!,7,)</f>
        <v>#REF!</v>
      </c>
      <c r="K150" s="8" t="s">
        <v>5</v>
      </c>
      <c r="L150" s="8" t="s">
        <v>5</v>
      </c>
      <c r="M150" s="8" t="e">
        <f>VLOOKUP(D150,#REF!,10,)</f>
        <v>#REF!</v>
      </c>
    </row>
    <row r="151" spans="1:13" ht="38.25">
      <c r="A151" s="8" t="s">
        <v>145</v>
      </c>
      <c r="B151" s="8" t="s">
        <v>63</v>
      </c>
      <c r="C151" s="8" t="s">
        <v>68</v>
      </c>
      <c r="D151" s="13" t="s">
        <v>176</v>
      </c>
      <c r="E151" s="8" t="e">
        <f>VLOOKUP(D151,#REF!,2,)</f>
        <v>#REF!</v>
      </c>
      <c r="F151" s="3" t="s">
        <v>13</v>
      </c>
      <c r="G151" s="8" t="s">
        <v>42</v>
      </c>
      <c r="H151" s="4"/>
      <c r="I151" s="8" t="s">
        <v>5</v>
      </c>
      <c r="J151" s="8" t="e">
        <f>VLOOKUP(D151,#REF!,7,)</f>
        <v>#REF!</v>
      </c>
      <c r="K151" s="8" t="s">
        <v>5</v>
      </c>
      <c r="L151" s="8" t="s">
        <v>5</v>
      </c>
      <c r="M151" s="8" t="e">
        <f>VLOOKUP(D151,#REF!,10,)</f>
        <v>#REF!</v>
      </c>
    </row>
    <row r="152" spans="1:13" ht="38.25">
      <c r="A152" s="8" t="s">
        <v>145</v>
      </c>
      <c r="B152" s="8" t="s">
        <v>63</v>
      </c>
      <c r="C152" s="8" t="s">
        <v>68</v>
      </c>
      <c r="D152" s="13" t="s">
        <v>177</v>
      </c>
      <c r="E152" s="8" t="e">
        <f>VLOOKUP(D152,#REF!,2,)</f>
        <v>#REF!</v>
      </c>
      <c r="F152" s="3" t="s">
        <v>13</v>
      </c>
      <c r="G152" s="8" t="s">
        <v>42</v>
      </c>
      <c r="H152" s="4"/>
      <c r="I152" s="8" t="s">
        <v>5</v>
      </c>
      <c r="J152" s="8" t="e">
        <f>VLOOKUP(D152,#REF!,7,)</f>
        <v>#REF!</v>
      </c>
      <c r="K152" s="8" t="s">
        <v>5</v>
      </c>
      <c r="L152" s="8" t="s">
        <v>5</v>
      </c>
      <c r="M152" s="8" t="e">
        <f>VLOOKUP(D152,#REF!,10,)</f>
        <v>#REF!</v>
      </c>
    </row>
    <row r="153" spans="1:13" ht="38.25">
      <c r="A153" s="8" t="s">
        <v>145</v>
      </c>
      <c r="B153" s="8" t="s">
        <v>63</v>
      </c>
      <c r="C153" s="8" t="s">
        <v>68</v>
      </c>
      <c r="D153" s="13" t="s">
        <v>178</v>
      </c>
      <c r="E153" s="8" t="e">
        <f>VLOOKUP(D153,#REF!,2,)</f>
        <v>#REF!</v>
      </c>
      <c r="F153" s="3" t="s">
        <v>13</v>
      </c>
      <c r="G153" s="8" t="s">
        <v>42</v>
      </c>
      <c r="H153" s="4"/>
      <c r="I153" s="8" t="s">
        <v>5</v>
      </c>
      <c r="J153" s="8" t="e">
        <f>VLOOKUP(D153,#REF!,7,)</f>
        <v>#REF!</v>
      </c>
      <c r="K153" s="8" t="s">
        <v>5</v>
      </c>
      <c r="L153" s="8" t="s">
        <v>5</v>
      </c>
      <c r="M153" s="8" t="e">
        <f>VLOOKUP(D153,#REF!,10,)</f>
        <v>#REF!</v>
      </c>
    </row>
    <row r="154" spans="1:13" ht="38.25">
      <c r="A154" s="8" t="s">
        <v>145</v>
      </c>
      <c r="B154" s="8" t="s">
        <v>63</v>
      </c>
      <c r="C154" s="8" t="s">
        <v>68</v>
      </c>
      <c r="D154" s="13" t="s">
        <v>220</v>
      </c>
      <c r="E154" s="8" t="e">
        <f>VLOOKUP(D154,#REF!,2,)</f>
        <v>#REF!</v>
      </c>
      <c r="F154" s="3" t="s">
        <v>13</v>
      </c>
      <c r="G154" s="8" t="s">
        <v>42</v>
      </c>
      <c r="H154" s="4"/>
      <c r="I154" s="8" t="s">
        <v>5</v>
      </c>
      <c r="J154" s="8" t="e">
        <f>VLOOKUP(D154,#REF!,7,)</f>
        <v>#REF!</v>
      </c>
      <c r="K154" s="8" t="s">
        <v>5</v>
      </c>
      <c r="L154" s="8" t="s">
        <v>5</v>
      </c>
      <c r="M154" s="8" t="e">
        <f>VLOOKUP(D154,#REF!,10,)</f>
        <v>#REF!</v>
      </c>
    </row>
    <row r="155" spans="1:13" ht="38.25">
      <c r="A155" s="8" t="s">
        <v>145</v>
      </c>
      <c r="B155" s="8" t="s">
        <v>63</v>
      </c>
      <c r="C155" s="8" t="s">
        <v>68</v>
      </c>
      <c r="D155" s="13" t="s">
        <v>179</v>
      </c>
      <c r="E155" s="8" t="e">
        <f>VLOOKUP(D155,#REF!,2,)</f>
        <v>#REF!</v>
      </c>
      <c r="F155" s="3" t="s">
        <v>13</v>
      </c>
      <c r="G155" s="8" t="s">
        <v>42</v>
      </c>
      <c r="H155" s="4"/>
      <c r="I155" s="8" t="s">
        <v>5</v>
      </c>
      <c r="J155" s="8" t="e">
        <f>VLOOKUP(D155,#REF!,7,)</f>
        <v>#REF!</v>
      </c>
      <c r="K155" s="8" t="s">
        <v>5</v>
      </c>
      <c r="L155" s="8" t="s">
        <v>5</v>
      </c>
      <c r="M155" s="8" t="e">
        <f>VLOOKUP(D155,#REF!,10,)</f>
        <v>#REF!</v>
      </c>
    </row>
    <row r="156" spans="1:13" ht="38.25">
      <c r="A156" s="8" t="s">
        <v>175</v>
      </c>
      <c r="B156" s="8" t="s">
        <v>63</v>
      </c>
      <c r="C156" s="8" t="s">
        <v>68</v>
      </c>
      <c r="D156" s="13" t="s">
        <v>154</v>
      </c>
      <c r="E156" s="8" t="e">
        <f>VLOOKUP(D156,#REF!,2,)</f>
        <v>#REF!</v>
      </c>
      <c r="F156" s="3" t="s">
        <v>13</v>
      </c>
      <c r="G156" s="8" t="s">
        <v>42</v>
      </c>
      <c r="H156" s="4"/>
      <c r="I156" s="8" t="s">
        <v>5</v>
      </c>
      <c r="J156" s="8" t="e">
        <f>VLOOKUP(D156,#REF!,7,)</f>
        <v>#REF!</v>
      </c>
      <c r="K156" s="8" t="s">
        <v>5</v>
      </c>
      <c r="L156" s="8" t="s">
        <v>5</v>
      </c>
      <c r="M156" s="8" t="e">
        <f>VLOOKUP(D156,#REF!,10,)</f>
        <v>#REF!</v>
      </c>
    </row>
    <row r="157" spans="1:13" ht="12.75">
      <c r="A157" s="8" t="s">
        <v>145</v>
      </c>
      <c r="B157" s="4"/>
      <c r="C157" s="4"/>
      <c r="D157" s="13" t="s">
        <v>207</v>
      </c>
      <c r="E157" s="8" t="e">
        <f>VLOOKUP(D157,#REF!,2,)</f>
        <v>#REF!</v>
      </c>
      <c r="F157" s="9"/>
      <c r="G157" s="4"/>
      <c r="H157" s="4"/>
      <c r="I157" s="8" t="s">
        <v>234</v>
      </c>
      <c r="J157" s="8" t="e">
        <f>VLOOKUP(D157,#REF!,7,)</f>
        <v>#REF!</v>
      </c>
      <c r="K157" s="8" t="s">
        <v>234</v>
      </c>
      <c r="L157" s="8" t="s">
        <v>234</v>
      </c>
      <c r="M157" s="8" t="e">
        <f>VLOOKUP(D157,#REF!,10,)</f>
        <v>#REF!</v>
      </c>
    </row>
    <row r="158" spans="1:13" ht="25.5">
      <c r="A158" s="1" t="s">
        <v>3</v>
      </c>
      <c r="B158" s="8" t="s">
        <v>11</v>
      </c>
      <c r="C158" s="8" t="s">
        <v>12</v>
      </c>
      <c r="D158" s="13" t="s">
        <v>206</v>
      </c>
      <c r="E158" s="8" t="e">
        <f>VLOOKUP(D158,#REF!,2,)</f>
        <v>#REF!</v>
      </c>
      <c r="F158" s="3" t="s">
        <v>13</v>
      </c>
      <c r="G158" s="8" t="s">
        <v>210</v>
      </c>
      <c r="H158" s="4"/>
      <c r="I158" s="8" t="s">
        <v>5</v>
      </c>
      <c r="J158" s="8" t="e">
        <f>VLOOKUP(D158,#REF!,7,)</f>
        <v>#REF!</v>
      </c>
      <c r="K158" s="8" t="s">
        <v>5</v>
      </c>
      <c r="L158" s="8" t="s">
        <v>5</v>
      </c>
      <c r="M158" s="8" t="e">
        <f>VLOOKUP(D158,#REF!,10,)</f>
        <v>#REF!</v>
      </c>
    </row>
    <row r="159" spans="1:13" ht="25.5">
      <c r="A159" s="8" t="s">
        <v>3</v>
      </c>
      <c r="B159" s="8" t="s">
        <v>11</v>
      </c>
      <c r="C159" s="8" t="s">
        <v>15</v>
      </c>
      <c r="D159" s="8" t="s">
        <v>235</v>
      </c>
      <c r="E159" s="8" t="e">
        <f>VLOOKUP(D159,#REF!,2,)</f>
        <v>#REF!</v>
      </c>
      <c r="F159" s="3" t="s">
        <v>13</v>
      </c>
      <c r="G159" s="3"/>
      <c r="H159" s="4"/>
      <c r="I159" s="8" t="s">
        <v>5</v>
      </c>
      <c r="J159" s="8" t="e">
        <f>VLOOKUP(D159,#REF!,7,)</f>
        <v>#REF!</v>
      </c>
      <c r="K159" s="8" t="s">
        <v>5</v>
      </c>
      <c r="L159" s="8" t="s">
        <v>5</v>
      </c>
      <c r="M159" s="8" t="e">
        <f>VLOOKUP(D159,#REF!,10,)</f>
        <v>#REF!</v>
      </c>
    </row>
    <row r="160" spans="1:13" ht="12.75">
      <c r="D160" s="28"/>
    </row>
    <row r="161" spans="4:4" ht="12.75">
      <c r="D161" s="28"/>
    </row>
    <row r="162" spans="4:4" ht="12.75">
      <c r="D162" s="28"/>
    </row>
    <row r="163" spans="4:4" ht="12.75">
      <c r="D163" s="28"/>
    </row>
    <row r="164" spans="4:4" ht="12.75">
      <c r="D164" s="28"/>
    </row>
    <row r="165" spans="4:4" ht="12.75">
      <c r="D165" s="28"/>
    </row>
    <row r="166" spans="4:4" ht="12.75">
      <c r="D166" s="28"/>
    </row>
    <row r="167" spans="4:4" ht="12.75">
      <c r="D167" s="28"/>
    </row>
    <row r="168" spans="4:4" ht="12.75">
      <c r="D168" s="28"/>
    </row>
    <row r="169" spans="4:4" ht="12.75">
      <c r="D169" s="28"/>
    </row>
    <row r="170" spans="4:4" ht="12.75">
      <c r="D170" s="28"/>
    </row>
    <row r="171" spans="4:4" ht="12.75">
      <c r="D171" s="28"/>
    </row>
    <row r="172" spans="4:4" ht="12.75">
      <c r="D172" s="28"/>
    </row>
    <row r="173" spans="4:4" ht="12.75">
      <c r="D173" s="28"/>
    </row>
    <row r="174" spans="4:4" ht="12.75">
      <c r="D174" s="28"/>
    </row>
    <row r="175" spans="4:4" ht="12.75">
      <c r="D175" s="28"/>
    </row>
    <row r="176" spans="4:4" ht="12.75">
      <c r="D176" s="28"/>
    </row>
    <row r="177" spans="4:4" ht="12.75">
      <c r="D177" s="28"/>
    </row>
    <row r="178" spans="4:4" ht="12.75">
      <c r="D178" s="28"/>
    </row>
    <row r="179" spans="4:4" ht="12.75">
      <c r="D179" s="28"/>
    </row>
    <row r="180" spans="4:4" ht="12.75">
      <c r="D180" s="28"/>
    </row>
    <row r="181" spans="4:4" ht="12.75">
      <c r="D181" s="28"/>
    </row>
    <row r="182" spans="4:4" ht="12.75">
      <c r="D182" s="28"/>
    </row>
    <row r="183" spans="4:4" ht="12.75">
      <c r="D183" s="28"/>
    </row>
    <row r="184" spans="4:4" ht="12.75">
      <c r="D184" s="28"/>
    </row>
    <row r="185" spans="4:4" ht="12.75">
      <c r="D185" s="28"/>
    </row>
    <row r="186" spans="4:4" ht="12.75">
      <c r="D186" s="28"/>
    </row>
    <row r="187" spans="4:4" ht="12.75">
      <c r="D187" s="28"/>
    </row>
    <row r="188" spans="4:4" ht="12.75">
      <c r="D188" s="28"/>
    </row>
    <row r="189" spans="4:4" ht="12.75">
      <c r="D189" s="28"/>
    </row>
    <row r="190" spans="4:4" ht="12.75">
      <c r="D190" s="28"/>
    </row>
    <row r="191" spans="4:4" ht="12.75">
      <c r="D191" s="28"/>
    </row>
    <row r="192" spans="4:4" ht="12.75">
      <c r="D192" s="28"/>
    </row>
    <row r="193" spans="4:4" ht="12.75">
      <c r="D193" s="28"/>
    </row>
    <row r="194" spans="4:4" ht="12.75">
      <c r="D194" s="28"/>
    </row>
    <row r="195" spans="4:4" ht="12.75">
      <c r="D195" s="28"/>
    </row>
    <row r="196" spans="4:4" ht="12.75">
      <c r="D196" s="28"/>
    </row>
    <row r="197" spans="4:4" ht="12.75">
      <c r="D197" s="28"/>
    </row>
    <row r="198" spans="4:4" ht="12.75">
      <c r="D198" s="28"/>
    </row>
    <row r="199" spans="4:4" ht="12.75">
      <c r="D199" s="28"/>
    </row>
    <row r="200" spans="4:4" ht="12.75">
      <c r="D200" s="28"/>
    </row>
    <row r="201" spans="4:4" ht="12.75">
      <c r="D201" s="28"/>
    </row>
    <row r="202" spans="4:4" ht="12.75">
      <c r="D202" s="28"/>
    </row>
    <row r="203" spans="4:4" ht="12.75">
      <c r="D203" s="28"/>
    </row>
    <row r="204" spans="4:4" ht="12.75">
      <c r="D204" s="28"/>
    </row>
    <row r="205" spans="4:4" ht="12.75">
      <c r="D205" s="28"/>
    </row>
    <row r="206" spans="4:4" ht="12.75">
      <c r="D206" s="28"/>
    </row>
    <row r="207" spans="4:4" ht="12.75">
      <c r="D207" s="28"/>
    </row>
    <row r="208" spans="4:4" ht="12.75">
      <c r="D208" s="28"/>
    </row>
    <row r="209" spans="4:4" ht="12.75">
      <c r="D209" s="28"/>
    </row>
    <row r="210" spans="4:4" ht="12.75">
      <c r="D210" s="28"/>
    </row>
    <row r="211" spans="4:4" ht="12.75">
      <c r="D211" s="28"/>
    </row>
    <row r="212" spans="4:4" ht="12.75">
      <c r="D212" s="28"/>
    </row>
    <row r="213" spans="4:4" ht="12.75">
      <c r="D213" s="28"/>
    </row>
    <row r="214" spans="4:4" ht="12.75">
      <c r="D214" s="28"/>
    </row>
    <row r="215" spans="4:4" ht="12.75">
      <c r="D215" s="28"/>
    </row>
    <row r="216" spans="4:4" ht="12.75">
      <c r="D216" s="28"/>
    </row>
    <row r="217" spans="4:4" ht="12.75">
      <c r="D217" s="28"/>
    </row>
    <row r="218" spans="4:4" ht="12.75">
      <c r="D218" s="28"/>
    </row>
    <row r="219" spans="4:4" ht="12.75">
      <c r="D219" s="28"/>
    </row>
    <row r="220" spans="4:4" ht="12.75">
      <c r="D220" s="28"/>
    </row>
    <row r="221" spans="4:4" ht="12.75">
      <c r="D221" s="28"/>
    </row>
    <row r="222" spans="4:4" ht="12.75">
      <c r="D222" s="28"/>
    </row>
    <row r="223" spans="4:4" ht="12.75">
      <c r="D223" s="28"/>
    </row>
    <row r="224" spans="4:4" ht="12.75">
      <c r="D224" s="28"/>
    </row>
    <row r="225" spans="4:4" ht="12.75">
      <c r="D225" s="28"/>
    </row>
    <row r="226" spans="4:4" ht="12.75">
      <c r="D226" s="28"/>
    </row>
    <row r="227" spans="4:4" ht="12.75">
      <c r="D227" s="28"/>
    </row>
    <row r="228" spans="4:4" ht="12.75">
      <c r="D228" s="28"/>
    </row>
    <row r="229" spans="4:4" ht="12.75">
      <c r="D229" s="28"/>
    </row>
    <row r="230" spans="4:4" ht="12.75">
      <c r="D230" s="28"/>
    </row>
    <row r="231" spans="4:4" ht="12.75">
      <c r="D231" s="28"/>
    </row>
    <row r="232" spans="4:4" ht="12.75">
      <c r="D232" s="28"/>
    </row>
    <row r="233" spans="4:4" ht="12.75">
      <c r="D233" s="28"/>
    </row>
    <row r="234" spans="4:4" ht="12.75">
      <c r="D234" s="28"/>
    </row>
    <row r="235" spans="4:4" ht="12.75">
      <c r="D235" s="28"/>
    </row>
    <row r="236" spans="4:4" ht="12.75">
      <c r="D236" s="28"/>
    </row>
    <row r="237" spans="4:4" ht="12.75">
      <c r="D237" s="28"/>
    </row>
    <row r="238" spans="4:4" ht="12.75">
      <c r="D238" s="28"/>
    </row>
    <row r="239" spans="4:4" ht="12.75">
      <c r="D239" s="28"/>
    </row>
    <row r="240" spans="4:4" ht="12.75">
      <c r="D240" s="28"/>
    </row>
    <row r="241" spans="4:4" ht="12.75">
      <c r="D241" s="28"/>
    </row>
    <row r="242" spans="4:4" ht="12.75">
      <c r="D242" s="28"/>
    </row>
    <row r="243" spans="4:4" ht="12.75">
      <c r="D243" s="28"/>
    </row>
    <row r="244" spans="4:4" ht="12.75">
      <c r="D244" s="28"/>
    </row>
    <row r="245" spans="4:4" ht="12.75">
      <c r="D245" s="28"/>
    </row>
    <row r="246" spans="4:4" ht="12.75">
      <c r="D246" s="28"/>
    </row>
    <row r="247" spans="4:4" ht="12.75">
      <c r="D247" s="28"/>
    </row>
    <row r="248" spans="4:4" ht="12.75">
      <c r="D248" s="28"/>
    </row>
    <row r="249" spans="4:4" ht="12.75">
      <c r="D249" s="28"/>
    </row>
    <row r="250" spans="4:4" ht="12.75">
      <c r="D250" s="28"/>
    </row>
    <row r="251" spans="4:4" ht="12.75">
      <c r="D251" s="28"/>
    </row>
    <row r="252" spans="4:4" ht="12.75">
      <c r="D252" s="28"/>
    </row>
    <row r="253" spans="4:4" ht="12.75">
      <c r="D253" s="28"/>
    </row>
    <row r="254" spans="4:4" ht="12.75">
      <c r="D254" s="28"/>
    </row>
    <row r="255" spans="4:4" ht="12.75">
      <c r="D255" s="28"/>
    </row>
    <row r="256" spans="4:4" ht="12.75">
      <c r="D256" s="28"/>
    </row>
    <row r="257" spans="4:4" ht="12.75">
      <c r="D257" s="28"/>
    </row>
    <row r="258" spans="4:4" ht="12.75">
      <c r="D258" s="28"/>
    </row>
    <row r="259" spans="4:4" ht="12.75">
      <c r="D259" s="28"/>
    </row>
    <row r="260" spans="4:4" ht="12.75">
      <c r="D260" s="28"/>
    </row>
    <row r="261" spans="4:4" ht="12.75">
      <c r="D261" s="28"/>
    </row>
    <row r="262" spans="4:4" ht="12.75">
      <c r="D262" s="28"/>
    </row>
    <row r="263" spans="4:4" ht="12.75">
      <c r="D263" s="28"/>
    </row>
    <row r="264" spans="4:4" ht="12.75">
      <c r="D264" s="28"/>
    </row>
    <row r="265" spans="4:4" ht="12.75">
      <c r="D265" s="28"/>
    </row>
    <row r="266" spans="4:4" ht="12.75">
      <c r="D266" s="28"/>
    </row>
    <row r="267" spans="4:4" ht="12.75">
      <c r="D267" s="28"/>
    </row>
    <row r="268" spans="4:4" ht="12.75">
      <c r="D268" s="28"/>
    </row>
    <row r="269" spans="4:4" ht="12.75">
      <c r="D269" s="28"/>
    </row>
    <row r="270" spans="4:4" ht="12.75">
      <c r="D270" s="28"/>
    </row>
    <row r="271" spans="4:4" ht="12.75">
      <c r="D271" s="28"/>
    </row>
    <row r="272" spans="4:4" ht="12.75">
      <c r="D272" s="28"/>
    </row>
    <row r="273" spans="4:4" ht="12.75">
      <c r="D273" s="28"/>
    </row>
    <row r="274" spans="4:4" ht="12.75">
      <c r="D274" s="28"/>
    </row>
    <row r="275" spans="4:4" ht="12.75">
      <c r="D275" s="28"/>
    </row>
    <row r="276" spans="4:4" ht="12.75">
      <c r="D276" s="28"/>
    </row>
    <row r="277" spans="4:4" ht="12.75">
      <c r="D277" s="28"/>
    </row>
    <row r="278" spans="4:4" ht="12.75">
      <c r="D278" s="28"/>
    </row>
    <row r="279" spans="4:4" ht="12.75">
      <c r="D279" s="28"/>
    </row>
    <row r="280" spans="4:4" ht="12.75">
      <c r="D280" s="28"/>
    </row>
    <row r="281" spans="4:4" ht="12.75">
      <c r="D281" s="28"/>
    </row>
    <row r="282" spans="4:4" ht="12.75">
      <c r="D282" s="28"/>
    </row>
    <row r="283" spans="4:4" ht="12.75">
      <c r="D283" s="28"/>
    </row>
    <row r="284" spans="4:4" ht="12.75">
      <c r="D284" s="28"/>
    </row>
    <row r="285" spans="4:4" ht="12.75">
      <c r="D285" s="28"/>
    </row>
    <row r="286" spans="4:4" ht="12.75">
      <c r="D286" s="28"/>
    </row>
    <row r="287" spans="4:4" ht="12.75">
      <c r="D287" s="28"/>
    </row>
    <row r="288" spans="4:4" ht="12.75">
      <c r="D288" s="28"/>
    </row>
    <row r="289" spans="4:4" ht="12.75">
      <c r="D289" s="28"/>
    </row>
    <row r="290" spans="4:4" ht="12.75">
      <c r="D290" s="28"/>
    </row>
    <row r="291" spans="4:4" ht="12.75">
      <c r="D291" s="28"/>
    </row>
    <row r="292" spans="4:4" ht="12.75">
      <c r="D292" s="28"/>
    </row>
    <row r="293" spans="4:4" ht="12.75">
      <c r="D293" s="28"/>
    </row>
    <row r="294" spans="4:4" ht="12.75">
      <c r="D294" s="28"/>
    </row>
    <row r="295" spans="4:4" ht="12.75">
      <c r="D295" s="28"/>
    </row>
    <row r="296" spans="4:4" ht="12.75">
      <c r="D296" s="28"/>
    </row>
    <row r="297" spans="4:4" ht="12.75">
      <c r="D297" s="28"/>
    </row>
    <row r="298" spans="4:4" ht="12.75">
      <c r="D298" s="28"/>
    </row>
    <row r="299" spans="4:4" ht="12.75">
      <c r="D299" s="28"/>
    </row>
    <row r="300" spans="4:4" ht="12.75">
      <c r="D300" s="28"/>
    </row>
    <row r="301" spans="4:4" ht="12.75">
      <c r="D301" s="28"/>
    </row>
    <row r="302" spans="4:4" ht="12.75">
      <c r="D302" s="28"/>
    </row>
    <row r="303" spans="4:4" ht="12.75">
      <c r="D303" s="28"/>
    </row>
    <row r="304" spans="4:4" ht="12.75">
      <c r="D304" s="28"/>
    </row>
    <row r="305" spans="4:4" ht="12.75">
      <c r="D305" s="28"/>
    </row>
    <row r="306" spans="4:4" ht="12.75">
      <c r="D306" s="28"/>
    </row>
    <row r="307" spans="4:4" ht="12.75">
      <c r="D307" s="28"/>
    </row>
    <row r="308" spans="4:4" ht="12.75">
      <c r="D308" s="28"/>
    </row>
    <row r="309" spans="4:4" ht="12.75">
      <c r="D309" s="28"/>
    </row>
    <row r="310" spans="4:4" ht="12.75">
      <c r="D310" s="28"/>
    </row>
    <row r="311" spans="4:4" ht="12.75">
      <c r="D311" s="28"/>
    </row>
    <row r="312" spans="4:4" ht="12.75">
      <c r="D312" s="28"/>
    </row>
    <row r="313" spans="4:4" ht="12.75">
      <c r="D313" s="28"/>
    </row>
    <row r="314" spans="4:4" ht="12.75">
      <c r="D314" s="28"/>
    </row>
    <row r="315" spans="4:4" ht="12.75">
      <c r="D315" s="28"/>
    </row>
    <row r="316" spans="4:4" ht="12.75">
      <c r="D316" s="28"/>
    </row>
    <row r="317" spans="4:4" ht="12.75">
      <c r="D317" s="28"/>
    </row>
    <row r="318" spans="4:4" ht="12.75">
      <c r="D318" s="28"/>
    </row>
    <row r="319" spans="4:4" ht="12.75">
      <c r="D319" s="28"/>
    </row>
    <row r="320" spans="4:4" ht="12.75">
      <c r="D320" s="28"/>
    </row>
    <row r="321" spans="4:4" ht="12.75">
      <c r="D321" s="28"/>
    </row>
    <row r="322" spans="4:4" ht="12.75">
      <c r="D322" s="28"/>
    </row>
    <row r="323" spans="4:4" ht="12.75">
      <c r="D323" s="28"/>
    </row>
    <row r="324" spans="4:4" ht="12.75">
      <c r="D324" s="28"/>
    </row>
    <row r="325" spans="4:4" ht="12.75">
      <c r="D325" s="28"/>
    </row>
    <row r="326" spans="4:4" ht="12.75">
      <c r="D326" s="28"/>
    </row>
    <row r="327" spans="4:4" ht="12.75">
      <c r="D327" s="28"/>
    </row>
    <row r="328" spans="4:4" ht="12.75">
      <c r="D328" s="28"/>
    </row>
    <row r="329" spans="4:4" ht="12.75">
      <c r="D329" s="28"/>
    </row>
    <row r="330" spans="4:4" ht="12.75">
      <c r="D330" s="28"/>
    </row>
    <row r="331" spans="4:4" ht="12.75">
      <c r="D331" s="28"/>
    </row>
    <row r="332" spans="4:4" ht="12.75">
      <c r="D332" s="28"/>
    </row>
    <row r="333" spans="4:4" ht="12.75">
      <c r="D333" s="28"/>
    </row>
    <row r="334" spans="4:4" ht="12.75">
      <c r="D334" s="28"/>
    </row>
    <row r="335" spans="4:4" ht="12.75">
      <c r="D335" s="28"/>
    </row>
    <row r="336" spans="4:4" ht="12.75">
      <c r="D336" s="28"/>
    </row>
    <row r="337" spans="4:4" ht="12.75">
      <c r="D337" s="28"/>
    </row>
    <row r="338" spans="4:4" ht="12.75">
      <c r="D338" s="28"/>
    </row>
    <row r="339" spans="4:4" ht="12.75">
      <c r="D339" s="28"/>
    </row>
    <row r="340" spans="4:4" ht="12.75">
      <c r="D340" s="28"/>
    </row>
    <row r="341" spans="4:4" ht="12.75">
      <c r="D341" s="28"/>
    </row>
    <row r="342" spans="4:4" ht="12.75">
      <c r="D342" s="28"/>
    </row>
    <row r="343" spans="4:4" ht="12.75">
      <c r="D343" s="28"/>
    </row>
    <row r="344" spans="4:4" ht="12.75">
      <c r="D344" s="28"/>
    </row>
    <row r="345" spans="4:4" ht="12.75">
      <c r="D345" s="28"/>
    </row>
    <row r="346" spans="4:4" ht="12.75">
      <c r="D346" s="28"/>
    </row>
    <row r="347" spans="4:4" ht="12.75">
      <c r="D347" s="28"/>
    </row>
    <row r="348" spans="4:4" ht="12.75">
      <c r="D348" s="28"/>
    </row>
    <row r="349" spans="4:4" ht="12.75">
      <c r="D349" s="28"/>
    </row>
    <row r="350" spans="4:4" ht="12.75">
      <c r="D350" s="28"/>
    </row>
    <row r="351" spans="4:4" ht="12.75">
      <c r="D351" s="28"/>
    </row>
    <row r="352" spans="4:4" ht="12.75">
      <c r="D352" s="28"/>
    </row>
    <row r="353" spans="4:4" ht="12.75">
      <c r="D353" s="28"/>
    </row>
    <row r="354" spans="4:4" ht="12.75">
      <c r="D354" s="28"/>
    </row>
    <row r="355" spans="4:4" ht="12.75">
      <c r="D355" s="28"/>
    </row>
    <row r="356" spans="4:4" ht="12.75">
      <c r="D356" s="28"/>
    </row>
    <row r="357" spans="4:4" ht="12.75">
      <c r="D357" s="28"/>
    </row>
    <row r="358" spans="4:4" ht="12.75">
      <c r="D358" s="28"/>
    </row>
    <row r="359" spans="4:4" ht="12.75">
      <c r="D359" s="28"/>
    </row>
    <row r="360" spans="4:4" ht="12.75">
      <c r="D360" s="28"/>
    </row>
    <row r="361" spans="4:4" ht="12.75">
      <c r="D361" s="28"/>
    </row>
    <row r="362" spans="4:4" ht="12.75">
      <c r="D362" s="28"/>
    </row>
    <row r="363" spans="4:4" ht="12.75">
      <c r="D363" s="28"/>
    </row>
    <row r="364" spans="4:4" ht="12.75">
      <c r="D364" s="28"/>
    </row>
    <row r="365" spans="4:4" ht="12.75">
      <c r="D365" s="28"/>
    </row>
    <row r="366" spans="4:4" ht="12.75">
      <c r="D366" s="28"/>
    </row>
    <row r="367" spans="4:4" ht="12.75">
      <c r="D367" s="28"/>
    </row>
    <row r="368" spans="4:4" ht="12.75">
      <c r="D368" s="28"/>
    </row>
    <row r="369" spans="4:4" ht="12.75">
      <c r="D369" s="28"/>
    </row>
    <row r="370" spans="4:4" ht="12.75">
      <c r="D370" s="28"/>
    </row>
    <row r="371" spans="4:4" ht="12.75">
      <c r="D371" s="28"/>
    </row>
    <row r="372" spans="4:4" ht="12.75">
      <c r="D372" s="28"/>
    </row>
    <row r="373" spans="4:4" ht="12.75">
      <c r="D373" s="28"/>
    </row>
    <row r="374" spans="4:4" ht="12.75">
      <c r="D374" s="28"/>
    </row>
    <row r="375" spans="4:4" ht="12.75">
      <c r="D375" s="28"/>
    </row>
    <row r="376" spans="4:4" ht="12.75">
      <c r="D376" s="28"/>
    </row>
    <row r="377" spans="4:4" ht="12.75">
      <c r="D377" s="28"/>
    </row>
    <row r="378" spans="4:4" ht="12.75">
      <c r="D378" s="28"/>
    </row>
    <row r="379" spans="4:4" ht="12.75">
      <c r="D379" s="28"/>
    </row>
    <row r="380" spans="4:4" ht="12.75">
      <c r="D380" s="28"/>
    </row>
    <row r="381" spans="4:4" ht="12.75">
      <c r="D381" s="28"/>
    </row>
    <row r="382" spans="4:4" ht="12.75">
      <c r="D382" s="28"/>
    </row>
    <row r="383" spans="4:4" ht="12.75">
      <c r="D383" s="28"/>
    </row>
    <row r="384" spans="4:4" ht="12.75">
      <c r="D384" s="28"/>
    </row>
    <row r="385" spans="4:4" ht="12.75">
      <c r="D385" s="28"/>
    </row>
    <row r="386" spans="4:4" ht="12.75">
      <c r="D386" s="28"/>
    </row>
    <row r="387" spans="4:4" ht="12.75">
      <c r="D387" s="28"/>
    </row>
    <row r="388" spans="4:4" ht="12.75">
      <c r="D388" s="28"/>
    </row>
    <row r="389" spans="4:4" ht="12.75">
      <c r="D389" s="28"/>
    </row>
    <row r="390" spans="4:4" ht="12.75">
      <c r="D390" s="28"/>
    </row>
    <row r="391" spans="4:4" ht="12.75">
      <c r="D391" s="28"/>
    </row>
    <row r="392" spans="4:4" ht="12.75">
      <c r="D392" s="28"/>
    </row>
    <row r="393" spans="4:4" ht="12.75">
      <c r="D393" s="28"/>
    </row>
    <row r="394" spans="4:4" ht="12.75">
      <c r="D394" s="28"/>
    </row>
    <row r="395" spans="4:4" ht="12.75">
      <c r="D395" s="28"/>
    </row>
    <row r="396" spans="4:4" ht="12.75">
      <c r="D396" s="28"/>
    </row>
    <row r="397" spans="4:4" ht="12.75">
      <c r="D397" s="28"/>
    </row>
    <row r="398" spans="4:4" ht="12.75">
      <c r="D398" s="28"/>
    </row>
    <row r="399" spans="4:4" ht="12.75">
      <c r="D399" s="28"/>
    </row>
    <row r="400" spans="4:4" ht="12.75">
      <c r="D400" s="28"/>
    </row>
    <row r="401" spans="4:4" ht="12.75">
      <c r="D401" s="28"/>
    </row>
    <row r="402" spans="4:4" ht="12.75">
      <c r="D402" s="28"/>
    </row>
    <row r="403" spans="4:4" ht="12.75">
      <c r="D403" s="28"/>
    </row>
    <row r="404" spans="4:4" ht="12.75">
      <c r="D404" s="28"/>
    </row>
    <row r="405" spans="4:4" ht="12.75">
      <c r="D405" s="28"/>
    </row>
    <row r="406" spans="4:4" ht="12.75">
      <c r="D406" s="28"/>
    </row>
    <row r="407" spans="4:4" ht="12.75">
      <c r="D407" s="28"/>
    </row>
    <row r="408" spans="4:4" ht="12.75">
      <c r="D408" s="28"/>
    </row>
    <row r="409" spans="4:4" ht="12.75">
      <c r="D409" s="28"/>
    </row>
    <row r="410" spans="4:4" ht="12.75">
      <c r="D410" s="28"/>
    </row>
    <row r="411" spans="4:4" ht="12.75">
      <c r="D411" s="28"/>
    </row>
    <row r="412" spans="4:4" ht="12.75">
      <c r="D412" s="28"/>
    </row>
    <row r="413" spans="4:4" ht="12.75">
      <c r="D413" s="28"/>
    </row>
    <row r="414" spans="4:4" ht="12.75">
      <c r="D414" s="28"/>
    </row>
    <row r="415" spans="4:4" ht="12.75">
      <c r="D415" s="28"/>
    </row>
    <row r="416" spans="4:4" ht="12.75">
      <c r="D416" s="28"/>
    </row>
    <row r="417" spans="4:4" ht="12.75">
      <c r="D417" s="28"/>
    </row>
    <row r="418" spans="4:4" ht="12.75">
      <c r="D418" s="28"/>
    </row>
    <row r="419" spans="4:4" ht="12.75">
      <c r="D419" s="28"/>
    </row>
    <row r="420" spans="4:4" ht="12.75">
      <c r="D420" s="28"/>
    </row>
    <row r="421" spans="4:4" ht="12.75">
      <c r="D421" s="28"/>
    </row>
    <row r="422" spans="4:4" ht="12.75">
      <c r="D422" s="28"/>
    </row>
    <row r="423" spans="4:4" ht="12.75">
      <c r="D423" s="28"/>
    </row>
    <row r="424" spans="4:4" ht="12.75">
      <c r="D424" s="28"/>
    </row>
    <row r="425" spans="4:4" ht="12.75">
      <c r="D425" s="28"/>
    </row>
    <row r="426" spans="4:4" ht="12.75">
      <c r="D426" s="28"/>
    </row>
    <row r="427" spans="4:4" ht="12.75">
      <c r="D427" s="28"/>
    </row>
    <row r="428" spans="4:4" ht="12.75">
      <c r="D428" s="28"/>
    </row>
    <row r="429" spans="4:4" ht="12.75">
      <c r="D429" s="28"/>
    </row>
    <row r="430" spans="4:4" ht="12.75">
      <c r="D430" s="28"/>
    </row>
    <row r="431" spans="4:4" ht="12.75">
      <c r="D431" s="28"/>
    </row>
    <row r="432" spans="4:4" ht="12.75">
      <c r="D432" s="28"/>
    </row>
    <row r="433" spans="4:4" ht="12.75">
      <c r="D433" s="28"/>
    </row>
    <row r="434" spans="4:4" ht="12.75">
      <c r="D434" s="28"/>
    </row>
    <row r="435" spans="4:4" ht="12.75">
      <c r="D435" s="28"/>
    </row>
    <row r="436" spans="4:4" ht="12.75">
      <c r="D436" s="28"/>
    </row>
    <row r="437" spans="4:4" ht="12.75">
      <c r="D437" s="28"/>
    </row>
    <row r="438" spans="4:4" ht="12.75">
      <c r="D438" s="28"/>
    </row>
    <row r="439" spans="4:4" ht="12.75">
      <c r="D439" s="28"/>
    </row>
    <row r="440" spans="4:4" ht="12.75">
      <c r="D440" s="28"/>
    </row>
    <row r="441" spans="4:4" ht="12.75">
      <c r="D441" s="28"/>
    </row>
    <row r="442" spans="4:4" ht="12.75">
      <c r="D442" s="28"/>
    </row>
    <row r="443" spans="4:4" ht="12.75">
      <c r="D443" s="28"/>
    </row>
    <row r="444" spans="4:4" ht="12.75">
      <c r="D444" s="28"/>
    </row>
    <row r="445" spans="4:4" ht="12.75">
      <c r="D445" s="28"/>
    </row>
    <row r="446" spans="4:4" ht="12.75">
      <c r="D446" s="28"/>
    </row>
    <row r="447" spans="4:4" ht="12.75">
      <c r="D447" s="28"/>
    </row>
    <row r="448" spans="4:4" ht="12.75">
      <c r="D448" s="28"/>
    </row>
    <row r="449" spans="4:4" ht="12.75">
      <c r="D449" s="28"/>
    </row>
    <row r="450" spans="4:4" ht="12.75">
      <c r="D450" s="28"/>
    </row>
    <row r="451" spans="4:4" ht="12.75">
      <c r="D451" s="28"/>
    </row>
    <row r="452" spans="4:4" ht="12.75">
      <c r="D452" s="28"/>
    </row>
    <row r="453" spans="4:4" ht="12.75">
      <c r="D453" s="28"/>
    </row>
    <row r="454" spans="4:4" ht="12.75">
      <c r="D454" s="28"/>
    </row>
    <row r="455" spans="4:4" ht="12.75">
      <c r="D455" s="28"/>
    </row>
    <row r="456" spans="4:4" ht="12.75">
      <c r="D456" s="28"/>
    </row>
    <row r="457" spans="4:4" ht="12.75">
      <c r="D457" s="28"/>
    </row>
    <row r="458" spans="4:4" ht="12.75">
      <c r="D458" s="28"/>
    </row>
    <row r="459" spans="4:4" ht="12.75">
      <c r="D459" s="28"/>
    </row>
    <row r="460" spans="4:4" ht="12.75">
      <c r="D460" s="28"/>
    </row>
    <row r="461" spans="4:4" ht="12.75">
      <c r="D461" s="28"/>
    </row>
    <row r="462" spans="4:4" ht="12.75">
      <c r="D462" s="28"/>
    </row>
    <row r="463" spans="4:4" ht="12.75">
      <c r="D463" s="28"/>
    </row>
    <row r="464" spans="4:4" ht="12.75">
      <c r="D464" s="28"/>
    </row>
    <row r="465" spans="4:4" ht="12.75">
      <c r="D465" s="28"/>
    </row>
    <row r="466" spans="4:4" ht="12.75">
      <c r="D466" s="28"/>
    </row>
    <row r="467" spans="4:4" ht="12.75">
      <c r="D467" s="28"/>
    </row>
    <row r="468" spans="4:4" ht="12.75">
      <c r="D468" s="28"/>
    </row>
    <row r="469" spans="4:4" ht="12.75">
      <c r="D469" s="28"/>
    </row>
    <row r="470" spans="4:4" ht="12.75">
      <c r="D470" s="28"/>
    </row>
    <row r="471" spans="4:4" ht="12.75">
      <c r="D471" s="28"/>
    </row>
    <row r="472" spans="4:4" ht="12.75">
      <c r="D472" s="28"/>
    </row>
    <row r="473" spans="4:4" ht="12.75">
      <c r="D473" s="28"/>
    </row>
    <row r="474" spans="4:4" ht="12.75">
      <c r="D474" s="28"/>
    </row>
    <row r="475" spans="4:4" ht="12.75">
      <c r="D475" s="28"/>
    </row>
    <row r="476" spans="4:4" ht="12.75">
      <c r="D476" s="28"/>
    </row>
    <row r="477" spans="4:4" ht="12.75">
      <c r="D477" s="28"/>
    </row>
    <row r="478" spans="4:4" ht="12.75">
      <c r="D478" s="28"/>
    </row>
    <row r="479" spans="4:4" ht="12.75">
      <c r="D479" s="28"/>
    </row>
    <row r="480" spans="4:4" ht="12.75">
      <c r="D480" s="28"/>
    </row>
    <row r="481" spans="4:4" ht="12.75">
      <c r="D481" s="28"/>
    </row>
    <row r="482" spans="4:4" ht="12.75">
      <c r="D482" s="28"/>
    </row>
    <row r="483" spans="4:4" ht="12.75">
      <c r="D483" s="28"/>
    </row>
    <row r="484" spans="4:4" ht="12.75">
      <c r="D484" s="28"/>
    </row>
    <row r="485" spans="4:4" ht="12.75">
      <c r="D485" s="28"/>
    </row>
    <row r="486" spans="4:4" ht="12.75">
      <c r="D486" s="28"/>
    </row>
    <row r="487" spans="4:4" ht="12.75">
      <c r="D487" s="28"/>
    </row>
    <row r="488" spans="4:4" ht="12.75">
      <c r="D488" s="28"/>
    </row>
    <row r="489" spans="4:4" ht="12.75">
      <c r="D489" s="28"/>
    </row>
    <row r="490" spans="4:4" ht="12.75">
      <c r="D490" s="28"/>
    </row>
    <row r="491" spans="4:4" ht="12.75">
      <c r="D491" s="28"/>
    </row>
    <row r="492" spans="4:4" ht="12.75">
      <c r="D492" s="28"/>
    </row>
    <row r="493" spans="4:4" ht="12.75">
      <c r="D493" s="28"/>
    </row>
    <row r="494" spans="4:4" ht="12.75">
      <c r="D494" s="28"/>
    </row>
    <row r="495" spans="4:4" ht="12.75">
      <c r="D495" s="28"/>
    </row>
    <row r="496" spans="4:4" ht="12.75">
      <c r="D496" s="28"/>
    </row>
    <row r="497" spans="4:4" ht="12.75">
      <c r="D497" s="28"/>
    </row>
    <row r="498" spans="4:4" ht="12.75">
      <c r="D498" s="28"/>
    </row>
    <row r="499" spans="4:4" ht="12.75">
      <c r="D499" s="28"/>
    </row>
    <row r="500" spans="4:4" ht="12.75">
      <c r="D500" s="28"/>
    </row>
    <row r="501" spans="4:4" ht="12.75">
      <c r="D501" s="28"/>
    </row>
    <row r="502" spans="4:4" ht="12.75">
      <c r="D502" s="28"/>
    </row>
    <row r="503" spans="4:4" ht="12.75">
      <c r="D503" s="28"/>
    </row>
    <row r="504" spans="4:4" ht="12.75">
      <c r="D504" s="28"/>
    </row>
    <row r="505" spans="4:4" ht="12.75">
      <c r="D505" s="28"/>
    </row>
    <row r="506" spans="4:4" ht="12.75">
      <c r="D506" s="28"/>
    </row>
    <row r="507" spans="4:4" ht="12.75">
      <c r="D507" s="28"/>
    </row>
    <row r="508" spans="4:4" ht="12.75">
      <c r="D508" s="28"/>
    </row>
    <row r="509" spans="4:4" ht="12.75">
      <c r="D509" s="28"/>
    </row>
    <row r="510" spans="4:4" ht="12.75">
      <c r="D510" s="28"/>
    </row>
    <row r="511" spans="4:4" ht="12.75">
      <c r="D511" s="28"/>
    </row>
    <row r="512" spans="4:4" ht="12.75">
      <c r="D512" s="28"/>
    </row>
    <row r="513" spans="4:4" ht="12.75">
      <c r="D513" s="28"/>
    </row>
    <row r="514" spans="4:4" ht="12.75">
      <c r="D514" s="28"/>
    </row>
    <row r="515" spans="4:4" ht="12.75">
      <c r="D515" s="28"/>
    </row>
    <row r="516" spans="4:4" ht="12.75">
      <c r="D516" s="28"/>
    </row>
    <row r="517" spans="4:4" ht="12.75">
      <c r="D517" s="28"/>
    </row>
    <row r="518" spans="4:4" ht="12.75">
      <c r="D518" s="28"/>
    </row>
    <row r="519" spans="4:4" ht="12.75">
      <c r="D519" s="28"/>
    </row>
    <row r="520" spans="4:4" ht="12.75">
      <c r="D520" s="28"/>
    </row>
    <row r="521" spans="4:4" ht="12.75">
      <c r="D521" s="28"/>
    </row>
    <row r="522" spans="4:4" ht="12.75">
      <c r="D522" s="28"/>
    </row>
    <row r="523" spans="4:4" ht="12.75">
      <c r="D523" s="28"/>
    </row>
    <row r="524" spans="4:4" ht="12.75">
      <c r="D524" s="28"/>
    </row>
    <row r="525" spans="4:4" ht="12.75">
      <c r="D525" s="28"/>
    </row>
    <row r="526" spans="4:4" ht="12.75">
      <c r="D526" s="28"/>
    </row>
    <row r="527" spans="4:4" ht="12.75">
      <c r="D527" s="28"/>
    </row>
    <row r="528" spans="4:4" ht="12.75">
      <c r="D528" s="28"/>
    </row>
    <row r="529" spans="4:4" ht="12.75">
      <c r="D529" s="28"/>
    </row>
    <row r="530" spans="4:4" ht="12.75">
      <c r="D530" s="28"/>
    </row>
    <row r="531" spans="4:4" ht="12.75">
      <c r="D531" s="28"/>
    </row>
    <row r="532" spans="4:4" ht="12.75">
      <c r="D532" s="28"/>
    </row>
    <row r="533" spans="4:4" ht="12.75">
      <c r="D533" s="28"/>
    </row>
    <row r="534" spans="4:4" ht="12.75">
      <c r="D534" s="28"/>
    </row>
    <row r="535" spans="4:4" ht="12.75">
      <c r="D535" s="28"/>
    </row>
    <row r="536" spans="4:4" ht="12.75">
      <c r="D536" s="28"/>
    </row>
    <row r="537" spans="4:4" ht="12.75">
      <c r="D537" s="28"/>
    </row>
    <row r="538" spans="4:4" ht="12.75">
      <c r="D538" s="28"/>
    </row>
    <row r="539" spans="4:4" ht="12.75">
      <c r="D539" s="28"/>
    </row>
    <row r="540" spans="4:4" ht="12.75">
      <c r="D540" s="28"/>
    </row>
    <row r="541" spans="4:4" ht="12.75">
      <c r="D541" s="28"/>
    </row>
    <row r="542" spans="4:4" ht="12.75">
      <c r="D542" s="28"/>
    </row>
    <row r="543" spans="4:4" ht="12.75">
      <c r="D543" s="28"/>
    </row>
    <row r="544" spans="4:4" ht="12.75">
      <c r="D544" s="28"/>
    </row>
    <row r="545" spans="4:4" ht="12.75">
      <c r="D545" s="28"/>
    </row>
    <row r="546" spans="4:4" ht="12.75">
      <c r="D546" s="28"/>
    </row>
    <row r="547" spans="4:4" ht="12.75">
      <c r="D547" s="28"/>
    </row>
    <row r="548" spans="4:4" ht="12.75">
      <c r="D548" s="28"/>
    </row>
    <row r="549" spans="4:4" ht="12.75">
      <c r="D549" s="28"/>
    </row>
    <row r="550" spans="4:4" ht="12.75">
      <c r="D550" s="28"/>
    </row>
    <row r="551" spans="4:4" ht="12.75">
      <c r="D551" s="28"/>
    </row>
    <row r="552" spans="4:4" ht="12.75">
      <c r="D552" s="28"/>
    </row>
    <row r="553" spans="4:4" ht="12.75">
      <c r="D553" s="28"/>
    </row>
    <row r="554" spans="4:4" ht="12.75">
      <c r="D554" s="28"/>
    </row>
    <row r="555" spans="4:4" ht="12.75">
      <c r="D555" s="28"/>
    </row>
    <row r="556" spans="4:4" ht="12.75">
      <c r="D556" s="28"/>
    </row>
    <row r="557" spans="4:4" ht="12.75">
      <c r="D557" s="28"/>
    </row>
    <row r="558" spans="4:4" ht="12.75">
      <c r="D558" s="28"/>
    </row>
    <row r="559" spans="4:4" ht="12.75">
      <c r="D559" s="28"/>
    </row>
    <row r="560" spans="4:4" ht="12.75">
      <c r="D560" s="28"/>
    </row>
    <row r="561" spans="4:4" ht="12.75">
      <c r="D561" s="28"/>
    </row>
    <row r="562" spans="4:4" ht="12.75">
      <c r="D562" s="28"/>
    </row>
    <row r="563" spans="4:4" ht="12.75">
      <c r="D563" s="28"/>
    </row>
    <row r="564" spans="4:4" ht="12.75">
      <c r="D564" s="28"/>
    </row>
    <row r="565" spans="4:4" ht="12.75">
      <c r="D565" s="28"/>
    </row>
    <row r="566" spans="4:4" ht="12.75">
      <c r="D566" s="28"/>
    </row>
    <row r="567" spans="4:4" ht="12.75">
      <c r="D567" s="28"/>
    </row>
    <row r="568" spans="4:4" ht="12.75">
      <c r="D568" s="28"/>
    </row>
    <row r="569" spans="4:4" ht="12.75">
      <c r="D569" s="28"/>
    </row>
    <row r="570" spans="4:4" ht="12.75">
      <c r="D570" s="28"/>
    </row>
    <row r="571" spans="4:4" ht="12.75">
      <c r="D571" s="28"/>
    </row>
    <row r="572" spans="4:4" ht="12.75">
      <c r="D572" s="28"/>
    </row>
    <row r="573" spans="4:4" ht="12.75">
      <c r="D573" s="28"/>
    </row>
    <row r="574" spans="4:4" ht="12.75">
      <c r="D574" s="28"/>
    </row>
    <row r="575" spans="4:4" ht="12.75">
      <c r="D575" s="28"/>
    </row>
    <row r="576" spans="4:4" ht="12.75">
      <c r="D576" s="28"/>
    </row>
    <row r="577" spans="4:4" ht="12.75">
      <c r="D577" s="28"/>
    </row>
    <row r="578" spans="4:4" ht="12.75">
      <c r="D578" s="28"/>
    </row>
    <row r="579" spans="4:4" ht="12.75">
      <c r="D579" s="28"/>
    </row>
    <row r="580" spans="4:4" ht="12.75">
      <c r="D580" s="28"/>
    </row>
    <row r="581" spans="4:4" ht="12.75">
      <c r="D581" s="28"/>
    </row>
    <row r="582" spans="4:4" ht="12.75">
      <c r="D582" s="28"/>
    </row>
    <row r="583" spans="4:4" ht="12.75">
      <c r="D583" s="28"/>
    </row>
    <row r="584" spans="4:4" ht="12.75">
      <c r="D584" s="28"/>
    </row>
    <row r="585" spans="4:4" ht="12.75">
      <c r="D585" s="28"/>
    </row>
    <row r="586" spans="4:4" ht="12.75">
      <c r="D586" s="28"/>
    </row>
    <row r="587" spans="4:4" ht="12.75">
      <c r="D587" s="28"/>
    </row>
    <row r="588" spans="4:4" ht="12.75">
      <c r="D588" s="28"/>
    </row>
    <row r="589" spans="4:4" ht="12.75">
      <c r="D589" s="28"/>
    </row>
    <row r="590" spans="4:4" ht="12.75">
      <c r="D590" s="28"/>
    </row>
    <row r="591" spans="4:4" ht="12.75">
      <c r="D591" s="28"/>
    </row>
    <row r="592" spans="4:4" ht="12.75">
      <c r="D592" s="28"/>
    </row>
    <row r="593" spans="4:4" ht="12.75">
      <c r="D593" s="28"/>
    </row>
    <row r="594" spans="4:4" ht="12.75">
      <c r="D594" s="28"/>
    </row>
    <row r="595" spans="4:4" ht="12.75">
      <c r="D595" s="28"/>
    </row>
    <row r="596" spans="4:4" ht="12.75">
      <c r="D596" s="28"/>
    </row>
    <row r="597" spans="4:4" ht="12.75">
      <c r="D597" s="28"/>
    </row>
    <row r="598" spans="4:4" ht="12.75">
      <c r="D598" s="28"/>
    </row>
    <row r="599" spans="4:4" ht="12.75">
      <c r="D599" s="28"/>
    </row>
    <row r="600" spans="4:4" ht="12.75">
      <c r="D600" s="28"/>
    </row>
    <row r="601" spans="4:4" ht="12.75">
      <c r="D601" s="28"/>
    </row>
    <row r="602" spans="4:4" ht="12.75">
      <c r="D602" s="28"/>
    </row>
    <row r="603" spans="4:4" ht="12.75">
      <c r="D603" s="28"/>
    </row>
    <row r="604" spans="4:4" ht="12.75">
      <c r="D604" s="28"/>
    </row>
    <row r="605" spans="4:4" ht="12.75">
      <c r="D605" s="28"/>
    </row>
    <row r="606" spans="4:4" ht="12.75">
      <c r="D606" s="28"/>
    </row>
    <row r="607" spans="4:4" ht="12.75">
      <c r="D607" s="28"/>
    </row>
    <row r="608" spans="4:4" ht="12.75">
      <c r="D608" s="28"/>
    </row>
    <row r="609" spans="4:4" ht="12.75">
      <c r="D609" s="28"/>
    </row>
    <row r="610" spans="4:4" ht="12.75">
      <c r="D610" s="28"/>
    </row>
    <row r="611" spans="4:4" ht="12.75">
      <c r="D611" s="28"/>
    </row>
    <row r="612" spans="4:4" ht="12.75">
      <c r="D612" s="28"/>
    </row>
    <row r="613" spans="4:4" ht="12.75">
      <c r="D613" s="28"/>
    </row>
    <row r="614" spans="4:4" ht="12.75">
      <c r="D614" s="28"/>
    </row>
    <row r="615" spans="4:4" ht="12.75">
      <c r="D615" s="28"/>
    </row>
    <row r="616" spans="4:4" ht="12.75">
      <c r="D616" s="28"/>
    </row>
    <row r="617" spans="4:4" ht="12.75">
      <c r="D617" s="28"/>
    </row>
    <row r="618" spans="4:4" ht="12.75">
      <c r="D618" s="28"/>
    </row>
    <row r="619" spans="4:4" ht="12.75">
      <c r="D619" s="28"/>
    </row>
    <row r="620" spans="4:4" ht="12.75">
      <c r="D620" s="28"/>
    </row>
    <row r="621" spans="4:4" ht="12.75">
      <c r="D621" s="28"/>
    </row>
    <row r="622" spans="4:4" ht="12.75">
      <c r="D622" s="28"/>
    </row>
    <row r="623" spans="4:4" ht="12.75">
      <c r="D623" s="28"/>
    </row>
    <row r="624" spans="4:4" ht="12.75">
      <c r="D624" s="28"/>
    </row>
    <row r="625" spans="4:4" ht="12.75">
      <c r="D625" s="28"/>
    </row>
    <row r="626" spans="4:4" ht="12.75">
      <c r="D626" s="28"/>
    </row>
    <row r="627" spans="4:4" ht="12.75">
      <c r="D627" s="28"/>
    </row>
    <row r="628" spans="4:4" ht="12.75">
      <c r="D628" s="28"/>
    </row>
    <row r="629" spans="4:4" ht="12.75">
      <c r="D629" s="28"/>
    </row>
    <row r="630" spans="4:4" ht="12.75">
      <c r="D630" s="28"/>
    </row>
    <row r="631" spans="4:4" ht="12.75">
      <c r="D631" s="28"/>
    </row>
    <row r="632" spans="4:4" ht="12.75">
      <c r="D632" s="28"/>
    </row>
    <row r="633" spans="4:4" ht="12.75">
      <c r="D633" s="28"/>
    </row>
    <row r="634" spans="4:4" ht="12.75">
      <c r="D634" s="28"/>
    </row>
    <row r="635" spans="4:4" ht="12.75">
      <c r="D635" s="28"/>
    </row>
    <row r="636" spans="4:4" ht="12.75">
      <c r="D636" s="28"/>
    </row>
    <row r="637" spans="4:4" ht="12.75">
      <c r="D637" s="28"/>
    </row>
    <row r="638" spans="4:4" ht="12.75">
      <c r="D638" s="28"/>
    </row>
    <row r="639" spans="4:4" ht="12.75">
      <c r="D639" s="28"/>
    </row>
    <row r="640" spans="4:4" ht="12.75">
      <c r="D640" s="28"/>
    </row>
    <row r="641" spans="4:4" ht="12.75">
      <c r="D641" s="28"/>
    </row>
    <row r="642" spans="4:4" ht="12.75">
      <c r="D642" s="28"/>
    </row>
    <row r="643" spans="4:4" ht="12.75">
      <c r="D643" s="28"/>
    </row>
    <row r="644" spans="4:4" ht="12.75">
      <c r="D644" s="28"/>
    </row>
    <row r="645" spans="4:4" ht="12.75">
      <c r="D645" s="28"/>
    </row>
    <row r="646" spans="4:4" ht="12.75">
      <c r="D646" s="28"/>
    </row>
    <row r="647" spans="4:4" ht="12.75">
      <c r="D647" s="28"/>
    </row>
    <row r="648" spans="4:4" ht="12.75">
      <c r="D648" s="28"/>
    </row>
    <row r="649" spans="4:4" ht="12.75">
      <c r="D649" s="28"/>
    </row>
    <row r="650" spans="4:4" ht="12.75">
      <c r="D650" s="28"/>
    </row>
    <row r="651" spans="4:4" ht="12.75">
      <c r="D651" s="28"/>
    </row>
    <row r="652" spans="4:4" ht="12.75">
      <c r="D652" s="28"/>
    </row>
    <row r="653" spans="4:4" ht="12.75">
      <c r="D653" s="28"/>
    </row>
    <row r="654" spans="4:4" ht="12.75">
      <c r="D654" s="28"/>
    </row>
    <row r="655" spans="4:4" ht="12.75">
      <c r="D655" s="28"/>
    </row>
    <row r="656" spans="4:4" ht="12.75">
      <c r="D656" s="28"/>
    </row>
    <row r="657" spans="4:4" ht="12.75">
      <c r="D657" s="28"/>
    </row>
    <row r="658" spans="4:4" ht="12.75">
      <c r="D658" s="28"/>
    </row>
    <row r="659" spans="4:4" ht="12.75">
      <c r="D659" s="28"/>
    </row>
    <row r="660" spans="4:4" ht="12.75">
      <c r="D660" s="28"/>
    </row>
    <row r="661" spans="4:4" ht="12.75">
      <c r="D661" s="28"/>
    </row>
    <row r="662" spans="4:4" ht="12.75">
      <c r="D662" s="28"/>
    </row>
    <row r="663" spans="4:4" ht="12.75">
      <c r="D663" s="28"/>
    </row>
    <row r="664" spans="4:4" ht="12.75">
      <c r="D664" s="28"/>
    </row>
    <row r="665" spans="4:4" ht="12.75">
      <c r="D665" s="28"/>
    </row>
    <row r="666" spans="4:4" ht="12.75">
      <c r="D666" s="28"/>
    </row>
    <row r="667" spans="4:4" ht="12.75">
      <c r="D667" s="28"/>
    </row>
    <row r="668" spans="4:4" ht="12.75">
      <c r="D668" s="28"/>
    </row>
    <row r="669" spans="4:4" ht="12.75">
      <c r="D669" s="28"/>
    </row>
    <row r="670" spans="4:4" ht="12.75">
      <c r="D670" s="28"/>
    </row>
    <row r="671" spans="4:4" ht="12.75">
      <c r="D671" s="28"/>
    </row>
    <row r="672" spans="4:4" ht="12.75">
      <c r="D672" s="28"/>
    </row>
    <row r="673" spans="4:4" ht="12.75">
      <c r="D673" s="28"/>
    </row>
    <row r="674" spans="4:4" ht="12.75">
      <c r="D674" s="28"/>
    </row>
    <row r="675" spans="4:4" ht="12.75">
      <c r="D675" s="28"/>
    </row>
    <row r="676" spans="4:4" ht="12.75">
      <c r="D676" s="28"/>
    </row>
    <row r="677" spans="4:4" ht="12.75">
      <c r="D677" s="28"/>
    </row>
    <row r="678" spans="4:4" ht="12.75">
      <c r="D678" s="28"/>
    </row>
    <row r="679" spans="4:4" ht="12.75">
      <c r="D679" s="28"/>
    </row>
    <row r="680" spans="4:4" ht="12.75">
      <c r="D680" s="28"/>
    </row>
    <row r="681" spans="4:4" ht="12.75">
      <c r="D681" s="28"/>
    </row>
    <row r="682" spans="4:4" ht="12.75">
      <c r="D682" s="28"/>
    </row>
    <row r="683" spans="4:4" ht="12.75">
      <c r="D683" s="28"/>
    </row>
    <row r="684" spans="4:4" ht="12.75">
      <c r="D684" s="28"/>
    </row>
    <row r="685" spans="4:4" ht="12.75">
      <c r="D685" s="28"/>
    </row>
    <row r="686" spans="4:4" ht="12.75">
      <c r="D686" s="28"/>
    </row>
    <row r="687" spans="4:4" ht="12.75">
      <c r="D687" s="28"/>
    </row>
    <row r="688" spans="4:4" ht="12.75">
      <c r="D688" s="28"/>
    </row>
    <row r="689" spans="4:4" ht="12.75">
      <c r="D689" s="28"/>
    </row>
    <row r="690" spans="4:4" ht="12.75">
      <c r="D690" s="28"/>
    </row>
    <row r="691" spans="4:4" ht="12.75">
      <c r="D691" s="28"/>
    </row>
    <row r="692" spans="4:4" ht="12.75">
      <c r="D692" s="28"/>
    </row>
    <row r="693" spans="4:4" ht="12.75">
      <c r="D693" s="28"/>
    </row>
    <row r="694" spans="4:4" ht="12.75">
      <c r="D694" s="28"/>
    </row>
    <row r="695" spans="4:4" ht="12.75">
      <c r="D695" s="28"/>
    </row>
    <row r="696" spans="4:4" ht="12.75">
      <c r="D696" s="28"/>
    </row>
    <row r="697" spans="4:4" ht="12.75">
      <c r="D697" s="28"/>
    </row>
    <row r="698" spans="4:4" ht="12.75">
      <c r="D698" s="28"/>
    </row>
    <row r="699" spans="4:4" ht="12.75">
      <c r="D699" s="28"/>
    </row>
    <row r="700" spans="4:4" ht="12.75">
      <c r="D700" s="28"/>
    </row>
    <row r="701" spans="4:4" ht="12.75">
      <c r="D701" s="28"/>
    </row>
    <row r="702" spans="4:4" ht="12.75">
      <c r="D702" s="28"/>
    </row>
    <row r="703" spans="4:4" ht="12.75">
      <c r="D703" s="28"/>
    </row>
    <row r="704" spans="4:4" ht="12.75">
      <c r="D704" s="28"/>
    </row>
    <row r="705" spans="4:4" ht="12.75">
      <c r="D705" s="28"/>
    </row>
    <row r="706" spans="4:4" ht="12.75">
      <c r="D706" s="28"/>
    </row>
    <row r="707" spans="4:4" ht="12.75">
      <c r="D707" s="28"/>
    </row>
    <row r="708" spans="4:4" ht="12.75">
      <c r="D708" s="28"/>
    </row>
    <row r="709" spans="4:4" ht="12.75">
      <c r="D709" s="28"/>
    </row>
    <row r="710" spans="4:4" ht="12.75">
      <c r="D710" s="28"/>
    </row>
    <row r="711" spans="4:4" ht="12.75">
      <c r="D711" s="28"/>
    </row>
    <row r="712" spans="4:4" ht="12.75">
      <c r="D712" s="28"/>
    </row>
    <row r="713" spans="4:4" ht="12.75">
      <c r="D713" s="28"/>
    </row>
    <row r="714" spans="4:4" ht="12.75">
      <c r="D714" s="28"/>
    </row>
    <row r="715" spans="4:4" ht="12.75">
      <c r="D715" s="28"/>
    </row>
    <row r="716" spans="4:4" ht="12.75">
      <c r="D716" s="28"/>
    </row>
    <row r="717" spans="4:4" ht="12.75">
      <c r="D717" s="28"/>
    </row>
    <row r="718" spans="4:4" ht="12.75">
      <c r="D718" s="28"/>
    </row>
    <row r="719" spans="4:4" ht="12.75">
      <c r="D719" s="28"/>
    </row>
    <row r="720" spans="4:4" ht="12.75">
      <c r="D720" s="28"/>
    </row>
    <row r="721" spans="4:4" ht="12.75">
      <c r="D721" s="28"/>
    </row>
    <row r="722" spans="4:4" ht="12.75">
      <c r="D722" s="28"/>
    </row>
    <row r="723" spans="4:4" ht="12.75">
      <c r="D723" s="28"/>
    </row>
    <row r="724" spans="4:4" ht="12.75">
      <c r="D724" s="28"/>
    </row>
    <row r="725" spans="4:4" ht="12.75">
      <c r="D725" s="28"/>
    </row>
    <row r="726" spans="4:4" ht="12.75">
      <c r="D726" s="28"/>
    </row>
    <row r="727" spans="4:4" ht="12.75">
      <c r="D727" s="28"/>
    </row>
    <row r="728" spans="4:4" ht="12.75">
      <c r="D728" s="28"/>
    </row>
    <row r="729" spans="4:4" ht="12.75">
      <c r="D729" s="28"/>
    </row>
    <row r="730" spans="4:4" ht="12.75">
      <c r="D730" s="28"/>
    </row>
    <row r="731" spans="4:4" ht="12.75">
      <c r="D731" s="28"/>
    </row>
    <row r="732" spans="4:4" ht="12.75">
      <c r="D732" s="28"/>
    </row>
    <row r="733" spans="4:4" ht="12.75">
      <c r="D733" s="28"/>
    </row>
    <row r="734" spans="4:4" ht="12.75">
      <c r="D734" s="28"/>
    </row>
    <row r="735" spans="4:4" ht="12.75">
      <c r="D735" s="28"/>
    </row>
    <row r="736" spans="4:4" ht="12.75">
      <c r="D736" s="28"/>
    </row>
    <row r="737" spans="4:4" ht="12.75">
      <c r="D737" s="28"/>
    </row>
    <row r="738" spans="4:4" ht="12.75">
      <c r="D738" s="28"/>
    </row>
    <row r="739" spans="4:4" ht="12.75">
      <c r="D739" s="28"/>
    </row>
    <row r="740" spans="4:4" ht="12.75">
      <c r="D740" s="28"/>
    </row>
    <row r="741" spans="4:4" ht="12.75">
      <c r="D741" s="28"/>
    </row>
    <row r="742" spans="4:4" ht="12.75">
      <c r="D742" s="28"/>
    </row>
    <row r="743" spans="4:4" ht="12.75">
      <c r="D743" s="28"/>
    </row>
    <row r="744" spans="4:4" ht="12.75">
      <c r="D744" s="28"/>
    </row>
    <row r="745" spans="4:4" ht="12.75">
      <c r="D745" s="28"/>
    </row>
    <row r="746" spans="4:4" ht="12.75">
      <c r="D746" s="28"/>
    </row>
    <row r="747" spans="4:4" ht="12.75">
      <c r="D747" s="28"/>
    </row>
    <row r="748" spans="4:4" ht="12.75">
      <c r="D748" s="28"/>
    </row>
    <row r="749" spans="4:4" ht="12.75">
      <c r="D749" s="28"/>
    </row>
    <row r="750" spans="4:4" ht="12.75">
      <c r="D750" s="28"/>
    </row>
    <row r="751" spans="4:4" ht="12.75">
      <c r="D751" s="28"/>
    </row>
    <row r="752" spans="4:4" ht="12.75">
      <c r="D752" s="28"/>
    </row>
    <row r="753" spans="4:4" ht="12.75">
      <c r="D753" s="28"/>
    </row>
    <row r="754" spans="4:4" ht="12.75">
      <c r="D754" s="28"/>
    </row>
    <row r="755" spans="4:4" ht="12.75">
      <c r="D755" s="28"/>
    </row>
    <row r="756" spans="4:4" ht="12.75">
      <c r="D756" s="28"/>
    </row>
    <row r="757" spans="4:4" ht="12.75">
      <c r="D757" s="28"/>
    </row>
    <row r="758" spans="4:4" ht="12.75">
      <c r="D758" s="28"/>
    </row>
    <row r="759" spans="4:4" ht="12.75">
      <c r="D759" s="28"/>
    </row>
    <row r="760" spans="4:4" ht="12.75">
      <c r="D760" s="28"/>
    </row>
    <row r="761" spans="4:4" ht="12.75">
      <c r="D761" s="28"/>
    </row>
    <row r="762" spans="4:4" ht="12.75">
      <c r="D762" s="28"/>
    </row>
    <row r="763" spans="4:4" ht="12.75">
      <c r="D763" s="28"/>
    </row>
    <row r="764" spans="4:4" ht="12.75">
      <c r="D764" s="28"/>
    </row>
    <row r="765" spans="4:4" ht="12.75">
      <c r="D765" s="28"/>
    </row>
    <row r="766" spans="4:4" ht="12.75">
      <c r="D766" s="28"/>
    </row>
    <row r="767" spans="4:4" ht="12.75">
      <c r="D767" s="28"/>
    </row>
    <row r="768" spans="4:4" ht="12.75">
      <c r="D768" s="28"/>
    </row>
    <row r="769" spans="4:4" ht="12.75">
      <c r="D769" s="28"/>
    </row>
    <row r="770" spans="4:4" ht="12.75">
      <c r="D770" s="28"/>
    </row>
    <row r="771" spans="4:4" ht="12.75">
      <c r="D771" s="28"/>
    </row>
    <row r="772" spans="4:4" ht="12.75">
      <c r="D772" s="28"/>
    </row>
    <row r="773" spans="4:4" ht="12.75">
      <c r="D773" s="28"/>
    </row>
    <row r="774" spans="4:4" ht="12.75">
      <c r="D774" s="28"/>
    </row>
    <row r="775" spans="4:4" ht="12.75">
      <c r="D775" s="28"/>
    </row>
    <row r="776" spans="4:4" ht="12.75">
      <c r="D776" s="28"/>
    </row>
    <row r="777" spans="4:4" ht="12.75">
      <c r="D777" s="28"/>
    </row>
    <row r="778" spans="4:4" ht="12.75">
      <c r="D778" s="28"/>
    </row>
    <row r="779" spans="4:4" ht="12.75">
      <c r="D779" s="28"/>
    </row>
    <row r="780" spans="4:4" ht="12.75">
      <c r="D780" s="28"/>
    </row>
    <row r="781" spans="4:4" ht="12.75">
      <c r="D781" s="28"/>
    </row>
    <row r="782" spans="4:4" ht="12.75">
      <c r="D782" s="28"/>
    </row>
    <row r="783" spans="4:4" ht="12.75">
      <c r="D783" s="28"/>
    </row>
    <row r="784" spans="4:4" ht="12.75">
      <c r="D784" s="28"/>
    </row>
    <row r="785" spans="4:4" ht="12.75">
      <c r="D785" s="28"/>
    </row>
    <row r="786" spans="4:4" ht="12.75">
      <c r="D786" s="28"/>
    </row>
    <row r="787" spans="4:4" ht="12.75">
      <c r="D787" s="28"/>
    </row>
    <row r="788" spans="4:4" ht="12.75">
      <c r="D788" s="28"/>
    </row>
    <row r="789" spans="4:4" ht="12.75">
      <c r="D789" s="28"/>
    </row>
    <row r="790" spans="4:4" ht="12.75">
      <c r="D790" s="28"/>
    </row>
    <row r="791" spans="4:4" ht="12.75">
      <c r="D791" s="28"/>
    </row>
    <row r="792" spans="4:4" ht="12.75">
      <c r="D792" s="28"/>
    </row>
    <row r="793" spans="4:4" ht="12.75">
      <c r="D793" s="28"/>
    </row>
    <row r="794" spans="4:4" ht="12.75">
      <c r="D794" s="28"/>
    </row>
    <row r="795" spans="4:4" ht="12.75">
      <c r="D795" s="28"/>
    </row>
    <row r="796" spans="4:4" ht="12.75">
      <c r="D796" s="28"/>
    </row>
    <row r="797" spans="4:4" ht="12.75">
      <c r="D797" s="28"/>
    </row>
    <row r="798" spans="4:4" ht="12.75">
      <c r="D798" s="28"/>
    </row>
    <row r="799" spans="4:4" ht="12.75">
      <c r="D799" s="28"/>
    </row>
    <row r="800" spans="4:4" ht="12.75">
      <c r="D800" s="28"/>
    </row>
    <row r="801" spans="4:4" ht="12.75">
      <c r="D801" s="28"/>
    </row>
    <row r="802" spans="4:4" ht="12.75">
      <c r="D802" s="28"/>
    </row>
    <row r="803" spans="4:4" ht="12.75">
      <c r="D803" s="28"/>
    </row>
    <row r="804" spans="4:4" ht="12.75">
      <c r="D804" s="28"/>
    </row>
    <row r="805" spans="4:4" ht="12.75">
      <c r="D805" s="28"/>
    </row>
    <row r="806" spans="4:4" ht="12.75">
      <c r="D806" s="28"/>
    </row>
    <row r="807" spans="4:4" ht="12.75">
      <c r="D807" s="28"/>
    </row>
    <row r="808" spans="4:4" ht="12.75">
      <c r="D808" s="28"/>
    </row>
    <row r="809" spans="4:4" ht="12.75">
      <c r="D809" s="28"/>
    </row>
    <row r="810" spans="4:4" ht="12.75">
      <c r="D810" s="28"/>
    </row>
    <row r="811" spans="4:4" ht="12.75">
      <c r="D811" s="28"/>
    </row>
    <row r="812" spans="4:4" ht="12.75">
      <c r="D812" s="28"/>
    </row>
    <row r="813" spans="4:4" ht="12.75">
      <c r="D813" s="28"/>
    </row>
    <row r="814" spans="4:4" ht="12.75">
      <c r="D814" s="28"/>
    </row>
    <row r="815" spans="4:4" ht="12.75">
      <c r="D815" s="28"/>
    </row>
    <row r="816" spans="4:4" ht="12.75">
      <c r="D816" s="28"/>
    </row>
    <row r="817" spans="4:4" ht="12.75">
      <c r="D817" s="28"/>
    </row>
    <row r="818" spans="4:4" ht="12.75">
      <c r="D818" s="28"/>
    </row>
    <row r="819" spans="4:4" ht="12.75">
      <c r="D819" s="28"/>
    </row>
    <row r="820" spans="4:4" ht="12.75">
      <c r="D820" s="28"/>
    </row>
    <row r="821" spans="4:4" ht="12.75">
      <c r="D821" s="28"/>
    </row>
    <row r="822" spans="4:4" ht="12.75">
      <c r="D822" s="28"/>
    </row>
    <row r="823" spans="4:4" ht="12.75">
      <c r="D823" s="28"/>
    </row>
    <row r="824" spans="4:4" ht="12.75">
      <c r="D824" s="28"/>
    </row>
    <row r="825" spans="4:4" ht="12.75">
      <c r="D825" s="28"/>
    </row>
    <row r="826" spans="4:4" ht="12.75">
      <c r="D826" s="28"/>
    </row>
    <row r="827" spans="4:4" ht="12.75">
      <c r="D827" s="28"/>
    </row>
    <row r="828" spans="4:4" ht="12.75">
      <c r="D828" s="28"/>
    </row>
    <row r="829" spans="4:4" ht="12.75">
      <c r="D829" s="28"/>
    </row>
    <row r="830" spans="4:4" ht="12.75">
      <c r="D830" s="28"/>
    </row>
    <row r="831" spans="4:4" ht="12.75">
      <c r="D831" s="28"/>
    </row>
    <row r="832" spans="4:4" ht="12.75">
      <c r="D832" s="28"/>
    </row>
    <row r="833" spans="4:4" ht="12.75">
      <c r="D833" s="28"/>
    </row>
    <row r="834" spans="4:4" ht="12.75">
      <c r="D834" s="28"/>
    </row>
    <row r="835" spans="4:4" ht="12.75">
      <c r="D835" s="28"/>
    </row>
    <row r="836" spans="4:4" ht="12.75">
      <c r="D836" s="28"/>
    </row>
    <row r="837" spans="4:4" ht="12.75">
      <c r="D837" s="28"/>
    </row>
    <row r="838" spans="4:4" ht="12.75">
      <c r="D838" s="28"/>
    </row>
    <row r="839" spans="4:4" ht="12.75">
      <c r="D839" s="28"/>
    </row>
    <row r="840" spans="4:4" ht="12.75">
      <c r="D840" s="28"/>
    </row>
    <row r="841" spans="4:4" ht="12.75">
      <c r="D841" s="28"/>
    </row>
    <row r="842" spans="4:4" ht="12.75">
      <c r="D842" s="28"/>
    </row>
    <row r="843" spans="4:4" ht="12.75">
      <c r="D843" s="28"/>
    </row>
    <row r="844" spans="4:4" ht="12.75">
      <c r="D844" s="28"/>
    </row>
    <row r="845" spans="4:4" ht="12.75">
      <c r="D845" s="28"/>
    </row>
    <row r="846" spans="4:4" ht="12.75">
      <c r="D846" s="28"/>
    </row>
    <row r="847" spans="4:4" ht="12.75">
      <c r="D847" s="28"/>
    </row>
    <row r="848" spans="4:4" ht="12.75">
      <c r="D848" s="28"/>
    </row>
    <row r="849" spans="4:4" ht="12.75">
      <c r="D849" s="28"/>
    </row>
    <row r="850" spans="4:4" ht="12.75">
      <c r="D850" s="28"/>
    </row>
    <row r="851" spans="4:4" ht="12.75">
      <c r="D851" s="28"/>
    </row>
    <row r="852" spans="4:4" ht="12.75">
      <c r="D852" s="28"/>
    </row>
    <row r="853" spans="4:4" ht="12.75">
      <c r="D853" s="28"/>
    </row>
    <row r="854" spans="4:4" ht="12.75">
      <c r="D854" s="28"/>
    </row>
    <row r="855" spans="4:4" ht="12.75">
      <c r="D855" s="28"/>
    </row>
    <row r="856" spans="4:4" ht="12.75">
      <c r="D856" s="28"/>
    </row>
    <row r="857" spans="4:4" ht="12.75">
      <c r="D857" s="28"/>
    </row>
    <row r="858" spans="4:4" ht="12.75">
      <c r="D858" s="28"/>
    </row>
    <row r="859" spans="4:4" ht="12.75">
      <c r="D859" s="28"/>
    </row>
    <row r="860" spans="4:4" ht="12.75">
      <c r="D860" s="28"/>
    </row>
    <row r="861" spans="4:4" ht="12.75">
      <c r="D861" s="28"/>
    </row>
    <row r="862" spans="4:4" ht="12.75">
      <c r="D862" s="28"/>
    </row>
    <row r="863" spans="4:4" ht="12.75">
      <c r="D863" s="28"/>
    </row>
    <row r="864" spans="4:4" ht="12.75">
      <c r="D864" s="28"/>
    </row>
    <row r="865" spans="4:4" ht="12.75">
      <c r="D865" s="28"/>
    </row>
    <row r="866" spans="4:4" ht="12.75">
      <c r="D866" s="28"/>
    </row>
    <row r="867" spans="4:4" ht="12.75">
      <c r="D867" s="28"/>
    </row>
    <row r="868" spans="4:4" ht="12.75">
      <c r="D868" s="28"/>
    </row>
    <row r="869" spans="4:4" ht="12.75">
      <c r="D869" s="28"/>
    </row>
    <row r="870" spans="4:4" ht="12.75">
      <c r="D870" s="28"/>
    </row>
    <row r="871" spans="4:4" ht="12.75">
      <c r="D871" s="28"/>
    </row>
    <row r="872" spans="4:4" ht="12.75">
      <c r="D872" s="28"/>
    </row>
    <row r="873" spans="4:4" ht="12.75">
      <c r="D873" s="28"/>
    </row>
    <row r="874" spans="4:4" ht="12.75">
      <c r="D874" s="28"/>
    </row>
    <row r="875" spans="4:4" ht="12.75">
      <c r="D875" s="28"/>
    </row>
    <row r="876" spans="4:4" ht="12.75">
      <c r="D876" s="28"/>
    </row>
    <row r="877" spans="4:4" ht="12.75">
      <c r="D877" s="28"/>
    </row>
    <row r="878" spans="4:4" ht="12.75">
      <c r="D878" s="28"/>
    </row>
    <row r="879" spans="4:4" ht="12.75">
      <c r="D879" s="28"/>
    </row>
    <row r="880" spans="4:4" ht="12.75">
      <c r="D880" s="28"/>
    </row>
    <row r="881" spans="4:4" ht="12.75">
      <c r="D881" s="28"/>
    </row>
    <row r="882" spans="4:4" ht="12.75">
      <c r="D882" s="28"/>
    </row>
    <row r="883" spans="4:4" ht="12.75">
      <c r="D883" s="28"/>
    </row>
    <row r="884" spans="4:4" ht="12.75">
      <c r="D884" s="28"/>
    </row>
    <row r="885" spans="4:4" ht="12.75">
      <c r="D885" s="28"/>
    </row>
    <row r="886" spans="4:4" ht="12.75">
      <c r="D886" s="28"/>
    </row>
    <row r="887" spans="4:4" ht="12.75">
      <c r="D887" s="28"/>
    </row>
    <row r="888" spans="4:4" ht="12.75">
      <c r="D888" s="28"/>
    </row>
    <row r="889" spans="4:4" ht="12.75">
      <c r="D889" s="28"/>
    </row>
    <row r="890" spans="4:4" ht="12.75">
      <c r="D890" s="28"/>
    </row>
    <row r="891" spans="4:4" ht="12.75">
      <c r="D891" s="28"/>
    </row>
    <row r="892" spans="4:4" ht="12.75">
      <c r="D892" s="28"/>
    </row>
    <row r="893" spans="4:4" ht="12.75">
      <c r="D893" s="28"/>
    </row>
    <row r="894" spans="4:4" ht="12.75">
      <c r="D894" s="28"/>
    </row>
    <row r="895" spans="4:4" ht="12.75">
      <c r="D895" s="28"/>
    </row>
    <row r="896" spans="4:4" ht="12.75">
      <c r="D896" s="28"/>
    </row>
    <row r="897" spans="4:4" ht="12.75">
      <c r="D897" s="28"/>
    </row>
    <row r="898" spans="4:4" ht="12.75">
      <c r="D898" s="28"/>
    </row>
    <row r="899" spans="4:4" ht="12.75">
      <c r="D899" s="28"/>
    </row>
    <row r="900" spans="4:4" ht="12.75">
      <c r="D900" s="28"/>
    </row>
    <row r="901" spans="4:4" ht="12.75">
      <c r="D901" s="28"/>
    </row>
    <row r="902" spans="4:4" ht="12.75">
      <c r="D902" s="28"/>
    </row>
    <row r="903" spans="4:4" ht="12.75">
      <c r="D903" s="28"/>
    </row>
    <row r="904" spans="4:4" ht="12.75">
      <c r="D904" s="28"/>
    </row>
    <row r="905" spans="4:4" ht="12.75">
      <c r="D905" s="28"/>
    </row>
    <row r="906" spans="4:4" ht="12.75">
      <c r="D906" s="28"/>
    </row>
    <row r="907" spans="4:4" ht="12.75">
      <c r="D907" s="28"/>
    </row>
    <row r="908" spans="4:4" ht="12.75">
      <c r="D908" s="28"/>
    </row>
    <row r="909" spans="4:4" ht="12.75">
      <c r="D909" s="28"/>
    </row>
    <row r="910" spans="4:4" ht="12.75">
      <c r="D910" s="28"/>
    </row>
    <row r="911" spans="4:4" ht="12.75">
      <c r="D911" s="28"/>
    </row>
    <row r="912" spans="4:4" ht="12.75">
      <c r="D912" s="28"/>
    </row>
    <row r="913" spans="4:4" ht="12.75">
      <c r="D913" s="28"/>
    </row>
    <row r="914" spans="4:4" ht="12.75">
      <c r="D914" s="28"/>
    </row>
    <row r="915" spans="4:4" ht="12.75">
      <c r="D915" s="28"/>
    </row>
    <row r="916" spans="4:4" ht="12.75">
      <c r="D916" s="28"/>
    </row>
    <row r="917" spans="4:4" ht="12.75">
      <c r="D917" s="28"/>
    </row>
    <row r="918" spans="4:4" ht="12.75">
      <c r="D918" s="28"/>
    </row>
    <row r="919" spans="4:4" ht="12.75">
      <c r="D919" s="28"/>
    </row>
    <row r="920" spans="4:4" ht="12.75">
      <c r="D920" s="28"/>
    </row>
    <row r="921" spans="4:4" ht="12.75">
      <c r="D921" s="28"/>
    </row>
    <row r="922" spans="4:4" ht="12.75">
      <c r="D922" s="28"/>
    </row>
    <row r="923" spans="4:4" ht="12.75">
      <c r="D923" s="28"/>
    </row>
    <row r="924" spans="4:4" ht="12.75">
      <c r="D924" s="28"/>
    </row>
    <row r="925" spans="4:4" ht="12.75">
      <c r="D925" s="28"/>
    </row>
    <row r="926" spans="4:4" ht="12.75">
      <c r="D926" s="28"/>
    </row>
    <row r="927" spans="4:4" ht="12.75">
      <c r="D927" s="28"/>
    </row>
    <row r="928" spans="4:4" ht="12.75">
      <c r="D928" s="28"/>
    </row>
    <row r="929" spans="4:4" ht="12.75">
      <c r="D929" s="28"/>
    </row>
    <row r="930" spans="4:4" ht="12.75">
      <c r="D930" s="28"/>
    </row>
    <row r="931" spans="4:4" ht="12.75">
      <c r="D931" s="28"/>
    </row>
    <row r="932" spans="4:4" ht="12.75">
      <c r="D932" s="28"/>
    </row>
    <row r="933" spans="4:4" ht="12.75">
      <c r="D933" s="28"/>
    </row>
    <row r="934" spans="4:4" ht="12.75">
      <c r="D934" s="28"/>
    </row>
    <row r="935" spans="4:4" ht="12.75">
      <c r="D935" s="28"/>
    </row>
    <row r="936" spans="4:4" ht="12.75">
      <c r="D936" s="28"/>
    </row>
    <row r="937" spans="4:4" ht="12.75">
      <c r="D937" s="28"/>
    </row>
    <row r="938" spans="4:4" ht="12.75">
      <c r="D938" s="28"/>
    </row>
    <row r="939" spans="4:4" ht="12.75">
      <c r="D939" s="28"/>
    </row>
    <row r="940" spans="4:4" ht="12.75">
      <c r="D940" s="28"/>
    </row>
    <row r="941" spans="4:4" ht="12.75">
      <c r="D941" s="28"/>
    </row>
    <row r="942" spans="4:4" ht="12.75">
      <c r="D942" s="28"/>
    </row>
    <row r="943" spans="4:4" ht="12.75">
      <c r="D943" s="28"/>
    </row>
    <row r="944" spans="4:4" ht="12.75">
      <c r="D944" s="28"/>
    </row>
    <row r="945" spans="4:4" ht="12.75">
      <c r="D945" s="28"/>
    </row>
    <row r="946" spans="4:4" ht="12.75">
      <c r="D946" s="28"/>
    </row>
    <row r="947" spans="4:4" ht="12.75">
      <c r="D947" s="28"/>
    </row>
    <row r="948" spans="4:4" ht="12.75">
      <c r="D948" s="28"/>
    </row>
    <row r="949" spans="4:4" ht="12.75">
      <c r="D949" s="28"/>
    </row>
    <row r="950" spans="4:4" ht="12.75">
      <c r="D950" s="28"/>
    </row>
    <row r="951" spans="4:4" ht="12.75">
      <c r="D951" s="28"/>
    </row>
    <row r="952" spans="4:4" ht="12.75">
      <c r="D952" s="28"/>
    </row>
    <row r="953" spans="4:4" ht="12.75">
      <c r="D953" s="28"/>
    </row>
    <row r="954" spans="4:4" ht="12.75">
      <c r="D954" s="28"/>
    </row>
    <row r="955" spans="4:4" ht="12.75">
      <c r="D955" s="28"/>
    </row>
    <row r="956" spans="4:4" ht="12.75">
      <c r="D956" s="28"/>
    </row>
    <row r="957" spans="4:4" ht="12.75">
      <c r="D957" s="28"/>
    </row>
    <row r="958" spans="4:4" ht="12.75">
      <c r="D958" s="28"/>
    </row>
    <row r="959" spans="4:4" ht="12.75">
      <c r="D959" s="28"/>
    </row>
    <row r="960" spans="4:4" ht="12.75">
      <c r="D960" s="28"/>
    </row>
    <row r="961" spans="4:4" ht="12.75">
      <c r="D961" s="28"/>
    </row>
    <row r="962" spans="4:4" ht="12.75">
      <c r="D962" s="28"/>
    </row>
    <row r="963" spans="4:4" ht="12.75">
      <c r="D963" s="28"/>
    </row>
    <row r="964" spans="4:4" ht="12.75">
      <c r="D964" s="28"/>
    </row>
    <row r="965" spans="4:4" ht="12.75">
      <c r="D965" s="28"/>
    </row>
    <row r="966" spans="4:4" ht="12.75">
      <c r="D966" s="28"/>
    </row>
    <row r="967" spans="4:4" ht="12.75">
      <c r="D967" s="28"/>
    </row>
    <row r="968" spans="4:4" ht="12.75">
      <c r="D968" s="28"/>
    </row>
    <row r="969" spans="4:4" ht="12.75">
      <c r="D969" s="28"/>
    </row>
    <row r="970" spans="4:4" ht="12.75">
      <c r="D970" s="28"/>
    </row>
    <row r="971" spans="4:4" ht="12.75">
      <c r="D971" s="28"/>
    </row>
    <row r="972" spans="4:4" ht="12.75">
      <c r="D972" s="28"/>
    </row>
    <row r="973" spans="4:4" ht="12.75">
      <c r="D973" s="28"/>
    </row>
    <row r="974" spans="4:4" ht="12.75">
      <c r="D974" s="28"/>
    </row>
    <row r="975" spans="4:4" ht="12.75">
      <c r="D975" s="28"/>
    </row>
    <row r="976" spans="4:4" ht="12.75">
      <c r="D976" s="28"/>
    </row>
    <row r="977" spans="4:4" ht="12.75">
      <c r="D977" s="28"/>
    </row>
    <row r="978" spans="4:4" ht="12.75">
      <c r="D978" s="28"/>
    </row>
    <row r="979" spans="4:4" ht="12.75">
      <c r="D979" s="28"/>
    </row>
    <row r="980" spans="4:4" ht="12.75">
      <c r="D980" s="28"/>
    </row>
    <row r="981" spans="4:4" ht="12.75">
      <c r="D981" s="28"/>
    </row>
    <row r="982" spans="4:4" ht="12.75">
      <c r="D982" s="28"/>
    </row>
    <row r="983" spans="4:4" ht="12.75">
      <c r="D983" s="28"/>
    </row>
    <row r="984" spans="4:4" ht="12.75">
      <c r="D984" s="28"/>
    </row>
    <row r="985" spans="4:4" ht="12.75">
      <c r="D985" s="28"/>
    </row>
    <row r="986" spans="4:4" ht="12.75">
      <c r="D986" s="28"/>
    </row>
    <row r="987" spans="4:4" ht="12.75">
      <c r="D987" s="28"/>
    </row>
    <row r="988" spans="4:4" ht="12.75">
      <c r="D988" s="28"/>
    </row>
    <row r="989" spans="4:4" ht="12.75">
      <c r="D989" s="28"/>
    </row>
    <row r="990" spans="4:4" ht="12.75">
      <c r="D990" s="28"/>
    </row>
    <row r="991" spans="4:4" ht="12.75">
      <c r="D991" s="28"/>
    </row>
    <row r="992" spans="4:4" ht="12.75">
      <c r="D992" s="28"/>
    </row>
    <row r="993" spans="4:4" ht="12.75">
      <c r="D993" s="28"/>
    </row>
    <row r="994" spans="4:4" ht="12.75">
      <c r="D994" s="28"/>
    </row>
    <row r="995" spans="4:4" ht="12.75">
      <c r="D995" s="28"/>
    </row>
    <row r="996" spans="4:4" ht="12.75">
      <c r="D996" s="28"/>
    </row>
    <row r="997" spans="4:4" ht="12.75">
      <c r="D997" s="28"/>
    </row>
    <row r="998" spans="4:4" ht="12.75">
      <c r="D998" s="28"/>
    </row>
    <row r="999" spans="4:4" ht="12.75">
      <c r="D999" s="28"/>
    </row>
  </sheetData>
  <customSheetViews>
    <customSheetView guid="{E79D1D05-9F65-4414-A4D1-ED3DAE422003}" filter="1" showAutoFilter="1">
      <pageMargins left="0.7" right="0.7" top="0.75" bottom="0.75" header="0.3" footer="0.3"/>
      <autoFilter ref="A1:M159" xr:uid="{00000000-0000-0000-0000-000000000000}"/>
    </customSheetView>
  </customSheetView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D1:F1618"/>
  <sheetViews>
    <sheetView workbookViewId="0"/>
  </sheetViews>
  <sheetFormatPr baseColWidth="10" defaultColWidth="14.42578125" defaultRowHeight="15.75" customHeight="1"/>
  <cols>
    <col min="4" max="4" width="36" customWidth="1"/>
    <col min="5" max="5" width="14.140625" customWidth="1"/>
    <col min="6" max="6" width="36.28515625" customWidth="1"/>
  </cols>
  <sheetData>
    <row r="1" spans="4:6" ht="15.75" customHeight="1">
      <c r="D1" s="14" t="s">
        <v>237</v>
      </c>
      <c r="E1" s="15" t="s">
        <v>238</v>
      </c>
      <c r="F1" s="16" t="s">
        <v>239</v>
      </c>
    </row>
    <row r="2" spans="4:6" ht="15.75" customHeight="1">
      <c r="D2" s="17" t="s">
        <v>240</v>
      </c>
      <c r="E2" s="18" t="s">
        <v>241</v>
      </c>
      <c r="F2" s="19" t="s">
        <v>242</v>
      </c>
    </row>
    <row r="3" spans="4:6" ht="15.75" customHeight="1">
      <c r="D3" s="20" t="s">
        <v>243</v>
      </c>
      <c r="E3" s="21" t="s">
        <v>244</v>
      </c>
      <c r="F3" s="22" t="s">
        <v>245</v>
      </c>
    </row>
    <row r="4" spans="4:6" ht="15.75" customHeight="1">
      <c r="D4" s="20" t="s">
        <v>246</v>
      </c>
      <c r="E4" s="21" t="s">
        <v>16</v>
      </c>
      <c r="F4" s="22" t="s">
        <v>247</v>
      </c>
    </row>
    <row r="5" spans="4:6" ht="15.75" customHeight="1">
      <c r="D5" s="20" t="s">
        <v>248</v>
      </c>
      <c r="E5" s="21" t="s">
        <v>23</v>
      </c>
      <c r="F5" s="22" t="s">
        <v>249</v>
      </c>
    </row>
    <row r="6" spans="4:6" ht="15.75" customHeight="1">
      <c r="D6" s="20" t="s">
        <v>250</v>
      </c>
      <c r="E6" s="21" t="s">
        <v>251</v>
      </c>
      <c r="F6" s="22" t="s">
        <v>252</v>
      </c>
    </row>
    <row r="7" spans="4:6" ht="15.75" customHeight="1">
      <c r="D7" s="20" t="s">
        <v>253</v>
      </c>
      <c r="E7" s="21" t="s">
        <v>254</v>
      </c>
      <c r="F7" s="22" t="s">
        <v>255</v>
      </c>
    </row>
    <row r="8" spans="4:6" ht="15.75" customHeight="1">
      <c r="D8" s="20" t="s">
        <v>256</v>
      </c>
      <c r="E8" s="21" t="s">
        <v>257</v>
      </c>
      <c r="F8" s="22" t="s">
        <v>258</v>
      </c>
    </row>
    <row r="9" spans="4:6" ht="15.75" customHeight="1">
      <c r="D9" s="20" t="s">
        <v>259</v>
      </c>
      <c r="E9" s="21" t="s">
        <v>53</v>
      </c>
      <c r="F9" s="22" t="s">
        <v>260</v>
      </c>
    </row>
    <row r="10" spans="4:6" ht="15.75" customHeight="1">
      <c r="D10" s="20" t="s">
        <v>261</v>
      </c>
      <c r="E10" s="21" t="s">
        <v>262</v>
      </c>
      <c r="F10" s="22" t="s">
        <v>263</v>
      </c>
    </row>
    <row r="11" spans="4:6" ht="15.75" customHeight="1">
      <c r="D11" s="20" t="s">
        <v>264</v>
      </c>
      <c r="E11" s="21" t="s">
        <v>265</v>
      </c>
      <c r="F11" s="22" t="s">
        <v>266</v>
      </c>
    </row>
    <row r="12" spans="4:6" ht="15.75" customHeight="1">
      <c r="D12" s="20" t="s">
        <v>267</v>
      </c>
      <c r="E12" s="21" t="s">
        <v>268</v>
      </c>
      <c r="F12" s="22" t="s">
        <v>269</v>
      </c>
    </row>
    <row r="13" spans="4:6" ht="15.75" customHeight="1">
      <c r="D13" s="20" t="s">
        <v>270</v>
      </c>
      <c r="E13" s="21" t="s">
        <v>24</v>
      </c>
      <c r="F13" s="21" t="s">
        <v>271</v>
      </c>
    </row>
    <row r="14" spans="4:6" ht="15.75" customHeight="1">
      <c r="D14" s="20" t="s">
        <v>272</v>
      </c>
      <c r="E14" s="21" t="s">
        <v>273</v>
      </c>
      <c r="F14" s="21" t="s">
        <v>274</v>
      </c>
    </row>
    <row r="15" spans="4:6" ht="15.75" customHeight="1">
      <c r="D15" s="20" t="s">
        <v>275</v>
      </c>
      <c r="E15" s="21" t="s">
        <v>276</v>
      </c>
      <c r="F15" s="21" t="s">
        <v>277</v>
      </c>
    </row>
    <row r="16" spans="4:6" ht="15.75" customHeight="1">
      <c r="D16" s="20" t="s">
        <v>278</v>
      </c>
      <c r="E16" s="21" t="s">
        <v>279</v>
      </c>
      <c r="F16" s="21" t="s">
        <v>280</v>
      </c>
    </row>
    <row r="17" spans="4:6" ht="15.75" customHeight="1">
      <c r="D17" s="20" t="s">
        <v>281</v>
      </c>
      <c r="E17" s="21" t="s">
        <v>282</v>
      </c>
      <c r="F17" s="21" t="s">
        <v>283</v>
      </c>
    </row>
    <row r="18" spans="4:6" ht="15">
      <c r="D18" s="20" t="s">
        <v>284</v>
      </c>
      <c r="E18" s="21"/>
      <c r="F18" s="23"/>
    </row>
    <row r="19" spans="4:6" ht="15.75" customHeight="1">
      <c r="D19" s="20" t="s">
        <v>285</v>
      </c>
      <c r="E19" s="21" t="s">
        <v>286</v>
      </c>
      <c r="F19" s="21" t="s">
        <v>287</v>
      </c>
    </row>
    <row r="20" spans="4:6" ht="15.75" customHeight="1">
      <c r="D20" s="20" t="s">
        <v>288</v>
      </c>
      <c r="E20" s="21" t="s">
        <v>289</v>
      </c>
      <c r="F20" s="21" t="s">
        <v>290</v>
      </c>
    </row>
    <row r="21" spans="4:6" ht="15.75" customHeight="1">
      <c r="D21" s="20" t="s">
        <v>291</v>
      </c>
      <c r="E21" s="21" t="s">
        <v>292</v>
      </c>
      <c r="F21" s="21" t="s">
        <v>293</v>
      </c>
    </row>
    <row r="22" spans="4:6" ht="15.75" customHeight="1">
      <c r="D22" s="20" t="s">
        <v>294</v>
      </c>
      <c r="E22" s="21" t="s">
        <v>295</v>
      </c>
      <c r="F22" s="21" t="s">
        <v>296</v>
      </c>
    </row>
    <row r="23" spans="4:6" ht="15.75" customHeight="1">
      <c r="D23" s="20" t="s">
        <v>297</v>
      </c>
      <c r="E23" s="21" t="s">
        <v>43</v>
      </c>
      <c r="F23" s="22" t="s">
        <v>298</v>
      </c>
    </row>
    <row r="24" spans="4:6" ht="12.75">
      <c r="D24" s="20" t="s">
        <v>299</v>
      </c>
      <c r="E24" s="21" t="s">
        <v>300</v>
      </c>
      <c r="F24" s="21" t="s">
        <v>301</v>
      </c>
    </row>
    <row r="25" spans="4:6" ht="12.75">
      <c r="D25" s="20" t="s">
        <v>302</v>
      </c>
      <c r="E25" s="21" t="s">
        <v>303</v>
      </c>
      <c r="F25" s="22" t="s">
        <v>304</v>
      </c>
    </row>
    <row r="26" spans="4:6" ht="12.75">
      <c r="D26" s="20" t="s">
        <v>305</v>
      </c>
      <c r="E26" s="21" t="s">
        <v>306</v>
      </c>
      <c r="F26" s="21" t="s">
        <v>307</v>
      </c>
    </row>
    <row r="27" spans="4:6" ht="12.75">
      <c r="D27" s="20" t="s">
        <v>308</v>
      </c>
      <c r="E27" s="21" t="s">
        <v>309</v>
      </c>
      <c r="F27" s="22" t="s">
        <v>310</v>
      </c>
    </row>
    <row r="28" spans="4:6" ht="12.75">
      <c r="D28" s="20" t="s">
        <v>284</v>
      </c>
      <c r="E28" s="21"/>
      <c r="F28" s="21"/>
    </row>
    <row r="29" spans="4:6" ht="12.75">
      <c r="D29" s="20" t="s">
        <v>311</v>
      </c>
      <c r="E29" s="21" t="s">
        <v>312</v>
      </c>
      <c r="F29" s="21" t="s">
        <v>313</v>
      </c>
    </row>
    <row r="30" spans="4:6" ht="12.75">
      <c r="D30" s="20" t="s">
        <v>314</v>
      </c>
      <c r="E30" s="21" t="s">
        <v>315</v>
      </c>
      <c r="F30" s="21" t="s">
        <v>316</v>
      </c>
    </row>
    <row r="31" spans="4:6" ht="12.75">
      <c r="D31" s="20" t="s">
        <v>317</v>
      </c>
      <c r="E31" s="21" t="s">
        <v>318</v>
      </c>
      <c r="F31" s="21"/>
    </row>
    <row r="32" spans="4:6" ht="12.75">
      <c r="D32" s="20" t="s">
        <v>319</v>
      </c>
      <c r="E32" s="21" t="s">
        <v>320</v>
      </c>
      <c r="F32" s="22"/>
    </row>
    <row r="33" spans="4:6" ht="12.75">
      <c r="D33" s="20" t="s">
        <v>321</v>
      </c>
      <c r="E33" s="21" t="s">
        <v>322</v>
      </c>
      <c r="F33" s="21" t="s">
        <v>323</v>
      </c>
    </row>
    <row r="34" spans="4:6" ht="12.75">
      <c r="D34" s="20" t="s">
        <v>324</v>
      </c>
      <c r="E34" s="21" t="s">
        <v>325</v>
      </c>
      <c r="F34" s="21" t="s">
        <v>326</v>
      </c>
    </row>
    <row r="35" spans="4:6" ht="12.75">
      <c r="D35" s="20" t="s">
        <v>327</v>
      </c>
      <c r="E35" s="21" t="s">
        <v>328</v>
      </c>
      <c r="F35" s="21" t="s">
        <v>329</v>
      </c>
    </row>
    <row r="36" spans="4:6" ht="12.75">
      <c r="D36" s="20" t="s">
        <v>330</v>
      </c>
      <c r="E36" s="21" t="s">
        <v>331</v>
      </c>
      <c r="F36" s="21" t="s">
        <v>332</v>
      </c>
    </row>
    <row r="37" spans="4:6" ht="12.75">
      <c r="D37" s="20" t="s">
        <v>284</v>
      </c>
      <c r="E37" s="21"/>
      <c r="F37" s="21"/>
    </row>
    <row r="38" spans="4:6" ht="12.75">
      <c r="D38" s="20" t="s">
        <v>333</v>
      </c>
      <c r="E38" s="21" t="s">
        <v>334</v>
      </c>
      <c r="F38" s="21" t="s">
        <v>335</v>
      </c>
    </row>
    <row r="39" spans="4:6" ht="12.75">
      <c r="D39" s="20" t="s">
        <v>336</v>
      </c>
      <c r="E39" s="21" t="s">
        <v>337</v>
      </c>
      <c r="F39" s="21" t="s">
        <v>338</v>
      </c>
    </row>
    <row r="40" spans="4:6" ht="12.75">
      <c r="D40" s="20" t="s">
        <v>339</v>
      </c>
      <c r="E40" s="21" t="s">
        <v>340</v>
      </c>
      <c r="F40" s="21" t="s">
        <v>341</v>
      </c>
    </row>
    <row r="41" spans="4:6" ht="12.75">
      <c r="D41" s="20" t="s">
        <v>342</v>
      </c>
      <c r="E41" s="21" t="s">
        <v>343</v>
      </c>
      <c r="F41" s="21" t="s">
        <v>344</v>
      </c>
    </row>
    <row r="42" spans="4:6" ht="12.75">
      <c r="D42" s="20" t="s">
        <v>345</v>
      </c>
      <c r="E42" s="21" t="s">
        <v>346</v>
      </c>
      <c r="F42" s="21" t="s">
        <v>347</v>
      </c>
    </row>
    <row r="43" spans="4:6" ht="12.75">
      <c r="D43" s="20" t="s">
        <v>348</v>
      </c>
      <c r="E43" s="21" t="s">
        <v>349</v>
      </c>
      <c r="F43" s="21" t="s">
        <v>350</v>
      </c>
    </row>
    <row r="44" spans="4:6" ht="12.75">
      <c r="D44" s="20" t="s">
        <v>351</v>
      </c>
      <c r="E44" s="21" t="s">
        <v>352</v>
      </c>
      <c r="F44" s="21" t="s">
        <v>353</v>
      </c>
    </row>
    <row r="45" spans="4:6" ht="12.75">
      <c r="D45" s="20" t="s">
        <v>354</v>
      </c>
      <c r="E45" s="21" t="s">
        <v>355</v>
      </c>
      <c r="F45" s="22" t="s">
        <v>356</v>
      </c>
    </row>
    <row r="46" spans="4:6" ht="12.75">
      <c r="D46" s="20" t="s">
        <v>357</v>
      </c>
      <c r="E46" s="21" t="s">
        <v>358</v>
      </c>
      <c r="F46" s="22" t="s">
        <v>359</v>
      </c>
    </row>
    <row r="47" spans="4:6" ht="12.75">
      <c r="D47" s="20" t="s">
        <v>360</v>
      </c>
      <c r="E47" s="21" t="s">
        <v>361</v>
      </c>
      <c r="F47" s="21" t="s">
        <v>362</v>
      </c>
    </row>
    <row r="48" spans="4:6" ht="12.75">
      <c r="D48" s="20" t="s">
        <v>363</v>
      </c>
      <c r="E48" s="21" t="s">
        <v>364</v>
      </c>
      <c r="F48" s="22" t="s">
        <v>365</v>
      </c>
    </row>
    <row r="49" spans="4:6" ht="12.75">
      <c r="D49" s="20" t="s">
        <v>366</v>
      </c>
      <c r="E49" s="21" t="s">
        <v>367</v>
      </c>
      <c r="F49" s="21" t="s">
        <v>368</v>
      </c>
    </row>
    <row r="50" spans="4:6" ht="12.75">
      <c r="D50" s="20" t="s">
        <v>369</v>
      </c>
      <c r="E50" s="21" t="s">
        <v>370</v>
      </c>
      <c r="F50" s="21" t="s">
        <v>371</v>
      </c>
    </row>
    <row r="51" spans="4:6" ht="12.75">
      <c r="D51" s="20" t="s">
        <v>372</v>
      </c>
      <c r="E51" s="21" t="s">
        <v>373</v>
      </c>
      <c r="F51" s="21" t="s">
        <v>374</v>
      </c>
    </row>
    <row r="52" spans="4:6" ht="12.75">
      <c r="D52" s="20" t="s">
        <v>375</v>
      </c>
      <c r="E52" s="21" t="s">
        <v>376</v>
      </c>
      <c r="F52" s="21"/>
    </row>
    <row r="53" spans="4:6" ht="12.75">
      <c r="D53" s="20" t="s">
        <v>377</v>
      </c>
      <c r="E53" s="21" t="s">
        <v>378</v>
      </c>
      <c r="F53" s="21" t="s">
        <v>379</v>
      </c>
    </row>
    <row r="54" spans="4:6" ht="12.75">
      <c r="D54" s="20" t="s">
        <v>380</v>
      </c>
      <c r="E54" s="21" t="s">
        <v>381</v>
      </c>
      <c r="F54" s="21" t="s">
        <v>382</v>
      </c>
    </row>
    <row r="55" spans="4:6" ht="12.75">
      <c r="D55" s="20" t="s">
        <v>383</v>
      </c>
      <c r="E55" s="21" t="s">
        <v>31</v>
      </c>
      <c r="F55" s="21" t="s">
        <v>384</v>
      </c>
    </row>
    <row r="56" spans="4:6" ht="12.75">
      <c r="D56" s="20" t="s">
        <v>385</v>
      </c>
      <c r="E56" s="21" t="s">
        <v>386</v>
      </c>
      <c r="F56" s="21" t="s">
        <v>387</v>
      </c>
    </row>
    <row r="57" spans="4:6" ht="12.75">
      <c r="D57" s="20" t="s">
        <v>388</v>
      </c>
      <c r="E57" s="21" t="s">
        <v>389</v>
      </c>
      <c r="F57" s="21" t="s">
        <v>390</v>
      </c>
    </row>
    <row r="58" spans="4:6" ht="12.75">
      <c r="D58" s="20" t="s">
        <v>391</v>
      </c>
      <c r="E58" s="21" t="s">
        <v>392</v>
      </c>
      <c r="F58" s="21" t="s">
        <v>393</v>
      </c>
    </row>
    <row r="59" spans="4:6" ht="12.75">
      <c r="D59" s="20" t="s">
        <v>394</v>
      </c>
      <c r="E59" s="21" t="s">
        <v>395</v>
      </c>
      <c r="F59" s="21" t="s">
        <v>396</v>
      </c>
    </row>
    <row r="60" spans="4:6" ht="12.75">
      <c r="D60" s="20" t="s">
        <v>397</v>
      </c>
      <c r="E60" s="21" t="s">
        <v>398</v>
      </c>
      <c r="F60" s="21" t="s">
        <v>399</v>
      </c>
    </row>
    <row r="61" spans="4:6" ht="12.75">
      <c r="D61" s="20" t="s">
        <v>400</v>
      </c>
      <c r="E61" s="21" t="s">
        <v>401</v>
      </c>
      <c r="F61" s="21" t="s">
        <v>402</v>
      </c>
    </row>
    <row r="62" spans="4:6" ht="12.75">
      <c r="D62" s="20" t="s">
        <v>403</v>
      </c>
      <c r="E62" s="21" t="s">
        <v>404</v>
      </c>
      <c r="F62" s="21" t="s">
        <v>405</v>
      </c>
    </row>
    <row r="63" spans="4:6" ht="12.75">
      <c r="D63" s="20" t="s">
        <v>406</v>
      </c>
      <c r="E63" s="21" t="s">
        <v>407</v>
      </c>
      <c r="F63" s="21" t="s">
        <v>408</v>
      </c>
    </row>
    <row r="64" spans="4:6" ht="12.75">
      <c r="D64" s="20" t="s">
        <v>409</v>
      </c>
      <c r="E64" s="21" t="s">
        <v>410</v>
      </c>
      <c r="F64" s="21" t="s">
        <v>411</v>
      </c>
    </row>
    <row r="65" spans="4:6" ht="12.75">
      <c r="D65" s="20" t="s">
        <v>412</v>
      </c>
      <c r="E65" s="21" t="s">
        <v>413</v>
      </c>
      <c r="F65" s="21" t="s">
        <v>414</v>
      </c>
    </row>
    <row r="66" spans="4:6" ht="12.75">
      <c r="D66" s="20" t="s">
        <v>284</v>
      </c>
      <c r="E66" s="21"/>
      <c r="F66" s="21"/>
    </row>
    <row r="67" spans="4:6" ht="12.75">
      <c r="D67" s="20" t="s">
        <v>415</v>
      </c>
      <c r="E67" s="21" t="s">
        <v>416</v>
      </c>
      <c r="F67" s="21" t="s">
        <v>417</v>
      </c>
    </row>
    <row r="68" spans="4:6" ht="12.75">
      <c r="D68" s="20" t="s">
        <v>418</v>
      </c>
      <c r="E68" s="21" t="s">
        <v>419</v>
      </c>
      <c r="F68" s="21" t="s">
        <v>420</v>
      </c>
    </row>
    <row r="69" spans="4:6" ht="12.75">
      <c r="D69" s="20" t="s">
        <v>421</v>
      </c>
      <c r="E69" s="21" t="s">
        <v>422</v>
      </c>
      <c r="F69" s="21" t="s">
        <v>423</v>
      </c>
    </row>
    <row r="70" spans="4:6" ht="12.75">
      <c r="D70" s="20" t="s">
        <v>424</v>
      </c>
      <c r="E70" s="21" t="s">
        <v>425</v>
      </c>
      <c r="F70" s="21" t="s">
        <v>426</v>
      </c>
    </row>
    <row r="71" spans="4:6" ht="12.75">
      <c r="D71" s="20" t="s">
        <v>427</v>
      </c>
      <c r="E71" s="21" t="s">
        <v>428</v>
      </c>
      <c r="F71" s="21" t="s">
        <v>429</v>
      </c>
    </row>
    <row r="72" spans="4:6" ht="12.75">
      <c r="D72" s="20" t="s">
        <v>430</v>
      </c>
      <c r="E72" s="21" t="s">
        <v>431</v>
      </c>
      <c r="F72" s="21" t="s">
        <v>432</v>
      </c>
    </row>
    <row r="73" spans="4:6" ht="12.75">
      <c r="D73" s="20" t="s">
        <v>433</v>
      </c>
      <c r="E73" s="21" t="s">
        <v>434</v>
      </c>
      <c r="F73" s="21" t="s">
        <v>435</v>
      </c>
    </row>
    <row r="74" spans="4:6" ht="12.75">
      <c r="D74" s="20" t="s">
        <v>436</v>
      </c>
      <c r="E74" s="21" t="s">
        <v>437</v>
      </c>
      <c r="F74" s="21" t="s">
        <v>438</v>
      </c>
    </row>
    <row r="75" spans="4:6" ht="12.75">
      <c r="D75" s="20" t="s">
        <v>439</v>
      </c>
      <c r="E75" s="21" t="s">
        <v>440</v>
      </c>
      <c r="F75" s="21" t="s">
        <v>441</v>
      </c>
    </row>
    <row r="76" spans="4:6" ht="12.75">
      <c r="D76" s="20" t="s">
        <v>442</v>
      </c>
      <c r="E76" s="21" t="s">
        <v>443</v>
      </c>
      <c r="F76" s="21" t="s">
        <v>444</v>
      </c>
    </row>
    <row r="77" spans="4:6" ht="12.75">
      <c r="D77" s="20" t="s">
        <v>445</v>
      </c>
      <c r="E77" s="21" t="s">
        <v>446</v>
      </c>
      <c r="F77" s="22" t="s">
        <v>447</v>
      </c>
    </row>
    <row r="78" spans="4:6" ht="12.75">
      <c r="D78" s="20" t="s">
        <v>448</v>
      </c>
      <c r="E78" s="21" t="s">
        <v>449</v>
      </c>
      <c r="F78" s="21" t="s">
        <v>450</v>
      </c>
    </row>
    <row r="79" spans="4:6" ht="12.75">
      <c r="D79" s="20" t="s">
        <v>451</v>
      </c>
      <c r="E79" s="21" t="s">
        <v>452</v>
      </c>
      <c r="F79" s="21" t="s">
        <v>453</v>
      </c>
    </row>
    <row r="80" spans="4:6" ht="12.75">
      <c r="D80" s="20" t="s">
        <v>454</v>
      </c>
      <c r="E80" s="21" t="s">
        <v>455</v>
      </c>
      <c r="F80" s="21" t="s">
        <v>456</v>
      </c>
    </row>
    <row r="81" spans="4:6" ht="12.75">
      <c r="D81" s="20" t="s">
        <v>457</v>
      </c>
      <c r="E81" s="21" t="s">
        <v>458</v>
      </c>
      <c r="F81" s="21" t="s">
        <v>459</v>
      </c>
    </row>
    <row r="82" spans="4:6" ht="12.75">
      <c r="D82" s="20" t="s">
        <v>460</v>
      </c>
      <c r="E82" s="21" t="s">
        <v>461</v>
      </c>
      <c r="F82" s="21" t="s">
        <v>462</v>
      </c>
    </row>
    <row r="83" spans="4:6" ht="12.75">
      <c r="D83" s="20" t="s">
        <v>463</v>
      </c>
      <c r="E83" s="21" t="s">
        <v>464</v>
      </c>
      <c r="F83" s="21" t="s">
        <v>465</v>
      </c>
    </row>
    <row r="84" spans="4:6" ht="12.75">
      <c r="D84" s="20" t="s">
        <v>466</v>
      </c>
      <c r="E84" s="21" t="s">
        <v>467</v>
      </c>
      <c r="F84" s="21" t="s">
        <v>468</v>
      </c>
    </row>
    <row r="85" spans="4:6" ht="12.75">
      <c r="D85" s="20" t="s">
        <v>469</v>
      </c>
      <c r="E85" s="21" t="s">
        <v>470</v>
      </c>
      <c r="F85" s="21" t="s">
        <v>471</v>
      </c>
    </row>
    <row r="86" spans="4:6" ht="12.75">
      <c r="D86" s="20" t="s">
        <v>472</v>
      </c>
      <c r="E86" s="21" t="s">
        <v>473</v>
      </c>
      <c r="F86" s="21" t="s">
        <v>474</v>
      </c>
    </row>
    <row r="87" spans="4:6" ht="12.75">
      <c r="D87" s="20" t="s">
        <v>475</v>
      </c>
      <c r="E87" s="21" t="s">
        <v>476</v>
      </c>
      <c r="F87" s="21" t="s">
        <v>477</v>
      </c>
    </row>
    <row r="88" spans="4:6" ht="12.75">
      <c r="D88" s="20" t="s">
        <v>478</v>
      </c>
      <c r="E88" s="21" t="s">
        <v>479</v>
      </c>
      <c r="F88" s="21" t="s">
        <v>480</v>
      </c>
    </row>
    <row r="89" spans="4:6" ht="12.75">
      <c r="D89" s="20" t="s">
        <v>481</v>
      </c>
      <c r="E89" s="21" t="s">
        <v>482</v>
      </c>
      <c r="F89" s="21" t="s">
        <v>483</v>
      </c>
    </row>
    <row r="90" spans="4:6" ht="12.75">
      <c r="D90" s="20" t="s">
        <v>484</v>
      </c>
      <c r="E90" s="21" t="s">
        <v>485</v>
      </c>
      <c r="F90" s="21" t="s">
        <v>486</v>
      </c>
    </row>
    <row r="91" spans="4:6" ht="12.75">
      <c r="D91" s="20" t="s">
        <v>487</v>
      </c>
      <c r="E91" s="21" t="s">
        <v>488</v>
      </c>
      <c r="F91" s="21" t="s">
        <v>489</v>
      </c>
    </row>
    <row r="92" spans="4:6" ht="12.75">
      <c r="D92" s="20" t="s">
        <v>490</v>
      </c>
      <c r="E92" s="21" t="s">
        <v>491</v>
      </c>
      <c r="F92" s="21" t="s">
        <v>492</v>
      </c>
    </row>
    <row r="93" spans="4:6" ht="12.75">
      <c r="D93" s="20" t="s">
        <v>493</v>
      </c>
      <c r="E93" s="21" t="s">
        <v>494</v>
      </c>
      <c r="F93" s="21" t="s">
        <v>495</v>
      </c>
    </row>
    <row r="94" spans="4:6" ht="12.75">
      <c r="D94" s="20" t="s">
        <v>496</v>
      </c>
      <c r="E94" s="21" t="s">
        <v>497</v>
      </c>
      <c r="F94" s="21" t="s">
        <v>498</v>
      </c>
    </row>
    <row r="95" spans="4:6" ht="12.75">
      <c r="D95" s="20" t="s">
        <v>499</v>
      </c>
      <c r="E95" s="21" t="s">
        <v>500</v>
      </c>
      <c r="F95" s="21" t="s">
        <v>501</v>
      </c>
    </row>
    <row r="96" spans="4:6" ht="12.75">
      <c r="D96" s="20" t="s">
        <v>502</v>
      </c>
      <c r="E96" s="21" t="s">
        <v>503</v>
      </c>
      <c r="F96" s="21" t="s">
        <v>504</v>
      </c>
    </row>
    <row r="97" spans="4:6" ht="12.75">
      <c r="D97" s="20" t="s">
        <v>505</v>
      </c>
      <c r="E97" s="21" t="s">
        <v>506</v>
      </c>
      <c r="F97" s="21" t="s">
        <v>507</v>
      </c>
    </row>
    <row r="98" spans="4:6" ht="12.75">
      <c r="D98" s="20" t="s">
        <v>508</v>
      </c>
      <c r="E98" s="21" t="s">
        <v>509</v>
      </c>
      <c r="F98" s="21" t="s">
        <v>510</v>
      </c>
    </row>
    <row r="99" spans="4:6" ht="12.75">
      <c r="D99" s="20" t="s">
        <v>511</v>
      </c>
      <c r="E99" s="21" t="s">
        <v>512</v>
      </c>
      <c r="F99" s="21" t="s">
        <v>513</v>
      </c>
    </row>
    <row r="100" spans="4:6" ht="12.75">
      <c r="D100" s="20" t="s">
        <v>514</v>
      </c>
      <c r="E100" s="21" t="s">
        <v>515</v>
      </c>
      <c r="F100" s="22" t="s">
        <v>516</v>
      </c>
    </row>
    <row r="101" spans="4:6" ht="12.75">
      <c r="D101" s="20" t="s">
        <v>517</v>
      </c>
      <c r="E101" s="21" t="s">
        <v>518</v>
      </c>
      <c r="F101" s="22" t="s">
        <v>519</v>
      </c>
    </row>
    <row r="102" spans="4:6" ht="12.75">
      <c r="D102" s="20" t="s">
        <v>520</v>
      </c>
      <c r="E102" s="21" t="s">
        <v>521</v>
      </c>
      <c r="F102" s="21" t="s">
        <v>522</v>
      </c>
    </row>
    <row r="103" spans="4:6" ht="12.75">
      <c r="D103" s="20" t="s">
        <v>523</v>
      </c>
      <c r="E103" s="21" t="s">
        <v>524</v>
      </c>
      <c r="F103" s="21" t="s">
        <v>525</v>
      </c>
    </row>
    <row r="104" spans="4:6" ht="12.75">
      <c r="D104" s="20" t="s">
        <v>526</v>
      </c>
      <c r="E104" s="21" t="s">
        <v>527</v>
      </c>
      <c r="F104" s="21" t="s">
        <v>528</v>
      </c>
    </row>
    <row r="105" spans="4:6" ht="12.75">
      <c r="D105" s="20" t="s">
        <v>529</v>
      </c>
      <c r="E105" s="21" t="s">
        <v>530</v>
      </c>
      <c r="F105" s="21" t="s">
        <v>531</v>
      </c>
    </row>
    <row r="106" spans="4:6" ht="12.75">
      <c r="D106" s="20" t="s">
        <v>532</v>
      </c>
      <c r="E106" s="21" t="s">
        <v>533</v>
      </c>
      <c r="F106" s="21" t="s">
        <v>534</v>
      </c>
    </row>
    <row r="107" spans="4:6" ht="12.75">
      <c r="D107" s="20" t="s">
        <v>535</v>
      </c>
      <c r="E107" s="21" t="s">
        <v>536</v>
      </c>
      <c r="F107" s="22" t="s">
        <v>537</v>
      </c>
    </row>
    <row r="108" spans="4:6" ht="12.75">
      <c r="D108" s="20" t="s">
        <v>538</v>
      </c>
      <c r="E108" s="21" t="s">
        <v>539</v>
      </c>
      <c r="F108" s="21" t="s">
        <v>540</v>
      </c>
    </row>
    <row r="109" spans="4:6" ht="12.75">
      <c r="D109" s="20" t="s">
        <v>541</v>
      </c>
      <c r="E109" s="21" t="s">
        <v>542</v>
      </c>
      <c r="F109" s="21" t="s">
        <v>543</v>
      </c>
    </row>
    <row r="110" spans="4:6" ht="12.75">
      <c r="D110" s="20" t="s">
        <v>544</v>
      </c>
      <c r="E110" s="21" t="s">
        <v>545</v>
      </c>
      <c r="F110" s="21" t="s">
        <v>546</v>
      </c>
    </row>
    <row r="111" spans="4:6" ht="12.75">
      <c r="D111" s="20" t="s">
        <v>547</v>
      </c>
      <c r="E111" s="21" t="s">
        <v>548</v>
      </c>
      <c r="F111" s="21" t="s">
        <v>549</v>
      </c>
    </row>
    <row r="112" spans="4:6" ht="12.75">
      <c r="D112" s="20" t="s">
        <v>550</v>
      </c>
      <c r="E112" s="21" t="s">
        <v>551</v>
      </c>
      <c r="F112" s="21" t="s">
        <v>552</v>
      </c>
    </row>
    <row r="113" spans="4:6" ht="12.75">
      <c r="D113" s="20" t="s">
        <v>553</v>
      </c>
      <c r="E113" s="21" t="s">
        <v>554</v>
      </c>
      <c r="F113" s="21" t="s">
        <v>555</v>
      </c>
    </row>
    <row r="114" spans="4:6" ht="12.75">
      <c r="D114" s="20" t="s">
        <v>556</v>
      </c>
      <c r="E114" s="21" t="s">
        <v>557</v>
      </c>
      <c r="F114" s="21" t="s">
        <v>558</v>
      </c>
    </row>
    <row r="115" spans="4:6" ht="12.75">
      <c r="D115" s="20" t="s">
        <v>559</v>
      </c>
      <c r="E115" s="21" t="s">
        <v>560</v>
      </c>
      <c r="F115" s="21" t="s">
        <v>561</v>
      </c>
    </row>
    <row r="116" spans="4:6" ht="12.75">
      <c r="D116" s="20" t="s">
        <v>562</v>
      </c>
      <c r="E116" s="21" t="s">
        <v>563</v>
      </c>
      <c r="F116" s="21" t="s">
        <v>564</v>
      </c>
    </row>
    <row r="117" spans="4:6" ht="12.75">
      <c r="D117" s="20" t="s">
        <v>565</v>
      </c>
      <c r="E117" s="21" t="s">
        <v>566</v>
      </c>
      <c r="F117" s="21" t="s">
        <v>567</v>
      </c>
    </row>
    <row r="118" spans="4:6" ht="12.75">
      <c r="D118" s="20" t="s">
        <v>568</v>
      </c>
      <c r="E118" s="21" t="s">
        <v>569</v>
      </c>
      <c r="F118" s="21" t="s">
        <v>570</v>
      </c>
    </row>
    <row r="119" spans="4:6" ht="12.75">
      <c r="D119" s="20" t="s">
        <v>571</v>
      </c>
      <c r="E119" s="21" t="s">
        <v>572</v>
      </c>
      <c r="F119" s="21" t="s">
        <v>573</v>
      </c>
    </row>
    <row r="120" spans="4:6" ht="12.75">
      <c r="D120" s="20" t="s">
        <v>574</v>
      </c>
      <c r="E120" s="21" t="s">
        <v>575</v>
      </c>
      <c r="F120" s="21" t="s">
        <v>576</v>
      </c>
    </row>
    <row r="121" spans="4:6" ht="12.75">
      <c r="D121" s="20" t="s">
        <v>577</v>
      </c>
      <c r="E121" s="21" t="s">
        <v>578</v>
      </c>
      <c r="F121" s="21" t="s">
        <v>579</v>
      </c>
    </row>
    <row r="122" spans="4:6" ht="12.75">
      <c r="D122" s="20" t="s">
        <v>580</v>
      </c>
      <c r="E122" s="21" t="s">
        <v>581</v>
      </c>
      <c r="F122" s="21" t="s">
        <v>582</v>
      </c>
    </row>
    <row r="123" spans="4:6" ht="12.75">
      <c r="D123" s="20" t="s">
        <v>583</v>
      </c>
      <c r="E123" s="21" t="s">
        <v>584</v>
      </c>
      <c r="F123" s="21" t="s">
        <v>585</v>
      </c>
    </row>
    <row r="124" spans="4:6" ht="12.75">
      <c r="D124" s="20" t="s">
        <v>586</v>
      </c>
      <c r="E124" s="21" t="s">
        <v>587</v>
      </c>
      <c r="F124" s="21" t="s">
        <v>588</v>
      </c>
    </row>
    <row r="125" spans="4:6" ht="12.75">
      <c r="D125" s="20" t="s">
        <v>589</v>
      </c>
      <c r="E125" s="21" t="s">
        <v>590</v>
      </c>
      <c r="F125" s="22" t="s">
        <v>591</v>
      </c>
    </row>
    <row r="126" spans="4:6" ht="12.75">
      <c r="D126" s="20" t="s">
        <v>592</v>
      </c>
      <c r="E126" s="21" t="s">
        <v>593</v>
      </c>
      <c r="F126" s="21" t="s">
        <v>594</v>
      </c>
    </row>
    <row r="127" spans="4:6" ht="12.75">
      <c r="D127" s="20" t="s">
        <v>595</v>
      </c>
      <c r="E127" s="21" t="s">
        <v>596</v>
      </c>
      <c r="F127" s="21" t="s">
        <v>597</v>
      </c>
    </row>
    <row r="128" spans="4:6" ht="12.75">
      <c r="D128" s="20" t="s">
        <v>598</v>
      </c>
      <c r="E128" s="21" t="s">
        <v>599</v>
      </c>
      <c r="F128" s="21" t="s">
        <v>600</v>
      </c>
    </row>
    <row r="129" spans="4:6" ht="12.75">
      <c r="D129" s="20" t="s">
        <v>601</v>
      </c>
      <c r="E129" s="21" t="s">
        <v>602</v>
      </c>
      <c r="F129" s="22" t="s">
        <v>603</v>
      </c>
    </row>
    <row r="130" spans="4:6" ht="12.75">
      <c r="D130" s="20" t="s">
        <v>604</v>
      </c>
      <c r="E130" s="21" t="s">
        <v>605</v>
      </c>
      <c r="F130" s="22" t="s">
        <v>606</v>
      </c>
    </row>
    <row r="131" spans="4:6" ht="12.75">
      <c r="D131" s="20" t="s">
        <v>607</v>
      </c>
      <c r="E131" s="21" t="s">
        <v>608</v>
      </c>
      <c r="F131" s="21" t="s">
        <v>609</v>
      </c>
    </row>
    <row r="132" spans="4:6" ht="12.75">
      <c r="D132" s="20" t="s">
        <v>610</v>
      </c>
      <c r="E132" s="21" t="s">
        <v>611</v>
      </c>
      <c r="F132" s="21" t="s">
        <v>612</v>
      </c>
    </row>
    <row r="133" spans="4:6" ht="12.75">
      <c r="D133" s="20" t="s">
        <v>613</v>
      </c>
      <c r="E133" s="21" t="s">
        <v>614</v>
      </c>
      <c r="F133" s="21" t="s">
        <v>615</v>
      </c>
    </row>
    <row r="134" spans="4:6" ht="12.75">
      <c r="D134" s="20" t="s">
        <v>616</v>
      </c>
      <c r="E134" s="21" t="s">
        <v>617</v>
      </c>
      <c r="F134" s="21" t="s">
        <v>618</v>
      </c>
    </row>
    <row r="135" spans="4:6" ht="12.75">
      <c r="D135" s="20" t="s">
        <v>619</v>
      </c>
      <c r="E135" s="21" t="s">
        <v>620</v>
      </c>
      <c r="F135" s="21" t="s">
        <v>621</v>
      </c>
    </row>
    <row r="136" spans="4:6" ht="12.75">
      <c r="D136" s="20" t="s">
        <v>622</v>
      </c>
      <c r="E136" s="21" t="s">
        <v>623</v>
      </c>
      <c r="F136" s="21" t="s">
        <v>624</v>
      </c>
    </row>
    <row r="137" spans="4:6" ht="12.75">
      <c r="D137" s="20" t="s">
        <v>625</v>
      </c>
      <c r="E137" s="21" t="s">
        <v>626</v>
      </c>
      <c r="F137" s="21" t="s">
        <v>627</v>
      </c>
    </row>
    <row r="138" spans="4:6" ht="12.75">
      <c r="D138" s="20" t="s">
        <v>628</v>
      </c>
      <c r="E138" s="21" t="s">
        <v>629</v>
      </c>
      <c r="F138" s="21" t="s">
        <v>630</v>
      </c>
    </row>
    <row r="139" spans="4:6" ht="12.75">
      <c r="D139" s="20" t="s">
        <v>631</v>
      </c>
      <c r="E139" s="21" t="s">
        <v>632</v>
      </c>
      <c r="F139" s="21" t="s">
        <v>633</v>
      </c>
    </row>
    <row r="140" spans="4:6" ht="12.75">
      <c r="D140" s="20" t="s">
        <v>634</v>
      </c>
      <c r="E140" s="21" t="s">
        <v>635</v>
      </c>
      <c r="F140" s="21" t="s">
        <v>636</v>
      </c>
    </row>
    <row r="141" spans="4:6" ht="12.75">
      <c r="D141" s="20" t="s">
        <v>637</v>
      </c>
      <c r="E141" s="21" t="s">
        <v>638</v>
      </c>
      <c r="F141" s="21" t="s">
        <v>639</v>
      </c>
    </row>
    <row r="142" spans="4:6" ht="12.75">
      <c r="D142" s="20" t="s">
        <v>640</v>
      </c>
      <c r="E142" s="21" t="s">
        <v>641</v>
      </c>
      <c r="F142" s="21" t="s">
        <v>642</v>
      </c>
    </row>
    <row r="143" spans="4:6" ht="12.75">
      <c r="D143" s="20" t="s">
        <v>643</v>
      </c>
      <c r="E143" s="21" t="s">
        <v>644</v>
      </c>
      <c r="F143" s="21" t="s">
        <v>645</v>
      </c>
    </row>
    <row r="144" spans="4:6" ht="12.75">
      <c r="D144" s="20" t="s">
        <v>646</v>
      </c>
      <c r="E144" s="21" t="s">
        <v>647</v>
      </c>
      <c r="F144" s="21" t="s">
        <v>648</v>
      </c>
    </row>
    <row r="145" spans="4:6" ht="12.75">
      <c r="D145" s="20" t="s">
        <v>649</v>
      </c>
      <c r="E145" s="21" t="s">
        <v>650</v>
      </c>
      <c r="F145" s="21" t="s">
        <v>651</v>
      </c>
    </row>
    <row r="146" spans="4:6" ht="12.75">
      <c r="D146" s="20" t="s">
        <v>652</v>
      </c>
      <c r="E146" s="21" t="s">
        <v>653</v>
      </c>
      <c r="F146" s="21"/>
    </row>
    <row r="147" spans="4:6" ht="12.75">
      <c r="D147" s="20" t="s">
        <v>284</v>
      </c>
      <c r="E147" s="21"/>
      <c r="F147" s="21"/>
    </row>
    <row r="148" spans="4:6" ht="12.75">
      <c r="D148" s="20" t="s">
        <v>654</v>
      </c>
      <c r="E148" s="21" t="s">
        <v>655</v>
      </c>
      <c r="F148" s="21" t="s">
        <v>656</v>
      </c>
    </row>
    <row r="149" spans="4:6" ht="12.75">
      <c r="D149" s="20" t="s">
        <v>657</v>
      </c>
      <c r="E149" s="21" t="s">
        <v>658</v>
      </c>
      <c r="F149" s="21" t="s">
        <v>659</v>
      </c>
    </row>
    <row r="150" spans="4:6" ht="12.75">
      <c r="D150" s="20" t="s">
        <v>660</v>
      </c>
      <c r="E150" s="21" t="s">
        <v>661</v>
      </c>
      <c r="F150" s="21" t="s">
        <v>662</v>
      </c>
    </row>
    <row r="151" spans="4:6" ht="12.75">
      <c r="D151" s="20" t="s">
        <v>663</v>
      </c>
      <c r="E151" s="21" t="s">
        <v>664</v>
      </c>
      <c r="F151" s="21" t="s">
        <v>665</v>
      </c>
    </row>
    <row r="152" spans="4:6" ht="12.75">
      <c r="D152" s="20" t="s">
        <v>666</v>
      </c>
      <c r="E152" s="21" t="s">
        <v>667</v>
      </c>
      <c r="F152" s="21" t="s">
        <v>668</v>
      </c>
    </row>
    <row r="153" spans="4:6" ht="12.75">
      <c r="D153" s="20" t="s">
        <v>669</v>
      </c>
      <c r="E153" s="21" t="s">
        <v>670</v>
      </c>
      <c r="F153" s="21" t="s">
        <v>671</v>
      </c>
    </row>
    <row r="154" spans="4:6" ht="12.75">
      <c r="D154" s="20" t="s">
        <v>672</v>
      </c>
      <c r="E154" s="21" t="s">
        <v>673</v>
      </c>
      <c r="F154" s="21" t="s">
        <v>674</v>
      </c>
    </row>
    <row r="155" spans="4:6" ht="12.75">
      <c r="D155" s="20" t="s">
        <v>675</v>
      </c>
      <c r="E155" s="21" t="s">
        <v>676</v>
      </c>
      <c r="F155" s="21" t="s">
        <v>677</v>
      </c>
    </row>
    <row r="156" spans="4:6" ht="12.75">
      <c r="D156" s="20" t="s">
        <v>678</v>
      </c>
      <c r="E156" s="21" t="s">
        <v>679</v>
      </c>
      <c r="F156" s="21" t="s">
        <v>680</v>
      </c>
    </row>
    <row r="157" spans="4:6" ht="12.75">
      <c r="D157" s="20" t="s">
        <v>284</v>
      </c>
      <c r="E157" s="21"/>
      <c r="F157" s="21"/>
    </row>
    <row r="158" spans="4:6" ht="12.75">
      <c r="D158" s="20" t="s">
        <v>681</v>
      </c>
      <c r="E158" s="21" t="s">
        <v>682</v>
      </c>
      <c r="F158" s="21" t="s">
        <v>683</v>
      </c>
    </row>
    <row r="159" spans="4:6" ht="12.75">
      <c r="D159" s="20" t="s">
        <v>684</v>
      </c>
      <c r="E159" s="21" t="s">
        <v>685</v>
      </c>
      <c r="F159" s="21" t="s">
        <v>686</v>
      </c>
    </row>
    <row r="160" spans="4:6" ht="12.75">
      <c r="D160" s="20" t="s">
        <v>687</v>
      </c>
      <c r="E160" s="21" t="s">
        <v>688</v>
      </c>
      <c r="F160" s="21" t="s">
        <v>689</v>
      </c>
    </row>
    <row r="161" spans="4:6" ht="12.75">
      <c r="D161" s="20" t="s">
        <v>690</v>
      </c>
      <c r="E161" s="21" t="s">
        <v>691</v>
      </c>
      <c r="F161" s="21" t="s">
        <v>692</v>
      </c>
    </row>
    <row r="162" spans="4:6" ht="12.75">
      <c r="D162" s="20" t="s">
        <v>693</v>
      </c>
      <c r="E162" s="21" t="s">
        <v>39</v>
      </c>
      <c r="F162" s="22" t="s">
        <v>694</v>
      </c>
    </row>
    <row r="163" spans="4:6" ht="12.75">
      <c r="D163" s="20" t="s">
        <v>695</v>
      </c>
      <c r="E163" s="21" t="s">
        <v>696</v>
      </c>
      <c r="F163" s="22" t="s">
        <v>697</v>
      </c>
    </row>
    <row r="164" spans="4:6" ht="12.75">
      <c r="D164" s="20" t="s">
        <v>698</v>
      </c>
      <c r="E164" s="21" t="s">
        <v>699</v>
      </c>
      <c r="F164" s="22" t="s">
        <v>700</v>
      </c>
    </row>
    <row r="165" spans="4:6" ht="12.75">
      <c r="D165" s="20" t="s">
        <v>701</v>
      </c>
      <c r="E165" s="21" t="s">
        <v>702</v>
      </c>
      <c r="F165" s="22" t="s">
        <v>703</v>
      </c>
    </row>
    <row r="166" spans="4:6" ht="12.75">
      <c r="D166" s="20" t="s">
        <v>704</v>
      </c>
      <c r="E166" s="21" t="s">
        <v>705</v>
      </c>
      <c r="F166" s="22" t="s">
        <v>706</v>
      </c>
    </row>
    <row r="167" spans="4:6" ht="12.75">
      <c r="D167" s="20" t="s">
        <v>707</v>
      </c>
      <c r="E167" s="21" t="s">
        <v>708</v>
      </c>
      <c r="F167" s="22" t="s">
        <v>709</v>
      </c>
    </row>
    <row r="168" spans="4:6" ht="12.75">
      <c r="D168" s="20" t="s">
        <v>710</v>
      </c>
      <c r="E168" s="21" t="s">
        <v>711</v>
      </c>
      <c r="F168" s="22" t="s">
        <v>712</v>
      </c>
    </row>
    <row r="169" spans="4:6" ht="12.75">
      <c r="D169" s="20" t="s">
        <v>713</v>
      </c>
      <c r="E169" s="21" t="s">
        <v>714</v>
      </c>
      <c r="F169" s="22" t="s">
        <v>715</v>
      </c>
    </row>
    <row r="170" spans="4:6" ht="12.75">
      <c r="D170" s="20" t="s">
        <v>716</v>
      </c>
      <c r="E170" s="21" t="s">
        <v>717</v>
      </c>
      <c r="F170" s="22" t="s">
        <v>718</v>
      </c>
    </row>
    <row r="171" spans="4:6" ht="12.75">
      <c r="D171" s="20" t="s">
        <v>719</v>
      </c>
      <c r="E171" s="21" t="s">
        <v>720</v>
      </c>
      <c r="F171" s="22" t="s">
        <v>721</v>
      </c>
    </row>
    <row r="172" spans="4:6" ht="12.75">
      <c r="D172" s="20" t="s">
        <v>722</v>
      </c>
      <c r="E172" s="21" t="s">
        <v>723</v>
      </c>
      <c r="F172" s="22" t="s">
        <v>724</v>
      </c>
    </row>
    <row r="173" spans="4:6" ht="12.75">
      <c r="D173" s="20" t="s">
        <v>284</v>
      </c>
      <c r="E173" s="21"/>
      <c r="F173" s="22"/>
    </row>
    <row r="174" spans="4:6" ht="12.75">
      <c r="D174" s="20" t="s">
        <v>725</v>
      </c>
      <c r="E174" s="21" t="s">
        <v>726</v>
      </c>
      <c r="F174" s="22" t="s">
        <v>727</v>
      </c>
    </row>
    <row r="175" spans="4:6" ht="12.75">
      <c r="D175" s="20" t="s">
        <v>728</v>
      </c>
      <c r="E175" s="21" t="s">
        <v>729</v>
      </c>
      <c r="F175" s="22" t="s">
        <v>730</v>
      </c>
    </row>
    <row r="176" spans="4:6" ht="12.75">
      <c r="D176" s="20" t="s">
        <v>731</v>
      </c>
      <c r="E176" s="21" t="s">
        <v>732</v>
      </c>
      <c r="F176" s="22" t="s">
        <v>733</v>
      </c>
    </row>
    <row r="177" spans="4:6" ht="12.75">
      <c r="D177" s="20" t="s">
        <v>734</v>
      </c>
      <c r="E177" s="21" t="s">
        <v>735</v>
      </c>
      <c r="F177" s="22" t="s">
        <v>736</v>
      </c>
    </row>
    <row r="178" spans="4:6" ht="12.75">
      <c r="D178" s="20" t="s">
        <v>737</v>
      </c>
      <c r="E178" s="21" t="s">
        <v>738</v>
      </c>
      <c r="F178" s="22" t="s">
        <v>739</v>
      </c>
    </row>
    <row r="179" spans="4:6" ht="12.75">
      <c r="D179" s="20" t="s">
        <v>740</v>
      </c>
      <c r="E179" s="21" t="s">
        <v>741</v>
      </c>
      <c r="F179" s="22" t="s">
        <v>742</v>
      </c>
    </row>
    <row r="180" spans="4:6" ht="12.75">
      <c r="D180" s="20" t="s">
        <v>743</v>
      </c>
      <c r="E180" s="21" t="s">
        <v>744</v>
      </c>
      <c r="F180" s="22" t="s">
        <v>745</v>
      </c>
    </row>
    <row r="181" spans="4:6" ht="12.75">
      <c r="D181" s="20" t="s">
        <v>746</v>
      </c>
      <c r="E181" s="21" t="s">
        <v>747</v>
      </c>
      <c r="F181" s="22" t="s">
        <v>748</v>
      </c>
    </row>
    <row r="182" spans="4:6" ht="12.75">
      <c r="D182" s="20" t="s">
        <v>749</v>
      </c>
      <c r="E182" s="21" t="s">
        <v>750</v>
      </c>
      <c r="F182" s="22" t="s">
        <v>751</v>
      </c>
    </row>
    <row r="183" spans="4:6" ht="12.75">
      <c r="D183" s="20" t="s">
        <v>752</v>
      </c>
      <c r="E183" s="21" t="s">
        <v>753</v>
      </c>
      <c r="F183" s="22" t="s">
        <v>754</v>
      </c>
    </row>
    <row r="184" spans="4:6" ht="12.75">
      <c r="D184" s="20" t="s">
        <v>755</v>
      </c>
      <c r="E184" s="21" t="s">
        <v>756</v>
      </c>
      <c r="F184" s="22" t="s">
        <v>757</v>
      </c>
    </row>
    <row r="185" spans="4:6" ht="12.75">
      <c r="D185" s="20" t="s">
        <v>758</v>
      </c>
      <c r="E185" s="21" t="s">
        <v>759</v>
      </c>
      <c r="F185" s="22" t="s">
        <v>760</v>
      </c>
    </row>
    <row r="186" spans="4:6" ht="12.75">
      <c r="D186" s="20" t="s">
        <v>284</v>
      </c>
      <c r="E186" s="21"/>
      <c r="F186" s="22"/>
    </row>
    <row r="187" spans="4:6" ht="12.75">
      <c r="D187" s="20" t="s">
        <v>761</v>
      </c>
      <c r="E187" s="21" t="s">
        <v>762</v>
      </c>
      <c r="F187" s="22" t="s">
        <v>763</v>
      </c>
    </row>
    <row r="188" spans="4:6" ht="12.75">
      <c r="D188" s="20" t="s">
        <v>764</v>
      </c>
      <c r="E188" s="21" t="s">
        <v>765</v>
      </c>
      <c r="F188" s="22" t="s">
        <v>766</v>
      </c>
    </row>
    <row r="189" spans="4:6" ht="12.75">
      <c r="D189" s="20" t="s">
        <v>767</v>
      </c>
      <c r="E189" s="21" t="s">
        <v>768</v>
      </c>
      <c r="F189" s="22" t="s">
        <v>769</v>
      </c>
    </row>
    <row r="190" spans="4:6" ht="12.75">
      <c r="D190" s="20" t="s">
        <v>770</v>
      </c>
      <c r="E190" s="21" t="s">
        <v>771</v>
      </c>
      <c r="F190" s="22" t="s">
        <v>772</v>
      </c>
    </row>
    <row r="191" spans="4:6" ht="12.75">
      <c r="D191" s="20" t="s">
        <v>773</v>
      </c>
      <c r="E191" s="21" t="s">
        <v>774</v>
      </c>
      <c r="F191" s="22" t="s">
        <v>775</v>
      </c>
    </row>
    <row r="192" spans="4:6" ht="12.75">
      <c r="D192" s="20" t="s">
        <v>776</v>
      </c>
      <c r="E192" s="21" t="s">
        <v>777</v>
      </c>
      <c r="F192" s="22" t="s">
        <v>778</v>
      </c>
    </row>
    <row r="193" spans="4:6" ht="12.75">
      <c r="D193" s="20" t="s">
        <v>779</v>
      </c>
      <c r="E193" s="21" t="s">
        <v>780</v>
      </c>
      <c r="F193" s="22" t="s">
        <v>781</v>
      </c>
    </row>
    <row r="194" spans="4:6" ht="12.75">
      <c r="D194" s="20" t="s">
        <v>782</v>
      </c>
      <c r="E194" s="21" t="s">
        <v>783</v>
      </c>
      <c r="F194" s="22" t="s">
        <v>784</v>
      </c>
    </row>
    <row r="195" spans="4:6" ht="12.75">
      <c r="D195" s="20" t="s">
        <v>785</v>
      </c>
      <c r="E195" s="21" t="s">
        <v>786</v>
      </c>
      <c r="F195" s="22" t="s">
        <v>787</v>
      </c>
    </row>
    <row r="196" spans="4:6" ht="12.75">
      <c r="D196" s="20" t="s">
        <v>788</v>
      </c>
      <c r="E196" s="21" t="s">
        <v>789</v>
      </c>
      <c r="F196" s="21" t="s">
        <v>790</v>
      </c>
    </row>
    <row r="197" spans="4:6" ht="12.75">
      <c r="D197" s="20" t="s">
        <v>791</v>
      </c>
      <c r="E197" s="21" t="s">
        <v>792</v>
      </c>
      <c r="F197" s="22" t="s">
        <v>793</v>
      </c>
    </row>
    <row r="198" spans="4:6" ht="12.75">
      <c r="D198" s="20" t="s">
        <v>794</v>
      </c>
      <c r="E198" s="21" t="s">
        <v>795</v>
      </c>
      <c r="F198" s="22" t="s">
        <v>796</v>
      </c>
    </row>
    <row r="199" spans="4:6" ht="12.75">
      <c r="D199" s="20" t="s">
        <v>797</v>
      </c>
      <c r="E199" s="21" t="s">
        <v>798</v>
      </c>
      <c r="F199" s="22" t="s">
        <v>799</v>
      </c>
    </row>
    <row r="200" spans="4:6" ht="12.75">
      <c r="D200" s="20" t="s">
        <v>800</v>
      </c>
      <c r="E200" s="21" t="s">
        <v>801</v>
      </c>
      <c r="F200" s="22" t="s">
        <v>802</v>
      </c>
    </row>
    <row r="201" spans="4:6" ht="12.75">
      <c r="D201" s="20" t="s">
        <v>803</v>
      </c>
      <c r="E201" s="21" t="s">
        <v>804</v>
      </c>
      <c r="F201" s="22" t="s">
        <v>805</v>
      </c>
    </row>
    <row r="202" spans="4:6" ht="12.75">
      <c r="D202" s="20" t="s">
        <v>806</v>
      </c>
      <c r="E202" s="21" t="s">
        <v>807</v>
      </c>
      <c r="F202" s="22" t="s">
        <v>808</v>
      </c>
    </row>
    <row r="203" spans="4:6" ht="12.75">
      <c r="D203" s="20" t="s">
        <v>809</v>
      </c>
      <c r="E203" s="21" t="s">
        <v>810</v>
      </c>
      <c r="F203" s="22" t="s">
        <v>811</v>
      </c>
    </row>
    <row r="204" spans="4:6" ht="12.75">
      <c r="D204" s="20" t="s">
        <v>812</v>
      </c>
      <c r="E204" s="21" t="s">
        <v>813</v>
      </c>
      <c r="F204" s="22" t="s">
        <v>814</v>
      </c>
    </row>
    <row r="205" spans="4:6" ht="12.75">
      <c r="D205" s="20" t="s">
        <v>815</v>
      </c>
      <c r="E205" s="21" t="s">
        <v>816</v>
      </c>
      <c r="F205" s="22" t="s">
        <v>817</v>
      </c>
    </row>
    <row r="206" spans="4:6" ht="12.75">
      <c r="D206" s="20" t="s">
        <v>818</v>
      </c>
      <c r="E206" s="21" t="s">
        <v>819</v>
      </c>
      <c r="F206" s="22" t="s">
        <v>820</v>
      </c>
    </row>
    <row r="207" spans="4:6" ht="12.75">
      <c r="D207" s="20" t="s">
        <v>821</v>
      </c>
      <c r="E207" s="21" t="s">
        <v>822</v>
      </c>
      <c r="F207" s="22" t="s">
        <v>823</v>
      </c>
    </row>
    <row r="208" spans="4:6" ht="12.75">
      <c r="D208" s="20" t="s">
        <v>824</v>
      </c>
      <c r="E208" s="21" t="s">
        <v>825</v>
      </c>
      <c r="F208" s="22" t="s">
        <v>826</v>
      </c>
    </row>
    <row r="209" spans="4:6" ht="12.75">
      <c r="D209" s="20" t="s">
        <v>827</v>
      </c>
      <c r="E209" s="21" t="s">
        <v>828</v>
      </c>
      <c r="F209" s="22" t="s">
        <v>829</v>
      </c>
    </row>
    <row r="210" spans="4:6" ht="12.75">
      <c r="D210" s="20" t="s">
        <v>830</v>
      </c>
      <c r="E210" s="21" t="s">
        <v>831</v>
      </c>
      <c r="F210" s="22" t="s">
        <v>832</v>
      </c>
    </row>
    <row r="211" spans="4:6" ht="12.75">
      <c r="D211" s="20" t="s">
        <v>833</v>
      </c>
      <c r="E211" s="21" t="s">
        <v>834</v>
      </c>
      <c r="F211" s="22" t="s">
        <v>835</v>
      </c>
    </row>
    <row r="212" spans="4:6" ht="12.75">
      <c r="D212" s="20" t="s">
        <v>836</v>
      </c>
      <c r="E212" s="21" t="s">
        <v>837</v>
      </c>
      <c r="F212" s="22" t="s">
        <v>838</v>
      </c>
    </row>
    <row r="213" spans="4:6" ht="12.75">
      <c r="D213" s="20" t="s">
        <v>839</v>
      </c>
      <c r="E213" s="21" t="s">
        <v>840</v>
      </c>
      <c r="F213" s="22" t="s">
        <v>841</v>
      </c>
    </row>
    <row r="214" spans="4:6" ht="12.75">
      <c r="D214" s="20" t="s">
        <v>842</v>
      </c>
      <c r="E214" s="21" t="s">
        <v>843</v>
      </c>
      <c r="F214" s="22" t="s">
        <v>844</v>
      </c>
    </row>
    <row r="215" spans="4:6" ht="12.75">
      <c r="D215" s="20" t="s">
        <v>845</v>
      </c>
      <c r="E215" s="21" t="s">
        <v>846</v>
      </c>
      <c r="F215" s="22" t="s">
        <v>847</v>
      </c>
    </row>
    <row r="216" spans="4:6" ht="12.75">
      <c r="D216" s="20" t="s">
        <v>848</v>
      </c>
      <c r="E216" s="21" t="s">
        <v>849</v>
      </c>
      <c r="F216" s="22" t="s">
        <v>850</v>
      </c>
    </row>
    <row r="217" spans="4:6" ht="12.75">
      <c r="D217" s="20" t="s">
        <v>851</v>
      </c>
      <c r="E217" s="21" t="s">
        <v>852</v>
      </c>
      <c r="F217" s="22" t="s">
        <v>853</v>
      </c>
    </row>
    <row r="218" spans="4:6" ht="12.75">
      <c r="D218" s="20" t="s">
        <v>854</v>
      </c>
      <c r="E218" s="21" t="s">
        <v>855</v>
      </c>
      <c r="F218" s="22" t="s">
        <v>856</v>
      </c>
    </row>
    <row r="219" spans="4:6" ht="12.75">
      <c r="D219" s="20" t="s">
        <v>857</v>
      </c>
      <c r="E219" s="21" t="s">
        <v>858</v>
      </c>
      <c r="F219" s="22" t="s">
        <v>859</v>
      </c>
    </row>
    <row r="220" spans="4:6" ht="12.75">
      <c r="D220" s="20" t="s">
        <v>860</v>
      </c>
      <c r="E220" s="21" t="s">
        <v>861</v>
      </c>
      <c r="F220" s="22" t="s">
        <v>862</v>
      </c>
    </row>
    <row r="221" spans="4:6" ht="12.75">
      <c r="D221" s="20" t="s">
        <v>863</v>
      </c>
      <c r="E221" s="21" t="s">
        <v>864</v>
      </c>
      <c r="F221" s="22" t="s">
        <v>865</v>
      </c>
    </row>
    <row r="222" spans="4:6" ht="12.75">
      <c r="D222" s="20" t="s">
        <v>866</v>
      </c>
      <c r="E222" s="21" t="s">
        <v>867</v>
      </c>
      <c r="F222" s="25" t="s">
        <v>868</v>
      </c>
    </row>
    <row r="223" spans="4:6" ht="12.75">
      <c r="D223" s="20" t="s">
        <v>869</v>
      </c>
      <c r="E223" s="21" t="s">
        <v>870</v>
      </c>
      <c r="F223" s="22" t="s">
        <v>871</v>
      </c>
    </row>
    <row r="224" spans="4:6" ht="12.75">
      <c r="D224" s="20" t="s">
        <v>872</v>
      </c>
      <c r="E224" s="21" t="s">
        <v>873</v>
      </c>
      <c r="F224" s="22" t="s">
        <v>874</v>
      </c>
    </row>
    <row r="225" spans="4:6" ht="12.75">
      <c r="D225" s="20" t="s">
        <v>875</v>
      </c>
      <c r="E225" s="21" t="s">
        <v>876</v>
      </c>
      <c r="F225" s="22" t="s">
        <v>877</v>
      </c>
    </row>
    <row r="226" spans="4:6" ht="12.75">
      <c r="D226" s="20" t="s">
        <v>878</v>
      </c>
      <c r="E226" s="21" t="s">
        <v>879</v>
      </c>
      <c r="F226" s="22" t="s">
        <v>880</v>
      </c>
    </row>
    <row r="227" spans="4:6" ht="12.75">
      <c r="D227" s="20" t="s">
        <v>881</v>
      </c>
      <c r="E227" s="21" t="s">
        <v>882</v>
      </c>
      <c r="F227" s="22" t="s">
        <v>883</v>
      </c>
    </row>
    <row r="228" spans="4:6" ht="12.75">
      <c r="D228" s="20" t="s">
        <v>884</v>
      </c>
      <c r="E228" s="21" t="s">
        <v>885</v>
      </c>
      <c r="F228" s="22" t="s">
        <v>886</v>
      </c>
    </row>
    <row r="229" spans="4:6" ht="12.75">
      <c r="D229" s="20" t="s">
        <v>887</v>
      </c>
      <c r="E229" s="21" t="s">
        <v>888</v>
      </c>
      <c r="F229" s="22" t="s">
        <v>889</v>
      </c>
    </row>
    <row r="230" spans="4:6" ht="12.75">
      <c r="D230" s="20" t="s">
        <v>890</v>
      </c>
      <c r="E230" s="21" t="s">
        <v>891</v>
      </c>
      <c r="F230" s="22" t="s">
        <v>892</v>
      </c>
    </row>
    <row r="231" spans="4:6" ht="12.75">
      <c r="D231" s="20" t="s">
        <v>893</v>
      </c>
      <c r="E231" s="21" t="s">
        <v>894</v>
      </c>
      <c r="F231" s="22" t="s">
        <v>895</v>
      </c>
    </row>
    <row r="232" spans="4:6" ht="12.75">
      <c r="D232" s="20" t="s">
        <v>896</v>
      </c>
      <c r="E232" s="21" t="s">
        <v>897</v>
      </c>
      <c r="F232" s="22" t="s">
        <v>898</v>
      </c>
    </row>
    <row r="233" spans="4:6" ht="12.75">
      <c r="D233" s="20" t="s">
        <v>899</v>
      </c>
      <c r="E233" s="21" t="s">
        <v>900</v>
      </c>
      <c r="F233" s="25" t="s">
        <v>901</v>
      </c>
    </row>
    <row r="234" spans="4:6" ht="12.75">
      <c r="D234" s="20" t="s">
        <v>902</v>
      </c>
      <c r="E234" s="21" t="s">
        <v>903</v>
      </c>
      <c r="F234" s="22" t="s">
        <v>904</v>
      </c>
    </row>
    <row r="235" spans="4:6" ht="12.75">
      <c r="D235" s="20" t="s">
        <v>905</v>
      </c>
      <c r="E235" s="21" t="s">
        <v>906</v>
      </c>
      <c r="F235" s="25" t="s">
        <v>907</v>
      </c>
    </row>
    <row r="236" spans="4:6" ht="12.75">
      <c r="D236" s="20" t="s">
        <v>908</v>
      </c>
      <c r="E236" s="21" t="s">
        <v>909</v>
      </c>
      <c r="F236" s="22" t="s">
        <v>910</v>
      </c>
    </row>
    <row r="237" spans="4:6" ht="12.75">
      <c r="D237" s="20" t="s">
        <v>911</v>
      </c>
      <c r="E237" s="21" t="s">
        <v>912</v>
      </c>
      <c r="F237" s="22" t="s">
        <v>913</v>
      </c>
    </row>
    <row r="238" spans="4:6" ht="12.75">
      <c r="D238" s="20" t="s">
        <v>914</v>
      </c>
      <c r="E238" s="21" t="s">
        <v>915</v>
      </c>
      <c r="F238" s="22" t="s">
        <v>916</v>
      </c>
    </row>
    <row r="239" spans="4:6" ht="12.75">
      <c r="D239" s="20" t="s">
        <v>917</v>
      </c>
      <c r="E239" s="21" t="s">
        <v>918</v>
      </c>
      <c r="F239" s="22" t="s">
        <v>919</v>
      </c>
    </row>
    <row r="240" spans="4:6" ht="12.75">
      <c r="D240" s="20" t="s">
        <v>920</v>
      </c>
      <c r="E240" s="21" t="s">
        <v>921</v>
      </c>
      <c r="F240" s="22" t="s">
        <v>922</v>
      </c>
    </row>
    <row r="241" spans="4:6" ht="12.75">
      <c r="D241" s="20" t="s">
        <v>923</v>
      </c>
      <c r="E241" s="21" t="s">
        <v>924</v>
      </c>
      <c r="F241" s="21" t="s">
        <v>925</v>
      </c>
    </row>
    <row r="242" spans="4:6" ht="12.75">
      <c r="D242" s="20" t="s">
        <v>926</v>
      </c>
      <c r="E242" s="21" t="s">
        <v>927</v>
      </c>
      <c r="F242" s="22" t="s">
        <v>928</v>
      </c>
    </row>
    <row r="243" spans="4:6" ht="12.75">
      <c r="D243" s="20" t="s">
        <v>929</v>
      </c>
      <c r="E243" s="21" t="s">
        <v>930</v>
      </c>
      <c r="F243" s="21" t="s">
        <v>931</v>
      </c>
    </row>
    <row r="244" spans="4:6" ht="12.75">
      <c r="D244" s="20" t="s">
        <v>932</v>
      </c>
      <c r="E244" s="21" t="s">
        <v>933</v>
      </c>
      <c r="F244" s="21" t="s">
        <v>934</v>
      </c>
    </row>
    <row r="245" spans="4:6" ht="12.75">
      <c r="D245" s="20" t="s">
        <v>935</v>
      </c>
      <c r="E245" s="21" t="s">
        <v>936</v>
      </c>
      <c r="F245" s="22" t="s">
        <v>937</v>
      </c>
    </row>
    <row r="246" spans="4:6" ht="12.75">
      <c r="D246" s="20" t="s">
        <v>938</v>
      </c>
      <c r="E246" s="21" t="s">
        <v>939</v>
      </c>
      <c r="F246" s="22" t="s">
        <v>940</v>
      </c>
    </row>
    <row r="247" spans="4:6" ht="12.75">
      <c r="D247" s="20" t="s">
        <v>941</v>
      </c>
      <c r="E247" s="21" t="s">
        <v>942</v>
      </c>
      <c r="F247" s="22" t="s">
        <v>943</v>
      </c>
    </row>
    <row r="248" spans="4:6" ht="12.75">
      <c r="D248" s="20" t="s">
        <v>944</v>
      </c>
      <c r="E248" s="21" t="s">
        <v>945</v>
      </c>
      <c r="F248" s="22" t="s">
        <v>946</v>
      </c>
    </row>
    <row r="249" spans="4:6" ht="12.75">
      <c r="D249" s="20" t="s">
        <v>947</v>
      </c>
      <c r="E249" s="21" t="s">
        <v>948</v>
      </c>
      <c r="F249" s="22" t="s">
        <v>949</v>
      </c>
    </row>
    <row r="250" spans="4:6" ht="12.75">
      <c r="D250" s="20" t="s">
        <v>950</v>
      </c>
      <c r="E250" s="21" t="s">
        <v>951</v>
      </c>
      <c r="F250" s="22" t="s">
        <v>952</v>
      </c>
    </row>
    <row r="251" spans="4:6" ht="12.75">
      <c r="D251" s="20" t="s">
        <v>953</v>
      </c>
      <c r="E251" s="21" t="s">
        <v>954</v>
      </c>
      <c r="F251" s="22" t="s">
        <v>955</v>
      </c>
    </row>
    <row r="252" spans="4:6" ht="12.75">
      <c r="D252" s="20" t="s">
        <v>284</v>
      </c>
      <c r="E252" s="21"/>
      <c r="F252" s="22"/>
    </row>
    <row r="253" spans="4:6" ht="12.75">
      <c r="D253" s="20" t="s">
        <v>956</v>
      </c>
      <c r="E253" s="21" t="s">
        <v>957</v>
      </c>
      <c r="F253" s="22" t="s">
        <v>958</v>
      </c>
    </row>
    <row r="254" spans="4:6" ht="12.75">
      <c r="D254" s="20" t="s">
        <v>959</v>
      </c>
      <c r="E254" s="21" t="s">
        <v>960</v>
      </c>
      <c r="F254" s="22" t="s">
        <v>961</v>
      </c>
    </row>
    <row r="255" spans="4:6" ht="12.75">
      <c r="D255" s="20" t="s">
        <v>962</v>
      </c>
      <c r="E255" s="21" t="s">
        <v>963</v>
      </c>
      <c r="F255" s="22" t="s">
        <v>964</v>
      </c>
    </row>
    <row r="256" spans="4:6" ht="12.75">
      <c r="D256" s="20" t="s">
        <v>965</v>
      </c>
      <c r="E256" s="21" t="s">
        <v>966</v>
      </c>
      <c r="F256" s="22" t="s">
        <v>967</v>
      </c>
    </row>
    <row r="257" spans="4:6" ht="12.75">
      <c r="D257" s="20" t="s">
        <v>968</v>
      </c>
      <c r="E257" s="21" t="s">
        <v>969</v>
      </c>
      <c r="F257" s="22" t="s">
        <v>970</v>
      </c>
    </row>
    <row r="258" spans="4:6" ht="12.75">
      <c r="D258" s="20" t="s">
        <v>971</v>
      </c>
      <c r="E258" s="21" t="s">
        <v>972</v>
      </c>
      <c r="F258" s="22" t="s">
        <v>973</v>
      </c>
    </row>
    <row r="259" spans="4:6" ht="12.75">
      <c r="D259" s="20" t="s">
        <v>974</v>
      </c>
      <c r="E259" s="21" t="s">
        <v>975</v>
      </c>
      <c r="F259" s="22" t="s">
        <v>976</v>
      </c>
    </row>
    <row r="260" spans="4:6" ht="12.75">
      <c r="D260" s="20" t="s">
        <v>977</v>
      </c>
      <c r="E260" s="21" t="s">
        <v>978</v>
      </c>
      <c r="F260" s="22" t="s">
        <v>979</v>
      </c>
    </row>
    <row r="261" spans="4:6" ht="12.75">
      <c r="D261" s="20" t="s">
        <v>284</v>
      </c>
      <c r="E261" s="21"/>
      <c r="F261" s="22"/>
    </row>
    <row r="262" spans="4:6" ht="12.75">
      <c r="D262" s="20" t="s">
        <v>980</v>
      </c>
      <c r="E262" s="21" t="s">
        <v>981</v>
      </c>
      <c r="F262" s="22" t="s">
        <v>982</v>
      </c>
    </row>
    <row r="263" spans="4:6" ht="12.75">
      <c r="D263" s="20" t="s">
        <v>983</v>
      </c>
      <c r="E263" s="21" t="s">
        <v>984</v>
      </c>
      <c r="F263" s="22" t="s">
        <v>985</v>
      </c>
    </row>
    <row r="264" spans="4:6" ht="12.75">
      <c r="D264" s="20" t="s">
        <v>986</v>
      </c>
      <c r="E264" s="21" t="s">
        <v>987</v>
      </c>
      <c r="F264" s="22" t="s">
        <v>988</v>
      </c>
    </row>
    <row r="265" spans="4:6" ht="12.75">
      <c r="D265" s="20" t="s">
        <v>989</v>
      </c>
      <c r="E265" s="21" t="s">
        <v>990</v>
      </c>
      <c r="F265" s="22" t="s">
        <v>991</v>
      </c>
    </row>
    <row r="266" spans="4:6" ht="12.75">
      <c r="D266" s="20" t="s">
        <v>992</v>
      </c>
      <c r="E266" s="21" t="s">
        <v>993</v>
      </c>
      <c r="F266" s="22" t="s">
        <v>994</v>
      </c>
    </row>
    <row r="267" spans="4:6" ht="12.75">
      <c r="D267" s="20" t="s">
        <v>995</v>
      </c>
      <c r="E267" s="21" t="s">
        <v>996</v>
      </c>
      <c r="F267" s="22" t="s">
        <v>997</v>
      </c>
    </row>
    <row r="268" spans="4:6" ht="12.75">
      <c r="D268" s="20" t="s">
        <v>998</v>
      </c>
      <c r="E268" s="21" t="s">
        <v>999</v>
      </c>
      <c r="F268" s="22" t="s">
        <v>1000</v>
      </c>
    </row>
    <row r="269" spans="4:6" ht="12.75">
      <c r="D269" s="20" t="s">
        <v>1001</v>
      </c>
      <c r="E269" s="21" t="s">
        <v>1002</v>
      </c>
      <c r="F269" s="22" t="s">
        <v>1003</v>
      </c>
    </row>
    <row r="270" spans="4:6" ht="12.75">
      <c r="D270" s="20" t="s">
        <v>1004</v>
      </c>
      <c r="E270" s="21" t="s">
        <v>1005</v>
      </c>
      <c r="F270" s="22" t="s">
        <v>1006</v>
      </c>
    </row>
    <row r="271" spans="4:6" ht="12.75">
      <c r="D271" s="20" t="s">
        <v>1007</v>
      </c>
      <c r="E271" s="21" t="s">
        <v>1008</v>
      </c>
      <c r="F271" s="22" t="s">
        <v>1009</v>
      </c>
    </row>
    <row r="272" spans="4:6" ht="12.75">
      <c r="D272" s="20" t="s">
        <v>1010</v>
      </c>
      <c r="E272" s="21" t="s">
        <v>1011</v>
      </c>
      <c r="F272" s="22" t="s">
        <v>1012</v>
      </c>
    </row>
    <row r="273" spans="4:6" ht="12.75">
      <c r="D273" s="20" t="s">
        <v>1013</v>
      </c>
      <c r="E273" s="21" t="s">
        <v>1014</v>
      </c>
      <c r="F273" s="22" t="s">
        <v>1015</v>
      </c>
    </row>
    <row r="274" spans="4:6" ht="12.75">
      <c r="D274" s="20" t="s">
        <v>1016</v>
      </c>
      <c r="E274" s="21" t="s">
        <v>1017</v>
      </c>
      <c r="F274" s="22" t="s">
        <v>1018</v>
      </c>
    </row>
    <row r="275" spans="4:6" ht="12.75">
      <c r="D275" s="20" t="s">
        <v>1019</v>
      </c>
      <c r="E275" s="21" t="s">
        <v>1020</v>
      </c>
      <c r="F275" s="22" t="s">
        <v>1021</v>
      </c>
    </row>
    <row r="276" spans="4:6" ht="12.75">
      <c r="D276" s="20" t="s">
        <v>1022</v>
      </c>
      <c r="E276" s="21" t="s">
        <v>1023</v>
      </c>
      <c r="F276" s="22"/>
    </row>
    <row r="277" spans="4:6" ht="12.75">
      <c r="D277" s="20" t="s">
        <v>1024</v>
      </c>
      <c r="E277" s="21" t="s">
        <v>1025</v>
      </c>
      <c r="F277" s="22" t="s">
        <v>1026</v>
      </c>
    </row>
    <row r="278" spans="4:6" ht="12.75">
      <c r="D278" s="20" t="s">
        <v>1027</v>
      </c>
      <c r="E278" s="21" t="s">
        <v>1028</v>
      </c>
      <c r="F278" s="22" t="s">
        <v>1029</v>
      </c>
    </row>
    <row r="279" spans="4:6" ht="12.75">
      <c r="D279" s="20" t="s">
        <v>1030</v>
      </c>
      <c r="E279" s="21" t="s">
        <v>1031</v>
      </c>
      <c r="F279" s="22" t="s">
        <v>1032</v>
      </c>
    </row>
    <row r="280" spans="4:6" ht="12.75">
      <c r="D280" s="20" t="s">
        <v>1033</v>
      </c>
      <c r="E280" s="21" t="s">
        <v>1034</v>
      </c>
      <c r="F280" s="22" t="s">
        <v>1035</v>
      </c>
    </row>
    <row r="281" spans="4:6" ht="12.75">
      <c r="D281" s="20" t="s">
        <v>1036</v>
      </c>
      <c r="E281" s="21" t="s">
        <v>1037</v>
      </c>
      <c r="F281" s="22" t="s">
        <v>1038</v>
      </c>
    </row>
    <row r="282" spans="4:6" ht="12.75">
      <c r="D282" s="20" t="s">
        <v>1039</v>
      </c>
      <c r="E282" s="21" t="s">
        <v>1040</v>
      </c>
      <c r="F282" s="22" t="s">
        <v>1041</v>
      </c>
    </row>
    <row r="283" spans="4:6" ht="12.75">
      <c r="D283" s="20" t="s">
        <v>284</v>
      </c>
      <c r="E283" s="21"/>
      <c r="F283" s="22"/>
    </row>
    <row r="284" spans="4:6" ht="12.75">
      <c r="D284" s="20" t="s">
        <v>1042</v>
      </c>
      <c r="E284" s="21" t="s">
        <v>1043</v>
      </c>
      <c r="F284" s="22" t="s">
        <v>1044</v>
      </c>
    </row>
    <row r="285" spans="4:6" ht="12.75">
      <c r="D285" s="20" t="s">
        <v>1045</v>
      </c>
      <c r="E285" s="21" t="s">
        <v>1046</v>
      </c>
      <c r="F285" s="22" t="s">
        <v>1047</v>
      </c>
    </row>
    <row r="286" spans="4:6" ht="12.75">
      <c r="D286" s="20" t="s">
        <v>284</v>
      </c>
      <c r="E286" s="21"/>
      <c r="F286" s="22"/>
    </row>
    <row r="287" spans="4:6" ht="12.75">
      <c r="D287" s="20" t="s">
        <v>1048</v>
      </c>
      <c r="E287" s="21" t="s">
        <v>1049</v>
      </c>
      <c r="F287" s="22" t="s">
        <v>1050</v>
      </c>
    </row>
    <row r="288" spans="4:6" ht="12.75">
      <c r="D288" s="20" t="s">
        <v>1051</v>
      </c>
      <c r="E288" s="21" t="s">
        <v>1052</v>
      </c>
      <c r="F288" s="22" t="s">
        <v>1053</v>
      </c>
    </row>
    <row r="289" spans="4:6" ht="12.75">
      <c r="D289" s="20" t="s">
        <v>284</v>
      </c>
      <c r="E289" s="21"/>
      <c r="F289" s="22"/>
    </row>
    <row r="290" spans="4:6" ht="12.75">
      <c r="D290" s="20" t="s">
        <v>1054</v>
      </c>
      <c r="E290" s="21" t="s">
        <v>1055</v>
      </c>
      <c r="F290" s="22" t="s">
        <v>1056</v>
      </c>
    </row>
    <row r="291" spans="4:6" ht="12.75">
      <c r="D291" s="20" t="s">
        <v>1057</v>
      </c>
      <c r="E291" s="21" t="s">
        <v>1058</v>
      </c>
      <c r="F291" s="22" t="s">
        <v>1059</v>
      </c>
    </row>
    <row r="292" spans="4:6" ht="12.75">
      <c r="D292" s="20" t="s">
        <v>1060</v>
      </c>
      <c r="E292" s="21" t="s">
        <v>1061</v>
      </c>
      <c r="F292" s="22" t="s">
        <v>1062</v>
      </c>
    </row>
    <row r="293" spans="4:6" ht="12.75">
      <c r="D293" s="20" t="s">
        <v>1063</v>
      </c>
      <c r="E293" s="21" t="s">
        <v>1064</v>
      </c>
      <c r="F293" s="22" t="s">
        <v>1065</v>
      </c>
    </row>
    <row r="294" spans="4:6" ht="12.75">
      <c r="D294" s="20" t="s">
        <v>1066</v>
      </c>
      <c r="E294" s="21" t="s">
        <v>1067</v>
      </c>
      <c r="F294" s="22" t="s">
        <v>1068</v>
      </c>
    </row>
    <row r="295" spans="4:6" ht="12.75">
      <c r="D295" s="20" t="s">
        <v>1069</v>
      </c>
      <c r="E295" s="21" t="s">
        <v>1070</v>
      </c>
      <c r="F295" s="22" t="s">
        <v>1071</v>
      </c>
    </row>
    <row r="296" spans="4:6" ht="12.75">
      <c r="D296" s="20" t="s">
        <v>1072</v>
      </c>
      <c r="E296" s="21" t="s">
        <v>1073</v>
      </c>
      <c r="F296" s="22" t="s">
        <v>1074</v>
      </c>
    </row>
    <row r="297" spans="4:6" ht="12.75">
      <c r="D297" s="20" t="s">
        <v>1075</v>
      </c>
      <c r="E297" s="21" t="s">
        <v>1076</v>
      </c>
      <c r="F297" s="22" t="s">
        <v>1077</v>
      </c>
    </row>
    <row r="298" spans="4:6" ht="12.75">
      <c r="D298" s="20" t="s">
        <v>1078</v>
      </c>
      <c r="E298" s="21" t="s">
        <v>1079</v>
      </c>
      <c r="F298" s="22" t="s">
        <v>1080</v>
      </c>
    </row>
    <row r="299" spans="4:6" ht="12.75">
      <c r="D299" s="20" t="s">
        <v>1081</v>
      </c>
      <c r="E299" s="21" t="s">
        <v>1082</v>
      </c>
      <c r="F299" s="25" t="s">
        <v>1083</v>
      </c>
    </row>
    <row r="300" spans="4:6" ht="12.75">
      <c r="D300" s="20" t="s">
        <v>1084</v>
      </c>
      <c r="E300" s="21" t="s">
        <v>1085</v>
      </c>
      <c r="F300" s="22" t="s">
        <v>1086</v>
      </c>
    </row>
    <row r="301" spans="4:6" ht="12.75">
      <c r="D301" s="20" t="s">
        <v>1087</v>
      </c>
      <c r="E301" s="21" t="s">
        <v>1088</v>
      </c>
      <c r="F301" s="22" t="s">
        <v>1089</v>
      </c>
    </row>
    <row r="302" spans="4:6" ht="12.75">
      <c r="D302" s="20" t="s">
        <v>1090</v>
      </c>
      <c r="E302" s="21" t="s">
        <v>1091</v>
      </c>
      <c r="F302" s="22"/>
    </row>
    <row r="303" spans="4:6" ht="12.75">
      <c r="D303" s="20" t="s">
        <v>1092</v>
      </c>
      <c r="E303" s="21" t="s">
        <v>1093</v>
      </c>
      <c r="F303" s="22" t="s">
        <v>1094</v>
      </c>
    </row>
    <row r="304" spans="4:6" ht="12.75">
      <c r="D304" s="20" t="s">
        <v>1095</v>
      </c>
      <c r="E304" s="21" t="s">
        <v>1096</v>
      </c>
      <c r="F304" s="22" t="s">
        <v>1097</v>
      </c>
    </row>
    <row r="305" spans="4:6" ht="12.75">
      <c r="D305" s="20" t="s">
        <v>1098</v>
      </c>
      <c r="E305" s="21" t="s">
        <v>1099</v>
      </c>
      <c r="F305" s="22" t="s">
        <v>1100</v>
      </c>
    </row>
    <row r="306" spans="4:6" ht="12.75">
      <c r="D306" s="20" t="s">
        <v>284</v>
      </c>
      <c r="E306" s="21"/>
      <c r="F306" s="22"/>
    </row>
    <row r="307" spans="4:6" ht="12.75">
      <c r="D307" s="20" t="s">
        <v>1101</v>
      </c>
      <c r="E307" s="21" t="s">
        <v>1102</v>
      </c>
      <c r="F307" s="22" t="s">
        <v>1103</v>
      </c>
    </row>
    <row r="308" spans="4:6" ht="12.75">
      <c r="D308" s="20" t="s">
        <v>1104</v>
      </c>
      <c r="E308" s="21" t="s">
        <v>1105</v>
      </c>
      <c r="F308" s="21" t="s">
        <v>1106</v>
      </c>
    </row>
    <row r="309" spans="4:6" ht="12.75">
      <c r="D309" s="20" t="s">
        <v>284</v>
      </c>
      <c r="E309" s="21"/>
      <c r="F309" s="22"/>
    </row>
    <row r="310" spans="4:6" ht="12.75">
      <c r="D310" s="20" t="s">
        <v>1107</v>
      </c>
      <c r="E310" s="21" t="s">
        <v>1108</v>
      </c>
      <c r="F310" s="22" t="s">
        <v>1109</v>
      </c>
    </row>
    <row r="311" spans="4:6" ht="12.75">
      <c r="D311" s="20" t="s">
        <v>284</v>
      </c>
      <c r="E311" s="21"/>
      <c r="F311" s="22"/>
    </row>
    <row r="312" spans="4:6" ht="12.75">
      <c r="D312" s="20" t="s">
        <v>1110</v>
      </c>
      <c r="E312" s="21" t="s">
        <v>1111</v>
      </c>
      <c r="F312" s="22" t="s">
        <v>1112</v>
      </c>
    </row>
    <row r="313" spans="4:6" ht="12.75">
      <c r="D313" s="20" t="s">
        <v>1113</v>
      </c>
      <c r="E313" s="21" t="s">
        <v>1114</v>
      </c>
      <c r="F313" s="22" t="s">
        <v>1115</v>
      </c>
    </row>
    <row r="314" spans="4:6" ht="12.75">
      <c r="D314" s="20" t="s">
        <v>1116</v>
      </c>
      <c r="E314" s="21" t="s">
        <v>1117</v>
      </c>
      <c r="F314" s="22" t="s">
        <v>1118</v>
      </c>
    </row>
    <row r="315" spans="4:6" ht="12.75">
      <c r="D315" s="20" t="s">
        <v>1119</v>
      </c>
      <c r="E315" s="21" t="s">
        <v>1120</v>
      </c>
      <c r="F315" s="22" t="s">
        <v>1121</v>
      </c>
    </row>
    <row r="316" spans="4:6" ht="12.75">
      <c r="D316" s="20" t="s">
        <v>1122</v>
      </c>
      <c r="E316" s="21" t="s">
        <v>1123</v>
      </c>
      <c r="F316" s="22" t="s">
        <v>1124</v>
      </c>
    </row>
    <row r="317" spans="4:6" ht="12.75">
      <c r="D317" s="20" t="s">
        <v>1125</v>
      </c>
      <c r="E317" s="21" t="s">
        <v>1126</v>
      </c>
      <c r="F317" s="22" t="s">
        <v>1127</v>
      </c>
    </row>
    <row r="318" spans="4:6" ht="12.75">
      <c r="D318" s="20" t="s">
        <v>1128</v>
      </c>
      <c r="E318" s="21" t="s">
        <v>1129</v>
      </c>
      <c r="F318" s="22" t="s">
        <v>1130</v>
      </c>
    </row>
    <row r="319" spans="4:6" ht="12.75">
      <c r="D319" s="20" t="s">
        <v>1131</v>
      </c>
      <c r="E319" s="21" t="s">
        <v>1132</v>
      </c>
      <c r="F319" s="22" t="s">
        <v>1133</v>
      </c>
    </row>
    <row r="320" spans="4:6" ht="12.75">
      <c r="D320" s="20" t="s">
        <v>1134</v>
      </c>
      <c r="E320" s="21" t="s">
        <v>1135</v>
      </c>
      <c r="F320" s="22" t="s">
        <v>1136</v>
      </c>
    </row>
    <row r="321" spans="4:6" ht="12.75">
      <c r="D321" s="20" t="s">
        <v>284</v>
      </c>
      <c r="E321" s="21"/>
      <c r="F321" s="22"/>
    </row>
    <row r="322" spans="4:6" ht="12.75">
      <c r="D322" s="20" t="s">
        <v>1137</v>
      </c>
      <c r="E322" s="21" t="s">
        <v>1138</v>
      </c>
      <c r="F322" s="22" t="s">
        <v>1139</v>
      </c>
    </row>
    <row r="323" spans="4:6" ht="12.75">
      <c r="D323" s="20" t="s">
        <v>1140</v>
      </c>
      <c r="E323" s="21" t="s">
        <v>1141</v>
      </c>
      <c r="F323" s="22" t="s">
        <v>1142</v>
      </c>
    </row>
    <row r="324" spans="4:6" ht="12.75">
      <c r="D324" s="20" t="s">
        <v>1143</v>
      </c>
      <c r="E324" s="21" t="s">
        <v>1144</v>
      </c>
      <c r="F324" s="22" t="s">
        <v>1145</v>
      </c>
    </row>
    <row r="325" spans="4:6" ht="12.75">
      <c r="D325" s="20" t="s">
        <v>1146</v>
      </c>
      <c r="E325" s="21" t="s">
        <v>1147</v>
      </c>
      <c r="F325" s="22" t="s">
        <v>1148</v>
      </c>
    </row>
    <row r="326" spans="4:6" ht="12.75">
      <c r="D326" s="20" t="s">
        <v>1149</v>
      </c>
      <c r="E326" s="21" t="s">
        <v>1150</v>
      </c>
      <c r="F326" s="22" t="s">
        <v>1151</v>
      </c>
    </row>
    <row r="327" spans="4:6" ht="12.75">
      <c r="D327" s="20" t="s">
        <v>1152</v>
      </c>
      <c r="E327" s="21" t="s">
        <v>1153</v>
      </c>
      <c r="F327" s="22" t="s">
        <v>1154</v>
      </c>
    </row>
    <row r="328" spans="4:6" ht="12.75">
      <c r="D328" s="20" t="s">
        <v>1155</v>
      </c>
      <c r="E328" s="21" t="s">
        <v>1156</v>
      </c>
      <c r="F328" s="22" t="s">
        <v>1157</v>
      </c>
    </row>
    <row r="329" spans="4:6" ht="12.75">
      <c r="D329" s="20" t="s">
        <v>1158</v>
      </c>
      <c r="E329" s="21" t="s">
        <v>1159</v>
      </c>
      <c r="F329" s="22" t="s">
        <v>1160</v>
      </c>
    </row>
    <row r="330" spans="4:6" ht="12.75">
      <c r="D330" s="20" t="s">
        <v>1161</v>
      </c>
      <c r="E330" s="21" t="s">
        <v>1162</v>
      </c>
      <c r="F330" s="22" t="s">
        <v>1163</v>
      </c>
    </row>
    <row r="331" spans="4:6" ht="12.75">
      <c r="D331" s="20" t="s">
        <v>1164</v>
      </c>
      <c r="E331" s="21" t="s">
        <v>1165</v>
      </c>
      <c r="F331" s="22" t="s">
        <v>1166</v>
      </c>
    </row>
    <row r="332" spans="4:6" ht="12.75">
      <c r="D332" s="20" t="s">
        <v>1167</v>
      </c>
      <c r="E332" s="21" t="s">
        <v>1168</v>
      </c>
      <c r="F332" s="22" t="s">
        <v>1169</v>
      </c>
    </row>
    <row r="333" spans="4:6" ht="12.75">
      <c r="D333" s="20" t="s">
        <v>1170</v>
      </c>
      <c r="E333" s="21" t="s">
        <v>1171</v>
      </c>
      <c r="F333" s="22" t="s">
        <v>1172</v>
      </c>
    </row>
    <row r="334" spans="4:6" ht="12.75">
      <c r="D334" s="20" t="s">
        <v>1173</v>
      </c>
      <c r="E334" s="21" t="s">
        <v>1174</v>
      </c>
      <c r="F334" s="22" t="s">
        <v>1175</v>
      </c>
    </row>
    <row r="335" spans="4:6" ht="12.75">
      <c r="D335" s="20" t="s">
        <v>1176</v>
      </c>
      <c r="E335" s="21" t="s">
        <v>1177</v>
      </c>
      <c r="F335" s="22" t="s">
        <v>1178</v>
      </c>
    </row>
    <row r="336" spans="4:6" ht="12.75">
      <c r="D336" s="20" t="s">
        <v>1179</v>
      </c>
      <c r="E336" s="21" t="s">
        <v>1180</v>
      </c>
      <c r="F336" s="22" t="s">
        <v>1181</v>
      </c>
    </row>
    <row r="337" spans="4:6" ht="12.75">
      <c r="D337" s="20" t="s">
        <v>1182</v>
      </c>
      <c r="E337" s="21" t="s">
        <v>1183</v>
      </c>
      <c r="F337" s="22" t="s">
        <v>1184</v>
      </c>
    </row>
    <row r="338" spans="4:6" ht="12.75">
      <c r="D338" s="20" t="s">
        <v>1185</v>
      </c>
      <c r="E338" s="21" t="s">
        <v>1186</v>
      </c>
      <c r="F338" s="22" t="s">
        <v>1187</v>
      </c>
    </row>
    <row r="339" spans="4:6" ht="12.75">
      <c r="D339" s="20" t="s">
        <v>1188</v>
      </c>
      <c r="E339" s="21" t="s">
        <v>1189</v>
      </c>
      <c r="F339" s="22" t="s">
        <v>1190</v>
      </c>
    </row>
    <row r="340" spans="4:6" ht="12.75">
      <c r="D340" s="20" t="s">
        <v>1191</v>
      </c>
      <c r="E340" s="21" t="s">
        <v>1192</v>
      </c>
      <c r="F340" s="22" t="s">
        <v>1193</v>
      </c>
    </row>
    <row r="341" spans="4:6" ht="12.75">
      <c r="D341" s="20" t="s">
        <v>1194</v>
      </c>
      <c r="E341" s="21" t="s">
        <v>1195</v>
      </c>
      <c r="F341" s="22" t="s">
        <v>1196</v>
      </c>
    </row>
    <row r="342" spans="4:6" ht="12.75">
      <c r="D342" s="20" t="s">
        <v>1197</v>
      </c>
      <c r="E342" s="21" t="s">
        <v>1198</v>
      </c>
      <c r="F342" s="22" t="s">
        <v>1199</v>
      </c>
    </row>
    <row r="343" spans="4:6" ht="12.75">
      <c r="D343" s="20" t="s">
        <v>1200</v>
      </c>
      <c r="E343" s="21" t="s">
        <v>1201</v>
      </c>
      <c r="F343" s="22" t="s">
        <v>1202</v>
      </c>
    </row>
    <row r="344" spans="4:6" ht="12.75">
      <c r="D344" s="20" t="s">
        <v>1203</v>
      </c>
      <c r="E344" s="21" t="s">
        <v>1204</v>
      </c>
      <c r="F344" s="22" t="s">
        <v>1205</v>
      </c>
    </row>
    <row r="345" spans="4:6" ht="12.75">
      <c r="D345" s="20" t="s">
        <v>1206</v>
      </c>
      <c r="E345" s="21" t="s">
        <v>1207</v>
      </c>
      <c r="F345" s="22" t="s">
        <v>1208</v>
      </c>
    </row>
    <row r="346" spans="4:6" ht="12.75">
      <c r="D346" s="20" t="s">
        <v>1209</v>
      </c>
      <c r="E346" s="21" t="s">
        <v>1210</v>
      </c>
      <c r="F346" s="22" t="s">
        <v>1211</v>
      </c>
    </row>
    <row r="347" spans="4:6" ht="12.75">
      <c r="D347" s="20" t="s">
        <v>1212</v>
      </c>
      <c r="E347" s="21" t="s">
        <v>1213</v>
      </c>
      <c r="F347" s="22" t="s">
        <v>1214</v>
      </c>
    </row>
    <row r="348" spans="4:6" ht="12.75">
      <c r="D348" s="20" t="s">
        <v>1215</v>
      </c>
      <c r="E348" s="21" t="s">
        <v>1216</v>
      </c>
      <c r="F348" s="22" t="s">
        <v>1217</v>
      </c>
    </row>
    <row r="349" spans="4:6" ht="12.75">
      <c r="D349" s="20" t="s">
        <v>1218</v>
      </c>
      <c r="E349" s="21" t="s">
        <v>1219</v>
      </c>
      <c r="F349" s="22" t="s">
        <v>1220</v>
      </c>
    </row>
    <row r="350" spans="4:6" ht="12.75">
      <c r="D350" s="20" t="s">
        <v>1221</v>
      </c>
      <c r="E350" s="21" t="s">
        <v>1222</v>
      </c>
      <c r="F350" s="22" t="s">
        <v>1223</v>
      </c>
    </row>
    <row r="351" spans="4:6" ht="12.75">
      <c r="D351" s="20" t="s">
        <v>284</v>
      </c>
      <c r="E351" s="21"/>
      <c r="F351" s="22"/>
    </row>
    <row r="352" spans="4:6" ht="12.75">
      <c r="D352" s="20" t="s">
        <v>1224</v>
      </c>
      <c r="E352" s="21" t="s">
        <v>1225</v>
      </c>
      <c r="F352" s="22" t="s">
        <v>1226</v>
      </c>
    </row>
    <row r="353" spans="4:6" ht="12.75">
      <c r="D353" s="20" t="s">
        <v>1227</v>
      </c>
      <c r="E353" s="21" t="s">
        <v>1228</v>
      </c>
      <c r="F353" s="22" t="s">
        <v>1229</v>
      </c>
    </row>
    <row r="354" spans="4:6" ht="12.75">
      <c r="D354" s="20" t="s">
        <v>1230</v>
      </c>
      <c r="E354" s="21" t="s">
        <v>1231</v>
      </c>
      <c r="F354" s="22" t="s">
        <v>1232</v>
      </c>
    </row>
    <row r="355" spans="4:6" ht="12.75">
      <c r="D355" s="20" t="s">
        <v>1233</v>
      </c>
      <c r="E355" s="21" t="s">
        <v>1234</v>
      </c>
      <c r="F355" s="22" t="s">
        <v>1235</v>
      </c>
    </row>
    <row r="356" spans="4:6" ht="12.75">
      <c r="D356" s="20" t="s">
        <v>1236</v>
      </c>
      <c r="E356" s="21" t="s">
        <v>1237</v>
      </c>
      <c r="F356" s="22" t="s">
        <v>1238</v>
      </c>
    </row>
    <row r="357" spans="4:6" ht="12.75">
      <c r="D357" s="20" t="s">
        <v>1239</v>
      </c>
      <c r="E357" s="21" t="s">
        <v>1240</v>
      </c>
      <c r="F357" s="22" t="s">
        <v>1241</v>
      </c>
    </row>
    <row r="358" spans="4:6" ht="12.75">
      <c r="D358" s="20" t="s">
        <v>284</v>
      </c>
      <c r="E358" s="21"/>
      <c r="F358" s="22"/>
    </row>
    <row r="359" spans="4:6" ht="12.75">
      <c r="D359" s="20" t="s">
        <v>1242</v>
      </c>
      <c r="E359" s="21" t="s">
        <v>1243</v>
      </c>
      <c r="F359" s="22" t="s">
        <v>1244</v>
      </c>
    </row>
    <row r="360" spans="4:6" ht="12.75">
      <c r="D360" s="20" t="s">
        <v>1245</v>
      </c>
      <c r="E360" s="21" t="s">
        <v>1246</v>
      </c>
      <c r="F360" s="22" t="s">
        <v>1247</v>
      </c>
    </row>
    <row r="361" spans="4:6" ht="12.75">
      <c r="D361" s="20" t="s">
        <v>1248</v>
      </c>
      <c r="E361" s="21" t="s">
        <v>1249</v>
      </c>
      <c r="F361" s="22" t="s">
        <v>1250</v>
      </c>
    </row>
    <row r="362" spans="4:6" ht="12.75">
      <c r="D362" s="20" t="s">
        <v>1251</v>
      </c>
      <c r="E362" s="21" t="s">
        <v>1252</v>
      </c>
      <c r="F362" s="22" t="s">
        <v>1253</v>
      </c>
    </row>
    <row r="363" spans="4:6" ht="12.75">
      <c r="D363" s="20" t="s">
        <v>1254</v>
      </c>
      <c r="E363" s="21" t="s">
        <v>1255</v>
      </c>
      <c r="F363" s="22" t="s">
        <v>1256</v>
      </c>
    </row>
    <row r="364" spans="4:6" ht="12.75">
      <c r="D364" s="20" t="s">
        <v>1257</v>
      </c>
      <c r="E364" s="21" t="s">
        <v>1258</v>
      </c>
      <c r="F364" s="22" t="s">
        <v>1259</v>
      </c>
    </row>
    <row r="365" spans="4:6" ht="12.75">
      <c r="D365" s="20" t="s">
        <v>284</v>
      </c>
      <c r="E365" s="21"/>
      <c r="F365" s="21"/>
    </row>
    <row r="366" spans="4:6" ht="12.75">
      <c r="D366" s="20" t="s">
        <v>284</v>
      </c>
      <c r="E366" s="21"/>
      <c r="F366" s="22"/>
    </row>
    <row r="367" spans="4:6" ht="12.75">
      <c r="D367" s="20" t="s">
        <v>1260</v>
      </c>
      <c r="E367" s="21" t="s">
        <v>1261</v>
      </c>
      <c r="F367" s="25" t="s">
        <v>1262</v>
      </c>
    </row>
    <row r="368" spans="4:6" ht="12.75">
      <c r="D368" s="20" t="s">
        <v>1263</v>
      </c>
      <c r="E368" s="21" t="s">
        <v>1264</v>
      </c>
      <c r="F368" s="22" t="s">
        <v>1265</v>
      </c>
    </row>
    <row r="369" spans="4:6" ht="12.75">
      <c r="D369" s="20" t="s">
        <v>1266</v>
      </c>
      <c r="E369" s="21" t="s">
        <v>1267</v>
      </c>
      <c r="F369" s="22" t="s">
        <v>1268</v>
      </c>
    </row>
    <row r="370" spans="4:6" ht="15">
      <c r="D370" s="20" t="s">
        <v>284</v>
      </c>
      <c r="E370" s="21"/>
      <c r="F370" s="26"/>
    </row>
    <row r="371" spans="4:6" ht="12.75">
      <c r="D371" s="20" t="s">
        <v>1269</v>
      </c>
      <c r="E371" s="21" t="s">
        <v>1270</v>
      </c>
      <c r="F371" s="22" t="s">
        <v>1271</v>
      </c>
    </row>
    <row r="372" spans="4:6" ht="12.75">
      <c r="D372" s="20" t="s">
        <v>1272</v>
      </c>
      <c r="E372" s="21" t="s">
        <v>1273</v>
      </c>
      <c r="F372" s="22" t="s">
        <v>1274</v>
      </c>
    </row>
    <row r="373" spans="4:6" ht="12.75">
      <c r="D373" s="20" t="s">
        <v>1275</v>
      </c>
      <c r="E373" s="21" t="s">
        <v>1276</v>
      </c>
      <c r="F373" s="22" t="s">
        <v>1277</v>
      </c>
    </row>
    <row r="374" spans="4:6" ht="12.75">
      <c r="D374" s="20" t="s">
        <v>1278</v>
      </c>
      <c r="E374" s="21" t="s">
        <v>1279</v>
      </c>
      <c r="F374" s="22" t="s">
        <v>1280</v>
      </c>
    </row>
    <row r="375" spans="4:6" ht="12.75">
      <c r="D375" s="20" t="s">
        <v>284</v>
      </c>
      <c r="E375" s="21"/>
      <c r="F375" s="22"/>
    </row>
    <row r="376" spans="4:6" ht="12.75">
      <c r="D376" s="20" t="s">
        <v>1281</v>
      </c>
      <c r="E376" s="21" t="s">
        <v>1282</v>
      </c>
      <c r="F376" s="22" t="s">
        <v>1283</v>
      </c>
    </row>
    <row r="377" spans="4:6" ht="12.75">
      <c r="D377" s="20" t="s">
        <v>1284</v>
      </c>
      <c r="E377" s="21" t="s">
        <v>1285</v>
      </c>
      <c r="F377" s="22" t="s">
        <v>1286</v>
      </c>
    </row>
    <row r="378" spans="4:6" ht="12.75">
      <c r="D378" s="20" t="s">
        <v>1287</v>
      </c>
      <c r="E378" s="21" t="s">
        <v>1288</v>
      </c>
      <c r="F378" s="22" t="s">
        <v>1289</v>
      </c>
    </row>
    <row r="379" spans="4:6" ht="12.75">
      <c r="D379" s="20" t="s">
        <v>284</v>
      </c>
      <c r="E379" s="21"/>
      <c r="F379" s="22"/>
    </row>
    <row r="380" spans="4:6" ht="12.75">
      <c r="D380" s="20" t="s">
        <v>1290</v>
      </c>
      <c r="E380" s="21" t="s">
        <v>1291</v>
      </c>
      <c r="F380" s="22" t="s">
        <v>1292</v>
      </c>
    </row>
    <row r="381" spans="4:6" ht="12.75">
      <c r="D381" s="20" t="s">
        <v>284</v>
      </c>
      <c r="E381" s="21"/>
      <c r="F381" s="22"/>
    </row>
    <row r="382" spans="4:6" ht="12.75">
      <c r="D382" s="20" t="s">
        <v>284</v>
      </c>
      <c r="E382" s="21"/>
      <c r="F382" s="22"/>
    </row>
    <row r="383" spans="4:6" ht="12.75">
      <c r="D383" s="20" t="s">
        <v>1293</v>
      </c>
      <c r="E383" s="21" t="s">
        <v>1294</v>
      </c>
      <c r="F383" s="22" t="s">
        <v>1295</v>
      </c>
    </row>
    <row r="384" spans="4:6" ht="12.75">
      <c r="D384" s="20" t="s">
        <v>1296</v>
      </c>
      <c r="E384" s="21" t="s">
        <v>1297</v>
      </c>
      <c r="F384" s="22" t="s">
        <v>1298</v>
      </c>
    </row>
    <row r="385" spans="4:6" ht="12.75">
      <c r="D385" s="20" t="s">
        <v>1299</v>
      </c>
      <c r="E385" s="21" t="s">
        <v>1300</v>
      </c>
      <c r="F385" s="22" t="s">
        <v>1301</v>
      </c>
    </row>
    <row r="386" spans="4:6" ht="12.75">
      <c r="D386" s="20" t="s">
        <v>1302</v>
      </c>
      <c r="E386" s="21" t="s">
        <v>1303</v>
      </c>
      <c r="F386" s="22" t="s">
        <v>1304</v>
      </c>
    </row>
    <row r="387" spans="4:6" ht="12.75">
      <c r="D387" s="20" t="s">
        <v>1305</v>
      </c>
      <c r="E387" s="21" t="s">
        <v>1306</v>
      </c>
      <c r="F387" s="22" t="s">
        <v>1307</v>
      </c>
    </row>
    <row r="388" spans="4:6" ht="12.75">
      <c r="D388" s="20" t="s">
        <v>1308</v>
      </c>
      <c r="E388" s="21" t="s">
        <v>1309</v>
      </c>
      <c r="F388" s="22" t="s">
        <v>1310</v>
      </c>
    </row>
    <row r="389" spans="4:6" ht="12.75">
      <c r="D389" s="20" t="s">
        <v>1311</v>
      </c>
      <c r="E389" s="21" t="s">
        <v>1312</v>
      </c>
      <c r="F389" s="22" t="s">
        <v>1313</v>
      </c>
    </row>
    <row r="390" spans="4:6" ht="12.75">
      <c r="D390" s="20" t="s">
        <v>1314</v>
      </c>
      <c r="E390" s="21" t="s">
        <v>1315</v>
      </c>
      <c r="F390" s="22" t="s">
        <v>1316</v>
      </c>
    </row>
    <row r="391" spans="4:6" ht="12.75">
      <c r="D391" s="20" t="s">
        <v>1317</v>
      </c>
      <c r="E391" s="21" t="s">
        <v>1318</v>
      </c>
      <c r="F391" s="22" t="s">
        <v>1319</v>
      </c>
    </row>
    <row r="392" spans="4:6" ht="12.75">
      <c r="D392" s="20" t="s">
        <v>284</v>
      </c>
      <c r="E392" s="21"/>
      <c r="F392" s="22"/>
    </row>
    <row r="393" spans="4:6" ht="12.75">
      <c r="D393" s="20" t="s">
        <v>1320</v>
      </c>
      <c r="E393" s="21" t="s">
        <v>1321</v>
      </c>
      <c r="F393" s="22" t="s">
        <v>1322</v>
      </c>
    </row>
    <row r="394" spans="4:6" ht="12.75">
      <c r="D394" s="20" t="s">
        <v>1323</v>
      </c>
      <c r="E394" s="21" t="s">
        <v>1324</v>
      </c>
      <c r="F394" s="25" t="s">
        <v>1325</v>
      </c>
    </row>
    <row r="395" spans="4:6" ht="12.75">
      <c r="D395" s="20" t="s">
        <v>1326</v>
      </c>
      <c r="E395" s="21" t="s">
        <v>1327</v>
      </c>
      <c r="F395" s="22" t="s">
        <v>1328</v>
      </c>
    </row>
    <row r="396" spans="4:6" ht="12.75">
      <c r="D396" s="20" t="s">
        <v>1329</v>
      </c>
      <c r="E396" s="21" t="s">
        <v>1330</v>
      </c>
      <c r="F396" s="22" t="s">
        <v>1331</v>
      </c>
    </row>
    <row r="397" spans="4:6" ht="12.75">
      <c r="D397" s="20" t="s">
        <v>1332</v>
      </c>
      <c r="E397" s="21" t="s">
        <v>1333</v>
      </c>
      <c r="F397" s="22" t="s">
        <v>1334</v>
      </c>
    </row>
    <row r="398" spans="4:6" ht="12.75">
      <c r="D398" s="20" t="s">
        <v>1335</v>
      </c>
      <c r="E398" s="21" t="s">
        <v>1336</v>
      </c>
      <c r="F398" s="22" t="s">
        <v>1337</v>
      </c>
    </row>
    <row r="399" spans="4:6" ht="12.75">
      <c r="D399" s="20" t="s">
        <v>1338</v>
      </c>
      <c r="E399" s="21" t="s">
        <v>1339</v>
      </c>
      <c r="F399" s="22" t="s">
        <v>1340</v>
      </c>
    </row>
    <row r="400" spans="4:6" ht="12.75">
      <c r="D400" s="20" t="s">
        <v>1341</v>
      </c>
      <c r="E400" s="21" t="s">
        <v>1342</v>
      </c>
      <c r="F400" s="22" t="s">
        <v>1343</v>
      </c>
    </row>
    <row r="401" spans="4:6" ht="12.75">
      <c r="D401" s="20" t="s">
        <v>1344</v>
      </c>
      <c r="E401" s="21" t="s">
        <v>1345</v>
      </c>
      <c r="F401" s="22" t="s">
        <v>1346</v>
      </c>
    </row>
    <row r="402" spans="4:6" ht="12.75">
      <c r="D402" s="20" t="s">
        <v>284</v>
      </c>
      <c r="E402" s="21"/>
      <c r="F402" s="22"/>
    </row>
    <row r="403" spans="4:6" ht="12.75">
      <c r="D403" s="20" t="s">
        <v>1347</v>
      </c>
      <c r="E403" s="21" t="s">
        <v>1348</v>
      </c>
      <c r="F403" s="22" t="s">
        <v>1349</v>
      </c>
    </row>
    <row r="404" spans="4:6" ht="12.75">
      <c r="D404" s="20" t="s">
        <v>1350</v>
      </c>
      <c r="E404" s="21" t="s">
        <v>1351</v>
      </c>
      <c r="F404" s="22" t="s">
        <v>1352</v>
      </c>
    </row>
    <row r="405" spans="4:6" ht="12.75">
      <c r="D405" s="20" t="s">
        <v>284</v>
      </c>
      <c r="E405" s="21"/>
      <c r="F405" s="22"/>
    </row>
    <row r="406" spans="4:6" ht="12.75">
      <c r="D406" s="20" t="s">
        <v>1353</v>
      </c>
      <c r="E406" s="21" t="s">
        <v>1354</v>
      </c>
      <c r="F406" s="22" t="s">
        <v>1355</v>
      </c>
    </row>
    <row r="407" spans="4:6" ht="12.75">
      <c r="D407" s="20" t="s">
        <v>1356</v>
      </c>
      <c r="E407" s="21" t="s">
        <v>1357</v>
      </c>
      <c r="F407" s="22" t="s">
        <v>1358</v>
      </c>
    </row>
    <row r="408" spans="4:6" ht="12.75">
      <c r="D408" s="20" t="s">
        <v>1359</v>
      </c>
      <c r="E408" s="21" t="s">
        <v>1360</v>
      </c>
      <c r="F408" s="22" t="s">
        <v>1361</v>
      </c>
    </row>
    <row r="409" spans="4:6" ht="12.75">
      <c r="D409" s="20" t="s">
        <v>1362</v>
      </c>
      <c r="E409" s="21" t="s">
        <v>1363</v>
      </c>
      <c r="F409" s="22" t="s">
        <v>1364</v>
      </c>
    </row>
    <row r="410" spans="4:6" ht="12.75">
      <c r="D410" s="20" t="s">
        <v>1365</v>
      </c>
      <c r="E410" s="21" t="s">
        <v>1366</v>
      </c>
      <c r="F410" s="22" t="s">
        <v>1367</v>
      </c>
    </row>
    <row r="411" spans="4:6" ht="12.75">
      <c r="D411" s="20" t="s">
        <v>1368</v>
      </c>
      <c r="E411" s="21" t="s">
        <v>1369</v>
      </c>
      <c r="F411" s="22" t="s">
        <v>1370</v>
      </c>
    </row>
    <row r="412" spans="4:6" ht="12.75">
      <c r="D412" s="20" t="s">
        <v>1371</v>
      </c>
      <c r="E412" s="21" t="s">
        <v>1372</v>
      </c>
      <c r="F412" s="22" t="s">
        <v>1373</v>
      </c>
    </row>
    <row r="413" spans="4:6" ht="12.75">
      <c r="D413" s="20" t="s">
        <v>284</v>
      </c>
      <c r="E413" s="21"/>
      <c r="F413" s="22"/>
    </row>
    <row r="414" spans="4:6" ht="12.75">
      <c r="D414" s="20" t="s">
        <v>284</v>
      </c>
      <c r="E414" s="21"/>
      <c r="F414" s="22"/>
    </row>
    <row r="415" spans="4:6" ht="12.75">
      <c r="D415" s="20" t="s">
        <v>1374</v>
      </c>
      <c r="E415" s="21" t="s">
        <v>1375</v>
      </c>
      <c r="F415" s="22" t="s">
        <v>1376</v>
      </c>
    </row>
    <row r="416" spans="4:6" ht="12.75">
      <c r="D416" s="20" t="s">
        <v>1377</v>
      </c>
      <c r="E416" s="21" t="s">
        <v>1378</v>
      </c>
      <c r="F416" s="22" t="s">
        <v>1379</v>
      </c>
    </row>
    <row r="417" spans="4:6" ht="12.75">
      <c r="D417" s="20" t="s">
        <v>1380</v>
      </c>
      <c r="E417" s="21" t="s">
        <v>1381</v>
      </c>
      <c r="F417" s="22" t="s">
        <v>1382</v>
      </c>
    </row>
    <row r="418" spans="4:6" ht="12.75">
      <c r="D418" s="20" t="s">
        <v>1383</v>
      </c>
      <c r="E418" s="21" t="s">
        <v>1384</v>
      </c>
      <c r="F418" s="22" t="s">
        <v>1385</v>
      </c>
    </row>
    <row r="419" spans="4:6" ht="12.75">
      <c r="D419" s="20" t="s">
        <v>1386</v>
      </c>
      <c r="E419" s="21" t="s">
        <v>1387</v>
      </c>
      <c r="F419" s="22" t="s">
        <v>1388</v>
      </c>
    </row>
    <row r="420" spans="4:6" ht="12.75">
      <c r="D420" s="20" t="s">
        <v>1389</v>
      </c>
      <c r="E420" s="21" t="s">
        <v>1390</v>
      </c>
      <c r="F420" s="22" t="s">
        <v>1391</v>
      </c>
    </row>
    <row r="421" spans="4:6" ht="12.75">
      <c r="D421" s="20" t="s">
        <v>1392</v>
      </c>
      <c r="E421" s="21" t="s">
        <v>1393</v>
      </c>
      <c r="F421" s="22" t="s">
        <v>1394</v>
      </c>
    </row>
    <row r="422" spans="4:6" ht="12.75">
      <c r="D422" s="20" t="s">
        <v>1395</v>
      </c>
      <c r="E422" s="21" t="s">
        <v>1396</v>
      </c>
      <c r="F422" s="22" t="s">
        <v>1397</v>
      </c>
    </row>
    <row r="423" spans="4:6" ht="12.75">
      <c r="D423" s="20" t="s">
        <v>1398</v>
      </c>
      <c r="E423" s="21" t="s">
        <v>1399</v>
      </c>
      <c r="F423" s="22" t="s">
        <v>1400</v>
      </c>
    </row>
    <row r="424" spans="4:6" ht="12.75">
      <c r="D424" s="20" t="s">
        <v>1401</v>
      </c>
      <c r="E424" s="21" t="s">
        <v>1402</v>
      </c>
      <c r="F424" s="22" t="s">
        <v>1403</v>
      </c>
    </row>
    <row r="425" spans="4:6" ht="12.75">
      <c r="D425" s="20" t="s">
        <v>1404</v>
      </c>
      <c r="E425" s="21" t="s">
        <v>1405</v>
      </c>
      <c r="F425" s="22" t="s">
        <v>1406</v>
      </c>
    </row>
    <row r="426" spans="4:6" ht="12.75">
      <c r="D426" s="20" t="s">
        <v>1407</v>
      </c>
      <c r="E426" s="21" t="s">
        <v>1408</v>
      </c>
      <c r="F426" s="22" t="s">
        <v>1409</v>
      </c>
    </row>
    <row r="427" spans="4:6" ht="12.75">
      <c r="D427" s="20" t="s">
        <v>1410</v>
      </c>
      <c r="E427" s="21" t="s">
        <v>1411</v>
      </c>
      <c r="F427" s="22" t="s">
        <v>1412</v>
      </c>
    </row>
    <row r="428" spans="4:6" ht="12.75">
      <c r="D428" s="20" t="s">
        <v>1413</v>
      </c>
      <c r="E428" s="21" t="s">
        <v>1414</v>
      </c>
      <c r="F428" s="22" t="s">
        <v>1415</v>
      </c>
    </row>
    <row r="429" spans="4:6" ht="12.75">
      <c r="D429" s="20" t="s">
        <v>284</v>
      </c>
      <c r="E429" s="21"/>
      <c r="F429" s="22"/>
    </row>
    <row r="430" spans="4:6" ht="12.75">
      <c r="D430" s="20" t="s">
        <v>284</v>
      </c>
      <c r="E430" s="21"/>
      <c r="F430" s="21"/>
    </row>
    <row r="431" spans="4:6" ht="12.75">
      <c r="D431" s="20" t="s">
        <v>1416</v>
      </c>
      <c r="E431" s="21" t="s">
        <v>1417</v>
      </c>
      <c r="F431" s="22" t="s">
        <v>1418</v>
      </c>
    </row>
    <row r="432" spans="4:6" ht="12.75">
      <c r="D432" s="20" t="s">
        <v>1419</v>
      </c>
      <c r="E432" s="21" t="s">
        <v>1420</v>
      </c>
      <c r="F432" s="22" t="s">
        <v>1421</v>
      </c>
    </row>
    <row r="433" spans="4:6" ht="12.75">
      <c r="D433" s="20" t="s">
        <v>1422</v>
      </c>
      <c r="E433" s="21" t="s">
        <v>1423</v>
      </c>
      <c r="F433" s="22" t="s">
        <v>1424</v>
      </c>
    </row>
    <row r="434" spans="4:6" ht="12.75">
      <c r="D434" s="20" t="s">
        <v>1425</v>
      </c>
      <c r="E434" s="21" t="s">
        <v>1426</v>
      </c>
      <c r="F434" s="22" t="s">
        <v>1427</v>
      </c>
    </row>
    <row r="435" spans="4:6" ht="12.75">
      <c r="D435" s="20" t="s">
        <v>1428</v>
      </c>
      <c r="E435" s="21" t="s">
        <v>1429</v>
      </c>
      <c r="F435" s="22" t="s">
        <v>1430</v>
      </c>
    </row>
    <row r="436" spans="4:6" ht="12.75">
      <c r="D436" s="20" t="s">
        <v>1431</v>
      </c>
      <c r="E436" s="21" t="s">
        <v>1432</v>
      </c>
      <c r="F436" s="22" t="s">
        <v>1433</v>
      </c>
    </row>
    <row r="437" spans="4:6" ht="12.75">
      <c r="D437" s="20" t="s">
        <v>1434</v>
      </c>
      <c r="E437" s="21" t="s">
        <v>1435</v>
      </c>
      <c r="F437" s="22" t="s">
        <v>1436</v>
      </c>
    </row>
    <row r="438" spans="4:6" ht="12.75">
      <c r="D438" s="20" t="s">
        <v>284</v>
      </c>
      <c r="E438" s="21"/>
      <c r="F438" s="21"/>
    </row>
    <row r="439" spans="4:6" ht="12.75">
      <c r="D439" s="20" t="s">
        <v>1437</v>
      </c>
      <c r="E439" s="21" t="s">
        <v>1438</v>
      </c>
      <c r="F439" s="22" t="s">
        <v>1439</v>
      </c>
    </row>
    <row r="440" spans="4:6" ht="12.75">
      <c r="D440" s="20" t="s">
        <v>1440</v>
      </c>
      <c r="E440" s="21" t="s">
        <v>1441</v>
      </c>
      <c r="F440" s="22" t="s">
        <v>1442</v>
      </c>
    </row>
    <row r="441" spans="4:6" ht="12.75">
      <c r="D441" s="20" t="s">
        <v>1443</v>
      </c>
      <c r="E441" s="21" t="s">
        <v>1444</v>
      </c>
      <c r="F441" s="22" t="s">
        <v>1445</v>
      </c>
    </row>
    <row r="442" spans="4:6" ht="12.75">
      <c r="D442" s="20" t="s">
        <v>1446</v>
      </c>
      <c r="E442" s="21" t="s">
        <v>1447</v>
      </c>
      <c r="F442" s="22" t="s">
        <v>1448</v>
      </c>
    </row>
    <row r="443" spans="4:6" ht="12.75">
      <c r="D443" s="20" t="s">
        <v>1449</v>
      </c>
      <c r="E443" s="21" t="s">
        <v>1450</v>
      </c>
      <c r="F443" s="22" t="s">
        <v>1451</v>
      </c>
    </row>
    <row r="444" spans="4:6" ht="12.75">
      <c r="D444" s="20" t="s">
        <v>1452</v>
      </c>
      <c r="E444" s="21" t="s">
        <v>1453</v>
      </c>
      <c r="F444" s="22" t="s">
        <v>1454</v>
      </c>
    </row>
    <row r="445" spans="4:6" ht="12.75">
      <c r="D445" s="20" t="s">
        <v>1455</v>
      </c>
      <c r="E445" s="21" t="s">
        <v>1456</v>
      </c>
      <c r="F445" s="22" t="s">
        <v>1457</v>
      </c>
    </row>
    <row r="446" spans="4:6" ht="12.75">
      <c r="D446" s="20" t="s">
        <v>1458</v>
      </c>
      <c r="E446" s="21" t="s">
        <v>1459</v>
      </c>
      <c r="F446" s="22" t="s">
        <v>1460</v>
      </c>
    </row>
    <row r="447" spans="4:6" ht="12.75">
      <c r="D447" s="20" t="s">
        <v>1461</v>
      </c>
      <c r="E447" s="21" t="s">
        <v>1462</v>
      </c>
      <c r="F447" s="22" t="s">
        <v>1463</v>
      </c>
    </row>
    <row r="448" spans="4:6" ht="12.75">
      <c r="D448" s="20" t="s">
        <v>1464</v>
      </c>
      <c r="E448" s="21" t="s">
        <v>1465</v>
      </c>
      <c r="F448" s="22" t="s">
        <v>1466</v>
      </c>
    </row>
    <row r="449" spans="4:6" ht="12.75">
      <c r="D449" s="20" t="s">
        <v>1467</v>
      </c>
      <c r="E449" s="21" t="s">
        <v>1468</v>
      </c>
      <c r="F449" s="22" t="s">
        <v>1469</v>
      </c>
    </row>
    <row r="450" spans="4:6" ht="12.75">
      <c r="D450" s="20" t="s">
        <v>1470</v>
      </c>
      <c r="E450" s="21" t="s">
        <v>1471</v>
      </c>
      <c r="F450" s="22" t="s">
        <v>1472</v>
      </c>
    </row>
    <row r="451" spans="4:6" ht="12.75">
      <c r="D451" s="20" t="s">
        <v>1473</v>
      </c>
      <c r="E451" s="21" t="s">
        <v>1474</v>
      </c>
      <c r="F451" s="22" t="s">
        <v>1475</v>
      </c>
    </row>
    <row r="452" spans="4:6" ht="12.75">
      <c r="D452" s="20" t="s">
        <v>1476</v>
      </c>
      <c r="E452" s="21" t="s">
        <v>1477</v>
      </c>
      <c r="F452" s="22" t="s">
        <v>1478</v>
      </c>
    </row>
    <row r="453" spans="4:6" ht="12.75">
      <c r="D453" s="20" t="s">
        <v>1479</v>
      </c>
      <c r="E453" s="21" t="s">
        <v>1480</v>
      </c>
      <c r="F453" s="22" t="s">
        <v>1481</v>
      </c>
    </row>
    <row r="454" spans="4:6" ht="12.75">
      <c r="D454" s="20" t="s">
        <v>1482</v>
      </c>
      <c r="E454" s="21" t="s">
        <v>1483</v>
      </c>
      <c r="F454" s="22" t="s">
        <v>1484</v>
      </c>
    </row>
    <row r="455" spans="4:6" ht="12.75">
      <c r="D455" s="20" t="s">
        <v>1485</v>
      </c>
      <c r="E455" s="21" t="s">
        <v>1486</v>
      </c>
      <c r="F455" s="22" t="s">
        <v>1487</v>
      </c>
    </row>
    <row r="456" spans="4:6" ht="12.75">
      <c r="D456" s="20" t="s">
        <v>1488</v>
      </c>
      <c r="E456" s="21" t="s">
        <v>1489</v>
      </c>
      <c r="F456" s="22" t="s">
        <v>1490</v>
      </c>
    </row>
    <row r="457" spans="4:6" ht="12.75">
      <c r="D457" s="20" t="s">
        <v>1491</v>
      </c>
      <c r="E457" s="21" t="s">
        <v>1492</v>
      </c>
      <c r="F457" s="22" t="s">
        <v>1493</v>
      </c>
    </row>
    <row r="458" spans="4:6" ht="12.75">
      <c r="D458" s="20" t="s">
        <v>1494</v>
      </c>
      <c r="E458" s="21" t="s">
        <v>1495</v>
      </c>
      <c r="F458" s="22" t="s">
        <v>1496</v>
      </c>
    </row>
    <row r="459" spans="4:6" ht="12.75">
      <c r="D459" s="20" t="s">
        <v>1497</v>
      </c>
      <c r="E459" s="21" t="s">
        <v>1498</v>
      </c>
      <c r="F459" s="22" t="s">
        <v>1499</v>
      </c>
    </row>
    <row r="460" spans="4:6" ht="12.75">
      <c r="D460" s="20" t="s">
        <v>1500</v>
      </c>
      <c r="E460" s="21" t="s">
        <v>1501</v>
      </c>
      <c r="F460" s="22" t="s">
        <v>1502</v>
      </c>
    </row>
    <row r="461" spans="4:6" ht="12.75">
      <c r="D461" s="20" t="s">
        <v>1503</v>
      </c>
      <c r="E461" s="21" t="s">
        <v>1504</v>
      </c>
      <c r="F461" s="22" t="s">
        <v>1505</v>
      </c>
    </row>
    <row r="462" spans="4:6" ht="12.75">
      <c r="D462" s="20" t="s">
        <v>284</v>
      </c>
      <c r="E462" s="21"/>
      <c r="F462" s="22"/>
    </row>
    <row r="463" spans="4:6" ht="12.75">
      <c r="D463" s="20" t="s">
        <v>1506</v>
      </c>
      <c r="E463" s="21" t="s">
        <v>1507</v>
      </c>
      <c r="F463" s="22" t="s">
        <v>1508</v>
      </c>
    </row>
    <row r="464" spans="4:6" ht="12.75">
      <c r="D464" s="20" t="s">
        <v>284</v>
      </c>
      <c r="E464" s="21"/>
      <c r="F464" s="22"/>
    </row>
    <row r="465" spans="4:6" ht="12.75">
      <c r="D465" s="20" t="s">
        <v>1509</v>
      </c>
      <c r="E465" s="21" t="s">
        <v>1510</v>
      </c>
      <c r="F465" s="22" t="s">
        <v>1511</v>
      </c>
    </row>
    <row r="466" spans="4:6" ht="12.75">
      <c r="D466" s="20" t="s">
        <v>1512</v>
      </c>
      <c r="E466" s="21" t="s">
        <v>1513</v>
      </c>
      <c r="F466" s="22" t="s">
        <v>1514</v>
      </c>
    </row>
    <row r="467" spans="4:6" ht="12.75">
      <c r="D467" s="20" t="s">
        <v>1515</v>
      </c>
      <c r="E467" s="21" t="s">
        <v>1516</v>
      </c>
      <c r="F467" s="22" t="s">
        <v>1517</v>
      </c>
    </row>
    <row r="468" spans="4:6" ht="12.75">
      <c r="D468" s="20" t="s">
        <v>1518</v>
      </c>
      <c r="E468" s="21" t="s">
        <v>1519</v>
      </c>
      <c r="F468" s="22" t="s">
        <v>1520</v>
      </c>
    </row>
    <row r="469" spans="4:6" ht="12.75">
      <c r="D469" s="20" t="s">
        <v>1521</v>
      </c>
      <c r="E469" s="21" t="s">
        <v>1522</v>
      </c>
      <c r="F469" s="22" t="s">
        <v>1523</v>
      </c>
    </row>
    <row r="470" spans="4:6" ht="12.75">
      <c r="D470" s="20" t="s">
        <v>284</v>
      </c>
      <c r="E470" s="21"/>
      <c r="F470" s="22"/>
    </row>
    <row r="471" spans="4:6" ht="12.75">
      <c r="D471" s="20" t="s">
        <v>1524</v>
      </c>
      <c r="E471" s="21" t="s">
        <v>1525</v>
      </c>
      <c r="F471" s="22" t="s">
        <v>1526</v>
      </c>
    </row>
    <row r="472" spans="4:6" ht="12.75">
      <c r="D472" s="20" t="s">
        <v>1527</v>
      </c>
      <c r="E472" s="21" t="s">
        <v>1528</v>
      </c>
      <c r="F472" s="22" t="s">
        <v>1529</v>
      </c>
    </row>
    <row r="473" spans="4:6" ht="12.75">
      <c r="D473" s="20" t="s">
        <v>1530</v>
      </c>
      <c r="E473" s="21" t="s">
        <v>1531</v>
      </c>
      <c r="F473" s="22" t="s">
        <v>1532</v>
      </c>
    </row>
    <row r="474" spans="4:6" ht="12.75">
      <c r="D474" s="20" t="s">
        <v>1533</v>
      </c>
      <c r="E474" s="21" t="s">
        <v>1534</v>
      </c>
      <c r="F474" s="22" t="s">
        <v>1535</v>
      </c>
    </row>
    <row r="475" spans="4:6" ht="12.75">
      <c r="D475" s="20" t="s">
        <v>1536</v>
      </c>
      <c r="E475" s="21" t="s">
        <v>1537</v>
      </c>
      <c r="F475" s="22" t="s">
        <v>1538</v>
      </c>
    </row>
    <row r="476" spans="4:6" ht="12.75">
      <c r="D476" s="20" t="s">
        <v>1539</v>
      </c>
      <c r="E476" s="21" t="s">
        <v>1540</v>
      </c>
      <c r="F476" s="22" t="s">
        <v>1541</v>
      </c>
    </row>
    <row r="477" spans="4:6" ht="12.75">
      <c r="D477" s="20" t="s">
        <v>1542</v>
      </c>
      <c r="E477" s="21" t="s">
        <v>1543</v>
      </c>
      <c r="F477" s="22" t="s">
        <v>1544</v>
      </c>
    </row>
    <row r="478" spans="4:6" ht="12.75">
      <c r="D478" s="20" t="s">
        <v>1545</v>
      </c>
      <c r="E478" s="21" t="s">
        <v>1546</v>
      </c>
      <c r="F478" s="22" t="s">
        <v>1547</v>
      </c>
    </row>
    <row r="479" spans="4:6" ht="12.75">
      <c r="D479" s="20" t="s">
        <v>1548</v>
      </c>
      <c r="E479" s="21" t="s">
        <v>1549</v>
      </c>
      <c r="F479" s="22" t="s">
        <v>1550</v>
      </c>
    </row>
    <row r="480" spans="4:6" ht="12.75">
      <c r="D480" s="20" t="s">
        <v>1551</v>
      </c>
      <c r="E480" s="21" t="s">
        <v>1552</v>
      </c>
      <c r="F480" s="22" t="s">
        <v>1553</v>
      </c>
    </row>
    <row r="481" spans="4:6" ht="12.75">
      <c r="D481" s="20" t="s">
        <v>1554</v>
      </c>
      <c r="E481" s="21" t="s">
        <v>1555</v>
      </c>
      <c r="F481" s="22" t="s">
        <v>1556</v>
      </c>
    </row>
    <row r="482" spans="4:6" ht="12.75">
      <c r="D482" s="20" t="s">
        <v>284</v>
      </c>
      <c r="E482" s="21"/>
      <c r="F482" s="22"/>
    </row>
    <row r="483" spans="4:6" ht="12.75">
      <c r="D483" s="20" t="s">
        <v>1557</v>
      </c>
      <c r="E483" s="21" t="s">
        <v>1558</v>
      </c>
      <c r="F483" s="22" t="s">
        <v>1559</v>
      </c>
    </row>
    <row r="484" spans="4:6" ht="12.75">
      <c r="D484" s="20" t="s">
        <v>1560</v>
      </c>
      <c r="E484" s="21" t="s">
        <v>1561</v>
      </c>
      <c r="F484" s="22" t="s">
        <v>1562</v>
      </c>
    </row>
    <row r="485" spans="4:6" ht="12.75">
      <c r="D485" s="20" t="s">
        <v>1563</v>
      </c>
      <c r="E485" s="21" t="s">
        <v>1564</v>
      </c>
      <c r="F485" s="22" t="s">
        <v>1565</v>
      </c>
    </row>
    <row r="486" spans="4:6" ht="12.75">
      <c r="D486" s="20" t="s">
        <v>1566</v>
      </c>
      <c r="E486" s="21" t="s">
        <v>1567</v>
      </c>
      <c r="F486" s="22" t="s">
        <v>1568</v>
      </c>
    </row>
    <row r="487" spans="4:6" ht="12.75">
      <c r="D487" s="20" t="s">
        <v>1569</v>
      </c>
      <c r="E487" s="21" t="s">
        <v>1570</v>
      </c>
      <c r="F487" s="22" t="s">
        <v>1571</v>
      </c>
    </row>
    <row r="488" spans="4:6" ht="12.75">
      <c r="D488" s="20" t="s">
        <v>284</v>
      </c>
      <c r="E488" s="21"/>
      <c r="F488" s="22"/>
    </row>
    <row r="489" spans="4:6" ht="12.75">
      <c r="D489" s="20" t="s">
        <v>1572</v>
      </c>
      <c r="E489" s="21" t="s">
        <v>1573</v>
      </c>
      <c r="F489" s="22" t="s">
        <v>1574</v>
      </c>
    </row>
    <row r="490" spans="4:6" ht="12.75">
      <c r="D490" s="20" t="s">
        <v>1575</v>
      </c>
      <c r="E490" s="21" t="s">
        <v>1576</v>
      </c>
      <c r="F490" s="22" t="s">
        <v>1577</v>
      </c>
    </row>
    <row r="491" spans="4:6" ht="12.75">
      <c r="D491" s="20" t="s">
        <v>1578</v>
      </c>
      <c r="E491" s="21" t="s">
        <v>1579</v>
      </c>
      <c r="F491" s="22" t="s">
        <v>1580</v>
      </c>
    </row>
    <row r="492" spans="4:6" ht="12.75">
      <c r="D492" s="20" t="s">
        <v>1581</v>
      </c>
      <c r="E492" s="21" t="s">
        <v>1582</v>
      </c>
      <c r="F492" s="22" t="s">
        <v>1583</v>
      </c>
    </row>
    <row r="493" spans="4:6" ht="12.75">
      <c r="D493" s="20" t="s">
        <v>1584</v>
      </c>
      <c r="E493" s="21" t="s">
        <v>1585</v>
      </c>
      <c r="F493" s="22" t="s">
        <v>1586</v>
      </c>
    </row>
    <row r="494" spans="4:6" ht="12.75">
      <c r="D494" s="20" t="s">
        <v>1587</v>
      </c>
      <c r="E494" s="21" t="s">
        <v>1588</v>
      </c>
      <c r="F494" s="22" t="s">
        <v>1589</v>
      </c>
    </row>
    <row r="495" spans="4:6" ht="12.75">
      <c r="D495" s="20" t="s">
        <v>1590</v>
      </c>
      <c r="E495" s="21" t="s">
        <v>1591</v>
      </c>
      <c r="F495" s="22" t="s">
        <v>1592</v>
      </c>
    </row>
    <row r="496" spans="4:6" ht="12.75">
      <c r="D496" s="20" t="s">
        <v>1593</v>
      </c>
      <c r="E496" s="21" t="s">
        <v>1594</v>
      </c>
      <c r="F496" s="22" t="s">
        <v>1595</v>
      </c>
    </row>
    <row r="497" spans="4:6" ht="12.75">
      <c r="D497" s="20" t="s">
        <v>1596</v>
      </c>
      <c r="E497" s="21" t="s">
        <v>1597</v>
      </c>
      <c r="F497" s="22" t="s">
        <v>1598</v>
      </c>
    </row>
    <row r="498" spans="4:6" ht="12.75">
      <c r="D498" s="20" t="s">
        <v>1599</v>
      </c>
      <c r="E498" s="21" t="s">
        <v>1600</v>
      </c>
      <c r="F498" s="22"/>
    </row>
    <row r="499" spans="4:6" ht="12.75">
      <c r="D499" s="20" t="s">
        <v>1601</v>
      </c>
      <c r="E499" s="21" t="s">
        <v>1602</v>
      </c>
      <c r="F499" s="22" t="s">
        <v>1603</v>
      </c>
    </row>
    <row r="500" spans="4:6" ht="12.75">
      <c r="D500" s="20" t="s">
        <v>1604</v>
      </c>
      <c r="E500" s="21" t="s">
        <v>1605</v>
      </c>
      <c r="F500" s="22" t="s">
        <v>1606</v>
      </c>
    </row>
    <row r="501" spans="4:6" ht="12.75">
      <c r="D501" s="20" t="s">
        <v>1607</v>
      </c>
      <c r="E501" s="21" t="s">
        <v>1608</v>
      </c>
      <c r="F501" s="22" t="s">
        <v>1609</v>
      </c>
    </row>
    <row r="502" spans="4:6" ht="12.75">
      <c r="D502" s="20" t="s">
        <v>1610</v>
      </c>
      <c r="E502" s="21" t="s">
        <v>1611</v>
      </c>
      <c r="F502" s="22" t="s">
        <v>1612</v>
      </c>
    </row>
    <row r="503" spans="4:6" ht="12.75">
      <c r="D503" s="20" t="s">
        <v>1613</v>
      </c>
      <c r="E503" s="21" t="s">
        <v>1614</v>
      </c>
      <c r="F503" s="22" t="s">
        <v>1615</v>
      </c>
    </row>
    <row r="504" spans="4:6" ht="12.75">
      <c r="D504" s="20" t="s">
        <v>1616</v>
      </c>
      <c r="E504" s="21" t="s">
        <v>1617</v>
      </c>
      <c r="F504" s="22"/>
    </row>
    <row r="505" spans="4:6" ht="12.75">
      <c r="D505" s="20" t="s">
        <v>1618</v>
      </c>
      <c r="E505" s="21" t="s">
        <v>1619</v>
      </c>
      <c r="F505" s="22" t="s">
        <v>1620</v>
      </c>
    </row>
    <row r="506" spans="4:6" ht="12.75">
      <c r="D506" s="20" t="s">
        <v>1621</v>
      </c>
      <c r="E506" s="21" t="s">
        <v>1622</v>
      </c>
      <c r="F506" s="22" t="s">
        <v>1623</v>
      </c>
    </row>
    <row r="507" spans="4:6" ht="12.75">
      <c r="D507" s="20" t="s">
        <v>1624</v>
      </c>
      <c r="E507" s="21" t="s">
        <v>1625</v>
      </c>
      <c r="F507" s="22" t="s">
        <v>1626</v>
      </c>
    </row>
    <row r="508" spans="4:6" ht="12.75">
      <c r="D508" s="20" t="s">
        <v>1627</v>
      </c>
      <c r="E508" s="21" t="s">
        <v>1628</v>
      </c>
      <c r="F508" s="22"/>
    </row>
    <row r="509" spans="4:6" ht="12.75">
      <c r="D509" s="20" t="s">
        <v>284</v>
      </c>
      <c r="E509" s="21"/>
      <c r="F509" s="22"/>
    </row>
    <row r="510" spans="4:6" ht="12.75">
      <c r="D510" s="20" t="s">
        <v>1629</v>
      </c>
      <c r="E510" s="21" t="s">
        <v>1630</v>
      </c>
      <c r="F510" s="22" t="s">
        <v>1631</v>
      </c>
    </row>
    <row r="511" spans="4:6" ht="12.75">
      <c r="D511" s="20" t="s">
        <v>1632</v>
      </c>
      <c r="E511" s="21" t="s">
        <v>1633</v>
      </c>
      <c r="F511" s="22" t="s">
        <v>1634</v>
      </c>
    </row>
    <row r="512" spans="4:6" ht="12.75">
      <c r="D512" s="20" t="s">
        <v>1635</v>
      </c>
      <c r="E512" s="21" t="s">
        <v>1636</v>
      </c>
      <c r="F512" s="22"/>
    </row>
    <row r="513" spans="4:6" ht="12.75">
      <c r="D513" s="20" t="s">
        <v>1637</v>
      </c>
      <c r="E513" s="21" t="s">
        <v>1638</v>
      </c>
      <c r="F513" s="22" t="s">
        <v>1639</v>
      </c>
    </row>
    <row r="514" spans="4:6" ht="12.75">
      <c r="D514" s="20" t="s">
        <v>1640</v>
      </c>
      <c r="E514" s="21" t="s">
        <v>1641</v>
      </c>
      <c r="F514" s="21" t="s">
        <v>1642</v>
      </c>
    </row>
    <row r="515" spans="4:6" ht="12.75">
      <c r="D515" s="20" t="s">
        <v>1643</v>
      </c>
      <c r="E515" s="21" t="s">
        <v>1644</v>
      </c>
      <c r="F515" s="22" t="s">
        <v>1645</v>
      </c>
    </row>
    <row r="516" spans="4:6" ht="12.75">
      <c r="D516" s="20" t="s">
        <v>1646</v>
      </c>
      <c r="E516" s="21" t="s">
        <v>1647</v>
      </c>
      <c r="F516" s="22" t="s">
        <v>1648</v>
      </c>
    </row>
    <row r="517" spans="4:6" ht="12.75">
      <c r="D517" s="20" t="s">
        <v>1649</v>
      </c>
      <c r="E517" s="21" t="s">
        <v>1650</v>
      </c>
      <c r="F517" s="22" t="s">
        <v>1651</v>
      </c>
    </row>
    <row r="518" spans="4:6" ht="12.75">
      <c r="D518" s="20" t="s">
        <v>1652</v>
      </c>
      <c r="E518" s="21" t="s">
        <v>1653</v>
      </c>
      <c r="F518" s="22" t="s">
        <v>1654</v>
      </c>
    </row>
    <row r="519" spans="4:6" ht="12.75">
      <c r="D519" s="20" t="s">
        <v>1655</v>
      </c>
      <c r="E519" s="21" t="s">
        <v>1656</v>
      </c>
      <c r="F519" s="22" t="s">
        <v>1657</v>
      </c>
    </row>
    <row r="520" spans="4:6" ht="12.75">
      <c r="D520" s="20" t="s">
        <v>1658</v>
      </c>
      <c r="E520" s="21" t="s">
        <v>1659</v>
      </c>
      <c r="F520" s="22" t="s">
        <v>1660</v>
      </c>
    </row>
    <row r="521" spans="4:6" ht="12.75">
      <c r="D521" s="20" t="s">
        <v>1661</v>
      </c>
      <c r="E521" s="21" t="s">
        <v>1662</v>
      </c>
      <c r="F521" s="22" t="s">
        <v>1663</v>
      </c>
    </row>
    <row r="522" spans="4:6" ht="12.75">
      <c r="D522" s="20" t="s">
        <v>1664</v>
      </c>
      <c r="E522" s="21" t="s">
        <v>1665</v>
      </c>
      <c r="F522" s="22" t="s">
        <v>1666</v>
      </c>
    </row>
    <row r="523" spans="4:6" ht="12.75">
      <c r="D523" s="20" t="s">
        <v>1667</v>
      </c>
      <c r="E523" s="21" t="s">
        <v>1668</v>
      </c>
      <c r="F523" s="22" t="s">
        <v>1669</v>
      </c>
    </row>
    <row r="524" spans="4:6" ht="12.75">
      <c r="D524" s="20" t="s">
        <v>1670</v>
      </c>
      <c r="E524" s="21" t="s">
        <v>1671</v>
      </c>
      <c r="F524" s="22" t="s">
        <v>1672</v>
      </c>
    </row>
    <row r="525" spans="4:6" ht="12.75">
      <c r="D525" s="20" t="s">
        <v>1673</v>
      </c>
      <c r="E525" s="21" t="s">
        <v>1674</v>
      </c>
      <c r="F525" s="22" t="s">
        <v>1675</v>
      </c>
    </row>
    <row r="526" spans="4:6" ht="12.75">
      <c r="D526" s="20" t="s">
        <v>1676</v>
      </c>
      <c r="E526" s="21" t="s">
        <v>1677</v>
      </c>
      <c r="F526" s="22" t="s">
        <v>1678</v>
      </c>
    </row>
    <row r="527" spans="4:6" ht="12.75">
      <c r="D527" s="20" t="s">
        <v>1679</v>
      </c>
      <c r="E527" s="21" t="s">
        <v>1680</v>
      </c>
      <c r="F527" s="22" t="s">
        <v>1681</v>
      </c>
    </row>
    <row r="528" spans="4:6" ht="12.75">
      <c r="D528" s="20" t="s">
        <v>1682</v>
      </c>
      <c r="E528" s="21" t="s">
        <v>1683</v>
      </c>
      <c r="F528" s="22" t="s">
        <v>1684</v>
      </c>
    </row>
    <row r="529" spans="4:6" ht="12.75">
      <c r="D529" s="20" t="s">
        <v>1685</v>
      </c>
      <c r="E529" s="21" t="s">
        <v>1686</v>
      </c>
      <c r="F529" s="22" t="s">
        <v>1687</v>
      </c>
    </row>
    <row r="530" spans="4:6" ht="12.75">
      <c r="D530" s="20" t="s">
        <v>1688</v>
      </c>
      <c r="E530" s="21" t="s">
        <v>1689</v>
      </c>
      <c r="F530" s="22" t="s">
        <v>1690</v>
      </c>
    </row>
    <row r="531" spans="4:6" ht="12.75">
      <c r="D531" s="20" t="s">
        <v>1691</v>
      </c>
      <c r="E531" s="21" t="s">
        <v>1692</v>
      </c>
      <c r="F531" s="22" t="s">
        <v>1693</v>
      </c>
    </row>
    <row r="532" spans="4:6" ht="12.75">
      <c r="D532" s="20" t="s">
        <v>1694</v>
      </c>
      <c r="E532" s="21" t="s">
        <v>1695</v>
      </c>
      <c r="F532" s="22" t="s">
        <v>1696</v>
      </c>
    </row>
    <row r="533" spans="4:6" ht="12.75">
      <c r="D533" s="20" t="s">
        <v>1697</v>
      </c>
      <c r="E533" s="21" t="s">
        <v>1698</v>
      </c>
      <c r="F533" s="22" t="s">
        <v>1699</v>
      </c>
    </row>
    <row r="534" spans="4:6" ht="12.75">
      <c r="D534" s="20" t="s">
        <v>1700</v>
      </c>
      <c r="E534" s="21" t="s">
        <v>1701</v>
      </c>
      <c r="F534" s="22" t="s">
        <v>1702</v>
      </c>
    </row>
    <row r="535" spans="4:6" ht="12.75">
      <c r="D535" s="20" t="s">
        <v>1703</v>
      </c>
      <c r="E535" s="21" t="s">
        <v>1704</v>
      </c>
      <c r="F535" s="22" t="s">
        <v>1705</v>
      </c>
    </row>
    <row r="536" spans="4:6" ht="12.75">
      <c r="D536" s="20" t="s">
        <v>1706</v>
      </c>
      <c r="E536" s="21" t="s">
        <v>1707</v>
      </c>
      <c r="F536" s="22" t="s">
        <v>1708</v>
      </c>
    </row>
    <row r="537" spans="4:6" ht="12.75">
      <c r="D537" s="20" t="s">
        <v>1709</v>
      </c>
      <c r="E537" s="21" t="s">
        <v>1710</v>
      </c>
      <c r="F537" s="22" t="s">
        <v>1711</v>
      </c>
    </row>
    <row r="538" spans="4:6" ht="12.75">
      <c r="D538" s="20" t="s">
        <v>1712</v>
      </c>
      <c r="E538" s="21" t="s">
        <v>1713</v>
      </c>
      <c r="F538" s="22" t="s">
        <v>1714</v>
      </c>
    </row>
    <row r="539" spans="4:6" ht="12.75">
      <c r="D539" s="20" t="s">
        <v>1715</v>
      </c>
      <c r="E539" s="21" t="s">
        <v>1716</v>
      </c>
      <c r="F539" s="22" t="s">
        <v>1717</v>
      </c>
    </row>
    <row r="540" spans="4:6" ht="12.75">
      <c r="D540" s="20" t="s">
        <v>1718</v>
      </c>
      <c r="E540" s="21" t="s">
        <v>1719</v>
      </c>
      <c r="F540" s="22" t="s">
        <v>1720</v>
      </c>
    </row>
    <row r="541" spans="4:6" ht="12.75">
      <c r="D541" s="20" t="s">
        <v>284</v>
      </c>
      <c r="E541" s="21"/>
      <c r="F541" s="22"/>
    </row>
    <row r="542" spans="4:6" ht="12.75">
      <c r="D542" s="20" t="s">
        <v>1721</v>
      </c>
      <c r="E542" s="21" t="s">
        <v>1722</v>
      </c>
      <c r="F542" s="22" t="s">
        <v>1723</v>
      </c>
    </row>
    <row r="543" spans="4:6" ht="12.75">
      <c r="D543" s="20" t="s">
        <v>284</v>
      </c>
      <c r="E543" s="21"/>
      <c r="F543" s="22"/>
    </row>
    <row r="544" spans="4:6" ht="12.75">
      <c r="D544" s="20" t="s">
        <v>1724</v>
      </c>
      <c r="E544" s="21" t="s">
        <v>1725</v>
      </c>
      <c r="F544" s="22"/>
    </row>
    <row r="545" spans="4:6" ht="12.75">
      <c r="D545" s="20" t="s">
        <v>1726</v>
      </c>
      <c r="E545" s="21" t="s">
        <v>1727</v>
      </c>
      <c r="F545" s="22" t="s">
        <v>1728</v>
      </c>
    </row>
    <row r="546" spans="4:6" ht="12.75">
      <c r="D546" s="20" t="s">
        <v>1729</v>
      </c>
      <c r="E546" s="21" t="s">
        <v>1730</v>
      </c>
      <c r="F546" s="22" t="s">
        <v>1731</v>
      </c>
    </row>
    <row r="547" spans="4:6" ht="12.75">
      <c r="D547" s="20" t="s">
        <v>1732</v>
      </c>
      <c r="E547" s="21" t="s">
        <v>1733</v>
      </c>
      <c r="F547" s="22" t="s">
        <v>1734</v>
      </c>
    </row>
    <row r="548" spans="4:6" ht="12.75">
      <c r="D548" s="20" t="s">
        <v>1735</v>
      </c>
      <c r="E548" s="21" t="s">
        <v>1736</v>
      </c>
      <c r="F548" s="22" t="s">
        <v>1737</v>
      </c>
    </row>
    <row r="549" spans="4:6" ht="12.75">
      <c r="D549" s="20" t="s">
        <v>1738</v>
      </c>
      <c r="E549" s="21" t="s">
        <v>1739</v>
      </c>
      <c r="F549" s="22" t="s">
        <v>1740</v>
      </c>
    </row>
    <row r="550" spans="4:6" ht="12.75">
      <c r="D550" s="20" t="s">
        <v>284</v>
      </c>
      <c r="E550" s="21"/>
      <c r="F550" s="22"/>
    </row>
    <row r="551" spans="4:6" ht="12.75">
      <c r="D551" s="20" t="s">
        <v>284</v>
      </c>
      <c r="E551" s="21"/>
      <c r="F551" s="22"/>
    </row>
    <row r="552" spans="4:6" ht="12.75">
      <c r="D552" s="20" t="s">
        <v>1741</v>
      </c>
      <c r="E552" s="21" t="s">
        <v>1742</v>
      </c>
      <c r="F552" s="22" t="s">
        <v>1743</v>
      </c>
    </row>
    <row r="553" spans="4:6" ht="12.75">
      <c r="D553" s="20" t="s">
        <v>1744</v>
      </c>
      <c r="E553" s="21" t="s">
        <v>1745</v>
      </c>
      <c r="F553" s="22" t="s">
        <v>1746</v>
      </c>
    </row>
    <row r="554" spans="4:6" ht="12.75">
      <c r="D554" s="20" t="s">
        <v>284</v>
      </c>
      <c r="E554" s="21"/>
      <c r="F554" s="22"/>
    </row>
    <row r="555" spans="4:6" ht="12.75">
      <c r="D555" s="20" t="s">
        <v>1747</v>
      </c>
      <c r="E555" s="21" t="s">
        <v>1748</v>
      </c>
      <c r="F555" s="22" t="s">
        <v>1749</v>
      </c>
    </row>
    <row r="556" spans="4:6" ht="12.75">
      <c r="D556" s="20" t="s">
        <v>1750</v>
      </c>
      <c r="E556" s="21" t="s">
        <v>1751</v>
      </c>
      <c r="F556" s="22" t="s">
        <v>1752</v>
      </c>
    </row>
    <row r="557" spans="4:6" ht="12.75">
      <c r="D557" s="20" t="s">
        <v>1753</v>
      </c>
      <c r="E557" s="21" t="s">
        <v>1754</v>
      </c>
      <c r="F557" s="22" t="s">
        <v>1755</v>
      </c>
    </row>
    <row r="558" spans="4:6" ht="12.75">
      <c r="D558" s="20" t="s">
        <v>1756</v>
      </c>
      <c r="E558" s="21" t="s">
        <v>1757</v>
      </c>
      <c r="F558" s="22" t="s">
        <v>1758</v>
      </c>
    </row>
    <row r="559" spans="4:6" ht="12.75">
      <c r="D559" s="20" t="s">
        <v>1759</v>
      </c>
      <c r="E559" s="21" t="s">
        <v>1760</v>
      </c>
      <c r="F559" s="22" t="s">
        <v>1761</v>
      </c>
    </row>
    <row r="560" spans="4:6" ht="12.75">
      <c r="D560" s="20" t="s">
        <v>1762</v>
      </c>
      <c r="E560" s="21" t="s">
        <v>1763</v>
      </c>
      <c r="F560" s="22" t="s">
        <v>1764</v>
      </c>
    </row>
    <row r="561" spans="4:6" ht="12.75">
      <c r="D561" s="20" t="s">
        <v>1765</v>
      </c>
      <c r="E561" s="21" t="s">
        <v>1766</v>
      </c>
      <c r="F561" s="22" t="s">
        <v>1767</v>
      </c>
    </row>
    <row r="562" spans="4:6" ht="12.75">
      <c r="D562" s="20" t="s">
        <v>1768</v>
      </c>
      <c r="E562" s="21" t="s">
        <v>1769</v>
      </c>
      <c r="F562" s="22" t="s">
        <v>1770</v>
      </c>
    </row>
    <row r="563" spans="4:6" ht="12.75">
      <c r="D563" s="20" t="s">
        <v>1771</v>
      </c>
      <c r="E563" s="21" t="s">
        <v>1772</v>
      </c>
      <c r="F563" s="22" t="s">
        <v>1773</v>
      </c>
    </row>
    <row r="564" spans="4:6" ht="12.75">
      <c r="D564" s="20" t="s">
        <v>1774</v>
      </c>
      <c r="E564" s="21" t="s">
        <v>1775</v>
      </c>
      <c r="F564" s="22" t="s">
        <v>1776</v>
      </c>
    </row>
    <row r="565" spans="4:6" ht="12.75">
      <c r="D565" s="20" t="s">
        <v>1777</v>
      </c>
      <c r="E565" s="21" t="s">
        <v>1778</v>
      </c>
      <c r="F565" s="22" t="s">
        <v>1779</v>
      </c>
    </row>
    <row r="566" spans="4:6" ht="12.75">
      <c r="D566" s="20" t="s">
        <v>1780</v>
      </c>
      <c r="E566" s="21" t="s">
        <v>1781</v>
      </c>
      <c r="F566" s="22" t="s">
        <v>1782</v>
      </c>
    </row>
    <row r="567" spans="4:6" ht="12.75">
      <c r="D567" s="20" t="s">
        <v>1783</v>
      </c>
      <c r="E567" s="21" t="s">
        <v>1784</v>
      </c>
      <c r="F567" s="22" t="s">
        <v>1785</v>
      </c>
    </row>
    <row r="568" spans="4:6" ht="12.75">
      <c r="D568" s="20" t="s">
        <v>1786</v>
      </c>
      <c r="E568" s="21" t="s">
        <v>1787</v>
      </c>
      <c r="F568" s="22" t="s">
        <v>1788</v>
      </c>
    </row>
    <row r="569" spans="4:6" ht="12.75">
      <c r="D569" s="20" t="s">
        <v>1789</v>
      </c>
      <c r="E569" s="21" t="s">
        <v>1790</v>
      </c>
      <c r="F569" s="22" t="s">
        <v>1791</v>
      </c>
    </row>
    <row r="570" spans="4:6" ht="12.75">
      <c r="D570" s="20" t="s">
        <v>284</v>
      </c>
      <c r="E570" s="21"/>
      <c r="F570" s="22"/>
    </row>
    <row r="571" spans="4:6" ht="12.75">
      <c r="D571" s="20" t="s">
        <v>1792</v>
      </c>
      <c r="E571" s="21" t="s">
        <v>1793</v>
      </c>
      <c r="F571" s="22" t="s">
        <v>1794</v>
      </c>
    </row>
    <row r="572" spans="4:6" ht="12.75">
      <c r="D572" s="20" t="s">
        <v>1795</v>
      </c>
      <c r="E572" s="21" t="s">
        <v>1796</v>
      </c>
      <c r="F572" s="22" t="s">
        <v>1797</v>
      </c>
    </row>
    <row r="573" spans="4:6" ht="12.75">
      <c r="D573" s="20" t="s">
        <v>1798</v>
      </c>
      <c r="E573" s="21" t="s">
        <v>1799</v>
      </c>
      <c r="F573" s="22" t="s">
        <v>1800</v>
      </c>
    </row>
    <row r="574" spans="4:6" ht="12.75">
      <c r="D574" s="20" t="s">
        <v>1801</v>
      </c>
      <c r="E574" s="21" t="s">
        <v>1802</v>
      </c>
      <c r="F574" s="22" t="s">
        <v>1803</v>
      </c>
    </row>
    <row r="575" spans="4:6" ht="12.75">
      <c r="D575" s="20" t="s">
        <v>1804</v>
      </c>
      <c r="E575" s="21" t="s">
        <v>1805</v>
      </c>
      <c r="F575" s="22" t="s">
        <v>1806</v>
      </c>
    </row>
    <row r="576" spans="4:6" ht="12.75">
      <c r="D576" s="20" t="s">
        <v>1807</v>
      </c>
      <c r="E576" s="21" t="s">
        <v>1808</v>
      </c>
      <c r="F576" s="22" t="s">
        <v>1809</v>
      </c>
    </row>
    <row r="577" spans="4:6" ht="12.75">
      <c r="D577" s="20" t="s">
        <v>284</v>
      </c>
      <c r="E577" s="21"/>
      <c r="F577" s="22"/>
    </row>
    <row r="578" spans="4:6" ht="12.75">
      <c r="D578" s="20" t="s">
        <v>1810</v>
      </c>
      <c r="E578" s="21" t="s">
        <v>1811</v>
      </c>
      <c r="F578" s="22" t="s">
        <v>1812</v>
      </c>
    </row>
    <row r="579" spans="4:6" ht="12.75">
      <c r="D579" s="20" t="s">
        <v>284</v>
      </c>
      <c r="E579" s="21"/>
      <c r="F579" s="22"/>
    </row>
    <row r="580" spans="4:6" ht="12.75">
      <c r="D580" s="20" t="s">
        <v>1813</v>
      </c>
      <c r="E580" s="21" t="s">
        <v>1814</v>
      </c>
      <c r="F580" s="22" t="s">
        <v>1815</v>
      </c>
    </row>
    <row r="581" spans="4:6" ht="12.75">
      <c r="D581" s="20" t="s">
        <v>1816</v>
      </c>
      <c r="E581" s="21" t="s">
        <v>1817</v>
      </c>
      <c r="F581" s="22" t="s">
        <v>1818</v>
      </c>
    </row>
    <row r="582" spans="4:6" ht="12.75">
      <c r="D582" s="20" t="s">
        <v>1819</v>
      </c>
      <c r="E582" s="21" t="s">
        <v>1820</v>
      </c>
      <c r="F582" s="22" t="s">
        <v>1821</v>
      </c>
    </row>
    <row r="583" spans="4:6" ht="12.75">
      <c r="D583" s="20" t="s">
        <v>1822</v>
      </c>
      <c r="E583" s="21" t="s">
        <v>1823</v>
      </c>
      <c r="F583" s="22" t="s">
        <v>1824</v>
      </c>
    </row>
    <row r="584" spans="4:6" ht="12.75">
      <c r="D584" s="20" t="s">
        <v>1825</v>
      </c>
      <c r="E584" s="21" t="s">
        <v>1826</v>
      </c>
      <c r="F584" s="22" t="s">
        <v>1827</v>
      </c>
    </row>
    <row r="585" spans="4:6" ht="12.75">
      <c r="D585" s="20" t="s">
        <v>1828</v>
      </c>
      <c r="E585" s="21" t="s">
        <v>1829</v>
      </c>
      <c r="F585" s="22" t="s">
        <v>1830</v>
      </c>
    </row>
    <row r="586" spans="4:6" ht="12.75">
      <c r="D586" s="20" t="s">
        <v>1831</v>
      </c>
      <c r="E586" s="21" t="s">
        <v>1832</v>
      </c>
      <c r="F586" s="22" t="s">
        <v>1833</v>
      </c>
    </row>
    <row r="587" spans="4:6" ht="12.75">
      <c r="D587" s="20" t="s">
        <v>1834</v>
      </c>
      <c r="E587" s="21" t="s">
        <v>1835</v>
      </c>
      <c r="F587" s="22" t="s">
        <v>1836</v>
      </c>
    </row>
    <row r="588" spans="4:6" ht="12.75">
      <c r="D588" s="20" t="s">
        <v>1837</v>
      </c>
      <c r="E588" s="21" t="s">
        <v>1838</v>
      </c>
      <c r="F588" s="22" t="s">
        <v>1839</v>
      </c>
    </row>
    <row r="589" spans="4:6" ht="12.75">
      <c r="D589" s="20" t="s">
        <v>1840</v>
      </c>
      <c r="E589" s="21" t="s">
        <v>1841</v>
      </c>
      <c r="F589" s="21" t="s">
        <v>1842</v>
      </c>
    </row>
    <row r="590" spans="4:6" ht="12.75">
      <c r="D590" s="20" t="s">
        <v>1843</v>
      </c>
      <c r="E590" s="21" t="s">
        <v>1844</v>
      </c>
      <c r="F590" s="22" t="s">
        <v>1845</v>
      </c>
    </row>
    <row r="591" spans="4:6" ht="12.75">
      <c r="D591" s="20" t="s">
        <v>1846</v>
      </c>
      <c r="E591" s="21" t="s">
        <v>1847</v>
      </c>
      <c r="F591" s="22" t="s">
        <v>1848</v>
      </c>
    </row>
    <row r="592" spans="4:6" ht="12.75">
      <c r="D592" s="20" t="s">
        <v>1849</v>
      </c>
      <c r="E592" s="21" t="s">
        <v>1850</v>
      </c>
      <c r="F592" s="22" t="s">
        <v>1851</v>
      </c>
    </row>
    <row r="593" spans="4:6" ht="12.75">
      <c r="D593" s="20" t="s">
        <v>1852</v>
      </c>
      <c r="E593" s="21" t="s">
        <v>1853</v>
      </c>
      <c r="F593" s="22" t="s">
        <v>1854</v>
      </c>
    </row>
    <row r="594" spans="4:6" ht="12.75">
      <c r="D594" s="20" t="s">
        <v>1855</v>
      </c>
      <c r="E594" s="21" t="s">
        <v>1856</v>
      </c>
      <c r="F594" s="22" t="s">
        <v>1857</v>
      </c>
    </row>
    <row r="595" spans="4:6" ht="12.75">
      <c r="D595" s="20" t="s">
        <v>1858</v>
      </c>
      <c r="E595" s="21" t="s">
        <v>1859</v>
      </c>
      <c r="F595" s="22" t="s">
        <v>1860</v>
      </c>
    </row>
    <row r="596" spans="4:6" ht="12.75">
      <c r="D596" s="20" t="s">
        <v>1861</v>
      </c>
      <c r="E596" s="21" t="s">
        <v>1862</v>
      </c>
      <c r="F596" s="22" t="s">
        <v>1863</v>
      </c>
    </row>
    <row r="597" spans="4:6" ht="12.75">
      <c r="D597" s="20" t="s">
        <v>1864</v>
      </c>
      <c r="E597" s="21" t="s">
        <v>1865</v>
      </c>
      <c r="F597" s="22" t="s">
        <v>1866</v>
      </c>
    </row>
    <row r="598" spans="4:6" ht="12.75">
      <c r="D598" s="20" t="s">
        <v>1867</v>
      </c>
      <c r="E598" s="21" t="s">
        <v>1868</v>
      </c>
      <c r="F598" s="22" t="s">
        <v>1869</v>
      </c>
    </row>
    <row r="599" spans="4:6" ht="12.75">
      <c r="D599" s="20" t="s">
        <v>1870</v>
      </c>
      <c r="E599" s="21" t="s">
        <v>1871</v>
      </c>
      <c r="F599" s="22" t="s">
        <v>1872</v>
      </c>
    </row>
    <row r="600" spans="4:6" ht="12.75">
      <c r="D600" s="20" t="s">
        <v>1873</v>
      </c>
      <c r="E600" s="21" t="s">
        <v>1874</v>
      </c>
      <c r="F600" s="22" t="s">
        <v>1875</v>
      </c>
    </row>
    <row r="601" spans="4:6" ht="12.75">
      <c r="D601" s="20" t="s">
        <v>1876</v>
      </c>
      <c r="E601" s="21" t="s">
        <v>1877</v>
      </c>
      <c r="F601" s="22" t="s">
        <v>1878</v>
      </c>
    </row>
    <row r="602" spans="4:6" ht="12.75">
      <c r="D602" s="20" t="s">
        <v>1879</v>
      </c>
      <c r="E602" s="21" t="s">
        <v>1880</v>
      </c>
      <c r="F602" s="22" t="s">
        <v>1881</v>
      </c>
    </row>
    <row r="603" spans="4:6" ht="12.75">
      <c r="D603" s="20" t="s">
        <v>1882</v>
      </c>
      <c r="E603" s="21" t="s">
        <v>1883</v>
      </c>
      <c r="F603" s="22" t="s">
        <v>1884</v>
      </c>
    </row>
    <row r="604" spans="4:6" ht="12.75">
      <c r="D604" s="20" t="s">
        <v>1885</v>
      </c>
      <c r="E604" s="21" t="s">
        <v>1886</v>
      </c>
      <c r="F604" s="22" t="s">
        <v>1887</v>
      </c>
    </row>
    <row r="605" spans="4:6" ht="12.75">
      <c r="D605" s="20" t="s">
        <v>1888</v>
      </c>
      <c r="E605" s="21" t="s">
        <v>1889</v>
      </c>
      <c r="F605" s="22" t="s">
        <v>1890</v>
      </c>
    </row>
    <row r="606" spans="4:6" ht="12.75">
      <c r="D606" s="20" t="s">
        <v>1891</v>
      </c>
      <c r="E606" s="21" t="s">
        <v>1892</v>
      </c>
      <c r="F606" s="22" t="s">
        <v>1893</v>
      </c>
    </row>
    <row r="607" spans="4:6" ht="12.75">
      <c r="D607" s="20" t="s">
        <v>1894</v>
      </c>
      <c r="E607" s="21" t="s">
        <v>1895</v>
      </c>
      <c r="F607" s="22" t="s">
        <v>1896</v>
      </c>
    </row>
    <row r="608" spans="4:6" ht="12.75">
      <c r="D608" s="20" t="s">
        <v>1897</v>
      </c>
      <c r="E608" s="21" t="s">
        <v>1898</v>
      </c>
      <c r="F608" s="22" t="s">
        <v>1899</v>
      </c>
    </row>
    <row r="609" spans="4:6" ht="12.75">
      <c r="D609" s="20" t="s">
        <v>1900</v>
      </c>
      <c r="E609" s="21" t="s">
        <v>1901</v>
      </c>
      <c r="F609" s="22" t="s">
        <v>1902</v>
      </c>
    </row>
    <row r="610" spans="4:6" ht="12.75">
      <c r="D610" s="20" t="s">
        <v>1903</v>
      </c>
      <c r="E610" s="21" t="s">
        <v>1904</v>
      </c>
      <c r="F610" s="22" t="s">
        <v>1905</v>
      </c>
    </row>
    <row r="611" spans="4:6" ht="12.75">
      <c r="D611" s="20" t="s">
        <v>1906</v>
      </c>
      <c r="E611" s="21" t="s">
        <v>1907</v>
      </c>
      <c r="F611" s="22" t="s">
        <v>1908</v>
      </c>
    </row>
    <row r="612" spans="4:6" ht="12.75">
      <c r="D612" s="20" t="s">
        <v>1909</v>
      </c>
      <c r="E612" s="21" t="s">
        <v>1910</v>
      </c>
      <c r="F612" s="22" t="s">
        <v>1911</v>
      </c>
    </row>
    <row r="613" spans="4:6" ht="12.75">
      <c r="D613" s="20" t="s">
        <v>1912</v>
      </c>
      <c r="E613" s="21" t="s">
        <v>1913</v>
      </c>
      <c r="F613" s="22" t="s">
        <v>1914</v>
      </c>
    </row>
    <row r="614" spans="4:6" ht="12.75">
      <c r="D614" s="20" t="s">
        <v>1915</v>
      </c>
      <c r="E614" s="21" t="s">
        <v>1916</v>
      </c>
      <c r="F614" s="22" t="s">
        <v>1917</v>
      </c>
    </row>
    <row r="615" spans="4:6" ht="12.75">
      <c r="D615" s="20" t="s">
        <v>1918</v>
      </c>
      <c r="E615" s="21" t="s">
        <v>1919</v>
      </c>
      <c r="F615" s="22" t="s">
        <v>1920</v>
      </c>
    </row>
    <row r="616" spans="4:6" ht="12.75">
      <c r="D616" s="20" t="s">
        <v>1921</v>
      </c>
      <c r="E616" s="21" t="s">
        <v>1922</v>
      </c>
      <c r="F616" s="22" t="s">
        <v>1923</v>
      </c>
    </row>
    <row r="617" spans="4:6" ht="12.75">
      <c r="D617" s="20" t="s">
        <v>1924</v>
      </c>
      <c r="E617" s="21" t="s">
        <v>1925</v>
      </c>
      <c r="F617" s="22" t="s">
        <v>1926</v>
      </c>
    </row>
    <row r="618" spans="4:6" ht="12.75">
      <c r="D618" s="20" t="s">
        <v>1927</v>
      </c>
      <c r="E618" s="21" t="s">
        <v>1928</v>
      </c>
      <c r="F618" s="22" t="s">
        <v>1929</v>
      </c>
    </row>
    <row r="619" spans="4:6" ht="12.75">
      <c r="D619" s="20" t="s">
        <v>1930</v>
      </c>
      <c r="E619" s="21" t="s">
        <v>1931</v>
      </c>
      <c r="F619" s="22" t="s">
        <v>1932</v>
      </c>
    </row>
    <row r="620" spans="4:6" ht="12.75">
      <c r="D620" s="20" t="s">
        <v>1933</v>
      </c>
      <c r="E620" s="21" t="s">
        <v>1934</v>
      </c>
      <c r="F620" s="22" t="s">
        <v>1935</v>
      </c>
    </row>
    <row r="621" spans="4:6" ht="12.75">
      <c r="D621" s="20" t="s">
        <v>1936</v>
      </c>
      <c r="E621" s="21" t="s">
        <v>1937</v>
      </c>
      <c r="F621" s="22" t="s">
        <v>1938</v>
      </c>
    </row>
    <row r="622" spans="4:6" ht="12.75">
      <c r="D622" s="20" t="s">
        <v>1939</v>
      </c>
      <c r="E622" s="21" t="s">
        <v>1940</v>
      </c>
      <c r="F622" s="22" t="s">
        <v>1941</v>
      </c>
    </row>
    <row r="623" spans="4:6" ht="12.75">
      <c r="D623" s="20" t="s">
        <v>1942</v>
      </c>
      <c r="E623" s="21" t="s">
        <v>1943</v>
      </c>
      <c r="F623" s="22" t="s">
        <v>1944</v>
      </c>
    </row>
    <row r="624" spans="4:6" ht="12.75">
      <c r="D624" s="20" t="s">
        <v>1945</v>
      </c>
      <c r="E624" s="21" t="s">
        <v>1946</v>
      </c>
      <c r="F624" s="22" t="s">
        <v>1947</v>
      </c>
    </row>
    <row r="625" spans="4:6" ht="12.75">
      <c r="D625" s="20" t="s">
        <v>1948</v>
      </c>
      <c r="E625" s="21" t="s">
        <v>1949</v>
      </c>
      <c r="F625" s="22" t="s">
        <v>1950</v>
      </c>
    </row>
    <row r="626" spans="4:6" ht="12.75">
      <c r="D626" s="20" t="s">
        <v>1951</v>
      </c>
      <c r="E626" s="21" t="s">
        <v>1952</v>
      </c>
      <c r="F626" s="22" t="s">
        <v>1953</v>
      </c>
    </row>
    <row r="627" spans="4:6" ht="12.75">
      <c r="D627" s="20" t="s">
        <v>1954</v>
      </c>
      <c r="E627" s="21" t="s">
        <v>1955</v>
      </c>
      <c r="F627" s="22" t="s">
        <v>1956</v>
      </c>
    </row>
    <row r="628" spans="4:6" ht="12.75">
      <c r="D628" s="20" t="s">
        <v>1957</v>
      </c>
      <c r="E628" s="21" t="s">
        <v>1958</v>
      </c>
      <c r="F628" s="22" t="s">
        <v>1959</v>
      </c>
    </row>
    <row r="629" spans="4:6" ht="12.75">
      <c r="D629" s="20" t="s">
        <v>1960</v>
      </c>
      <c r="E629" s="21" t="s">
        <v>1961</v>
      </c>
      <c r="F629" s="22" t="s">
        <v>1962</v>
      </c>
    </row>
    <row r="630" spans="4:6" ht="12.75">
      <c r="D630" s="20" t="s">
        <v>1963</v>
      </c>
      <c r="E630" s="21" t="s">
        <v>1964</v>
      </c>
      <c r="F630" s="22" t="s">
        <v>1965</v>
      </c>
    </row>
    <row r="631" spans="4:6" ht="12.75">
      <c r="D631" s="20" t="s">
        <v>1966</v>
      </c>
      <c r="E631" s="21" t="s">
        <v>1967</v>
      </c>
      <c r="F631" s="22" t="s">
        <v>1968</v>
      </c>
    </row>
    <row r="632" spans="4:6" ht="12.75">
      <c r="D632" s="20" t="s">
        <v>1969</v>
      </c>
      <c r="E632" s="21" t="s">
        <v>1970</v>
      </c>
      <c r="F632" s="21" t="s">
        <v>1971</v>
      </c>
    </row>
    <row r="633" spans="4:6" ht="12.75">
      <c r="D633" s="20" t="s">
        <v>1972</v>
      </c>
      <c r="E633" s="21" t="s">
        <v>1973</v>
      </c>
      <c r="F633" s="22" t="s">
        <v>1974</v>
      </c>
    </row>
    <row r="634" spans="4:6" ht="12.75">
      <c r="D634" s="20" t="s">
        <v>1975</v>
      </c>
      <c r="E634" s="21" t="s">
        <v>1976</v>
      </c>
      <c r="F634" s="22" t="s">
        <v>1977</v>
      </c>
    </row>
    <row r="635" spans="4:6" ht="12.75">
      <c r="D635" s="20" t="s">
        <v>1978</v>
      </c>
      <c r="E635" s="21" t="s">
        <v>1979</v>
      </c>
      <c r="F635" s="22" t="s">
        <v>1980</v>
      </c>
    </row>
    <row r="636" spans="4:6" ht="12.75">
      <c r="D636" s="20" t="s">
        <v>1981</v>
      </c>
      <c r="E636" s="21" t="s">
        <v>1982</v>
      </c>
      <c r="F636" s="22" t="s">
        <v>1983</v>
      </c>
    </row>
    <row r="637" spans="4:6" ht="12.75">
      <c r="D637" s="20" t="s">
        <v>1984</v>
      </c>
      <c r="E637" s="21" t="s">
        <v>1985</v>
      </c>
      <c r="F637" s="22" t="s">
        <v>1986</v>
      </c>
    </row>
    <row r="638" spans="4:6" ht="12.75">
      <c r="D638" s="20" t="s">
        <v>1987</v>
      </c>
      <c r="E638" s="21" t="s">
        <v>1988</v>
      </c>
      <c r="F638" s="22" t="s">
        <v>1989</v>
      </c>
    </row>
    <row r="639" spans="4:6" ht="12.75">
      <c r="D639" s="20" t="s">
        <v>284</v>
      </c>
      <c r="E639" s="21"/>
      <c r="F639" s="22"/>
    </row>
    <row r="640" spans="4:6" ht="12.75">
      <c r="D640" s="20" t="s">
        <v>1990</v>
      </c>
      <c r="E640" s="21" t="s">
        <v>1991</v>
      </c>
      <c r="F640" s="22" t="s">
        <v>1992</v>
      </c>
    </row>
    <row r="641" spans="4:6" ht="12.75">
      <c r="D641" s="20" t="s">
        <v>1993</v>
      </c>
      <c r="E641" s="21" t="s">
        <v>1994</v>
      </c>
      <c r="F641" s="22" t="s">
        <v>1995</v>
      </c>
    </row>
    <row r="642" spans="4:6" ht="12.75">
      <c r="D642" s="20" t="s">
        <v>1996</v>
      </c>
      <c r="E642" s="21" t="s">
        <v>1997</v>
      </c>
      <c r="F642" s="22" t="s">
        <v>1998</v>
      </c>
    </row>
    <row r="643" spans="4:6" ht="12.75">
      <c r="D643" s="20" t="s">
        <v>1999</v>
      </c>
      <c r="E643" s="21" t="s">
        <v>2000</v>
      </c>
      <c r="F643" s="22" t="s">
        <v>2001</v>
      </c>
    </row>
    <row r="644" spans="4:6" ht="12.75">
      <c r="D644" s="20" t="s">
        <v>2002</v>
      </c>
      <c r="E644" s="21" t="s">
        <v>2003</v>
      </c>
      <c r="F644" s="22" t="s">
        <v>2004</v>
      </c>
    </row>
    <row r="645" spans="4:6" ht="12.75">
      <c r="D645" s="20" t="s">
        <v>2005</v>
      </c>
      <c r="E645" s="21" t="s">
        <v>2006</v>
      </c>
      <c r="F645" s="22" t="s">
        <v>2007</v>
      </c>
    </row>
    <row r="646" spans="4:6" ht="12.75">
      <c r="D646" s="20" t="s">
        <v>2008</v>
      </c>
      <c r="E646" s="21" t="s">
        <v>2009</v>
      </c>
      <c r="F646" s="22" t="s">
        <v>2010</v>
      </c>
    </row>
    <row r="647" spans="4:6" ht="12.75">
      <c r="D647" s="20" t="s">
        <v>2011</v>
      </c>
      <c r="E647" s="21" t="s">
        <v>2012</v>
      </c>
      <c r="F647" s="22" t="s">
        <v>2013</v>
      </c>
    </row>
    <row r="648" spans="4:6" ht="12.75">
      <c r="D648" s="20" t="s">
        <v>2014</v>
      </c>
      <c r="E648" s="21" t="s">
        <v>2015</v>
      </c>
      <c r="F648" s="22" t="s">
        <v>2016</v>
      </c>
    </row>
    <row r="649" spans="4:6" ht="12.75">
      <c r="D649" s="20" t="s">
        <v>2017</v>
      </c>
      <c r="E649" s="21" t="s">
        <v>2018</v>
      </c>
      <c r="F649" s="22" t="s">
        <v>2019</v>
      </c>
    </row>
    <row r="650" spans="4:6" ht="12.75">
      <c r="D650" s="20" t="s">
        <v>2020</v>
      </c>
      <c r="E650" s="21" t="s">
        <v>2021</v>
      </c>
      <c r="F650" s="22" t="s">
        <v>2022</v>
      </c>
    </row>
    <row r="651" spans="4:6" ht="12.75">
      <c r="D651" s="20" t="s">
        <v>2023</v>
      </c>
      <c r="E651" s="21" t="s">
        <v>2024</v>
      </c>
      <c r="F651" s="22" t="s">
        <v>2025</v>
      </c>
    </row>
    <row r="652" spans="4:6" ht="12.75">
      <c r="D652" s="20" t="s">
        <v>2026</v>
      </c>
      <c r="E652" s="21" t="s">
        <v>2027</v>
      </c>
      <c r="F652" s="22" t="s">
        <v>2028</v>
      </c>
    </row>
    <row r="653" spans="4:6" ht="12.75">
      <c r="D653" s="20" t="s">
        <v>2029</v>
      </c>
      <c r="E653" s="21" t="s">
        <v>2030</v>
      </c>
      <c r="F653" s="22" t="s">
        <v>2031</v>
      </c>
    </row>
    <row r="654" spans="4:6" ht="12.75">
      <c r="D654" s="20" t="s">
        <v>2032</v>
      </c>
      <c r="E654" s="21" t="s">
        <v>2033</v>
      </c>
      <c r="F654" s="22" t="s">
        <v>2034</v>
      </c>
    </row>
    <row r="655" spans="4:6" ht="12.75">
      <c r="D655" s="20" t="s">
        <v>2035</v>
      </c>
      <c r="E655" s="21" t="s">
        <v>2036</v>
      </c>
      <c r="F655" s="22" t="s">
        <v>2037</v>
      </c>
    </row>
    <row r="656" spans="4:6" ht="12.75">
      <c r="D656" s="20" t="s">
        <v>2038</v>
      </c>
      <c r="E656" s="21" t="s">
        <v>2039</v>
      </c>
      <c r="F656" s="22" t="s">
        <v>2040</v>
      </c>
    </row>
    <row r="657" spans="4:6" ht="12.75">
      <c r="D657" s="20" t="s">
        <v>2041</v>
      </c>
      <c r="E657" s="21" t="s">
        <v>2042</v>
      </c>
      <c r="F657" s="22" t="s">
        <v>2043</v>
      </c>
    </row>
    <row r="658" spans="4:6" ht="12.75">
      <c r="D658" s="20" t="s">
        <v>2044</v>
      </c>
      <c r="E658" s="21" t="s">
        <v>2045</v>
      </c>
      <c r="F658" s="22" t="s">
        <v>2046</v>
      </c>
    </row>
    <row r="659" spans="4:6" ht="12.75">
      <c r="D659" s="20" t="s">
        <v>2047</v>
      </c>
      <c r="E659" s="21" t="s">
        <v>2048</v>
      </c>
      <c r="F659" s="22" t="s">
        <v>2049</v>
      </c>
    </row>
    <row r="660" spans="4:6" ht="12.75">
      <c r="D660" s="20" t="s">
        <v>2050</v>
      </c>
      <c r="E660" s="21" t="s">
        <v>2051</v>
      </c>
      <c r="F660" s="22" t="s">
        <v>2052</v>
      </c>
    </row>
    <row r="661" spans="4:6" ht="12.75">
      <c r="D661" s="20" t="s">
        <v>2053</v>
      </c>
      <c r="E661" s="21" t="s">
        <v>2054</v>
      </c>
      <c r="F661" s="22" t="s">
        <v>2055</v>
      </c>
    </row>
    <row r="662" spans="4:6" ht="12.75">
      <c r="D662" s="20" t="s">
        <v>2056</v>
      </c>
      <c r="E662" s="21" t="s">
        <v>2057</v>
      </c>
      <c r="F662" s="22" t="s">
        <v>2058</v>
      </c>
    </row>
    <row r="663" spans="4:6" ht="12.75">
      <c r="D663" s="20" t="s">
        <v>2059</v>
      </c>
      <c r="E663" s="21" t="s">
        <v>2060</v>
      </c>
      <c r="F663" s="22" t="s">
        <v>2061</v>
      </c>
    </row>
    <row r="664" spans="4:6" ht="12.75">
      <c r="D664" s="20" t="s">
        <v>2062</v>
      </c>
      <c r="E664" s="21" t="s">
        <v>2063</v>
      </c>
      <c r="F664" s="22" t="s">
        <v>2064</v>
      </c>
    </row>
    <row r="665" spans="4:6" ht="12.75">
      <c r="D665" s="20" t="s">
        <v>2065</v>
      </c>
      <c r="E665" s="21" t="s">
        <v>2066</v>
      </c>
      <c r="F665" s="22" t="s">
        <v>2067</v>
      </c>
    </row>
    <row r="666" spans="4:6" ht="12.75">
      <c r="D666" s="20" t="s">
        <v>2068</v>
      </c>
      <c r="E666" s="21" t="s">
        <v>2069</v>
      </c>
      <c r="F666" s="22" t="s">
        <v>2070</v>
      </c>
    </row>
    <row r="667" spans="4:6" ht="12.75">
      <c r="D667" s="20" t="s">
        <v>284</v>
      </c>
      <c r="E667" s="21"/>
      <c r="F667" s="22"/>
    </row>
    <row r="668" spans="4:6" ht="12.75">
      <c r="D668" s="20" t="s">
        <v>2071</v>
      </c>
      <c r="E668" s="21" t="s">
        <v>2072</v>
      </c>
      <c r="F668" s="22" t="s">
        <v>2073</v>
      </c>
    </row>
    <row r="669" spans="4:6" ht="12.75">
      <c r="D669" s="20" t="s">
        <v>2074</v>
      </c>
      <c r="E669" s="21" t="s">
        <v>2075</v>
      </c>
      <c r="F669" s="22" t="s">
        <v>2076</v>
      </c>
    </row>
    <row r="670" spans="4:6" ht="12.75">
      <c r="D670" s="20" t="s">
        <v>2077</v>
      </c>
      <c r="E670" s="21" t="s">
        <v>2078</v>
      </c>
      <c r="F670" s="22" t="s">
        <v>2079</v>
      </c>
    </row>
    <row r="671" spans="4:6" ht="12.75">
      <c r="D671" s="20" t="s">
        <v>2080</v>
      </c>
      <c r="E671" s="21" t="s">
        <v>2081</v>
      </c>
      <c r="F671" s="22" t="s">
        <v>2082</v>
      </c>
    </row>
    <row r="672" spans="4:6" ht="12.75">
      <c r="D672" s="20" t="s">
        <v>284</v>
      </c>
      <c r="E672" s="21"/>
      <c r="F672" s="22"/>
    </row>
    <row r="673" spans="4:6" ht="12.75">
      <c r="D673" s="20" t="s">
        <v>2083</v>
      </c>
      <c r="E673" s="21" t="s">
        <v>2084</v>
      </c>
      <c r="F673" s="22" t="s">
        <v>2085</v>
      </c>
    </row>
    <row r="674" spans="4:6" ht="12.75">
      <c r="D674" s="20" t="s">
        <v>2086</v>
      </c>
      <c r="E674" s="21" t="s">
        <v>2087</v>
      </c>
      <c r="F674" s="22" t="s">
        <v>2088</v>
      </c>
    </row>
    <row r="675" spans="4:6" ht="12.75">
      <c r="D675" s="20" t="s">
        <v>2089</v>
      </c>
      <c r="E675" s="21" t="s">
        <v>2090</v>
      </c>
      <c r="F675" s="22" t="s">
        <v>2091</v>
      </c>
    </row>
    <row r="676" spans="4:6" ht="12.75">
      <c r="D676" s="20" t="s">
        <v>2092</v>
      </c>
      <c r="E676" s="21" t="s">
        <v>2093</v>
      </c>
      <c r="F676" s="21" t="s">
        <v>2094</v>
      </c>
    </row>
    <row r="677" spans="4:6" ht="12.75">
      <c r="D677" s="20" t="s">
        <v>2095</v>
      </c>
      <c r="E677" s="21" t="s">
        <v>2096</v>
      </c>
      <c r="F677" s="22" t="s">
        <v>2097</v>
      </c>
    </row>
    <row r="678" spans="4:6" ht="12.75">
      <c r="D678" s="20" t="s">
        <v>284</v>
      </c>
      <c r="E678" s="21"/>
      <c r="F678" s="22"/>
    </row>
    <row r="679" spans="4:6" ht="12.75">
      <c r="D679" s="20" t="s">
        <v>2098</v>
      </c>
      <c r="E679" s="21" t="s">
        <v>2099</v>
      </c>
      <c r="F679" s="22" t="s">
        <v>2100</v>
      </c>
    </row>
    <row r="680" spans="4:6" ht="12.75">
      <c r="D680" s="20" t="s">
        <v>2101</v>
      </c>
      <c r="E680" s="21" t="s">
        <v>2102</v>
      </c>
      <c r="F680" s="22" t="s">
        <v>2103</v>
      </c>
    </row>
    <row r="681" spans="4:6" ht="12.75">
      <c r="D681" s="20" t="s">
        <v>2104</v>
      </c>
      <c r="E681" s="21" t="s">
        <v>2105</v>
      </c>
      <c r="F681" s="22" t="s">
        <v>2106</v>
      </c>
    </row>
    <row r="682" spans="4:6" ht="12.75">
      <c r="D682" s="20" t="s">
        <v>284</v>
      </c>
      <c r="E682" s="21"/>
      <c r="F682" s="22"/>
    </row>
    <row r="683" spans="4:6" ht="12.75">
      <c r="D683" s="20" t="s">
        <v>2107</v>
      </c>
      <c r="E683" s="21" t="s">
        <v>2108</v>
      </c>
      <c r="F683" s="22" t="s">
        <v>2109</v>
      </c>
    </row>
    <row r="684" spans="4:6" ht="12.75">
      <c r="D684" s="20" t="s">
        <v>284</v>
      </c>
      <c r="E684" s="21"/>
      <c r="F684" s="22"/>
    </row>
    <row r="685" spans="4:6" ht="12.75">
      <c r="D685" s="20" t="s">
        <v>2110</v>
      </c>
      <c r="E685" s="21" t="s">
        <v>2111</v>
      </c>
      <c r="F685" s="22" t="s">
        <v>2112</v>
      </c>
    </row>
    <row r="686" spans="4:6" ht="12.75">
      <c r="D686" s="20" t="s">
        <v>2113</v>
      </c>
      <c r="E686" s="21" t="s">
        <v>2114</v>
      </c>
      <c r="F686" s="22" t="s">
        <v>2115</v>
      </c>
    </row>
    <row r="687" spans="4:6" ht="12.75">
      <c r="D687" s="20" t="s">
        <v>2116</v>
      </c>
      <c r="E687" s="21" t="s">
        <v>2117</v>
      </c>
      <c r="F687" s="22" t="s">
        <v>2118</v>
      </c>
    </row>
    <row r="688" spans="4:6" ht="12.75">
      <c r="D688" s="20" t="s">
        <v>2119</v>
      </c>
      <c r="E688" s="21" t="s">
        <v>2120</v>
      </c>
      <c r="F688" s="22" t="s">
        <v>2121</v>
      </c>
    </row>
    <row r="689" spans="4:6" ht="12.75">
      <c r="D689" s="20" t="s">
        <v>2122</v>
      </c>
      <c r="E689" s="21" t="s">
        <v>2123</v>
      </c>
      <c r="F689" s="22" t="s">
        <v>2124</v>
      </c>
    </row>
    <row r="690" spans="4:6" ht="12.75">
      <c r="D690" s="20" t="s">
        <v>2125</v>
      </c>
      <c r="E690" s="21" t="s">
        <v>2126</v>
      </c>
      <c r="F690" s="21" t="s">
        <v>2127</v>
      </c>
    </row>
    <row r="691" spans="4:6" ht="12.75">
      <c r="D691" s="20" t="s">
        <v>2128</v>
      </c>
      <c r="E691" s="21" t="s">
        <v>2129</v>
      </c>
      <c r="F691" s="21" t="s">
        <v>2130</v>
      </c>
    </row>
    <row r="692" spans="4:6" ht="12.75">
      <c r="D692" s="20" t="s">
        <v>2131</v>
      </c>
      <c r="E692" s="21" t="s">
        <v>2132</v>
      </c>
      <c r="F692" s="22" t="s">
        <v>2133</v>
      </c>
    </row>
    <row r="693" spans="4:6" ht="12.75">
      <c r="D693" s="20" t="s">
        <v>2134</v>
      </c>
      <c r="E693" s="21" t="s">
        <v>2135</v>
      </c>
      <c r="F693" s="22" t="s">
        <v>2136</v>
      </c>
    </row>
    <row r="694" spans="4:6" ht="12.75">
      <c r="D694" s="20" t="s">
        <v>2137</v>
      </c>
      <c r="E694" s="21" t="s">
        <v>2138</v>
      </c>
      <c r="F694" s="22" t="s">
        <v>2139</v>
      </c>
    </row>
    <row r="695" spans="4:6" ht="12.75">
      <c r="D695" s="20" t="s">
        <v>2140</v>
      </c>
      <c r="E695" s="21" t="s">
        <v>2141</v>
      </c>
      <c r="F695" s="22" t="s">
        <v>2142</v>
      </c>
    </row>
    <row r="696" spans="4:6" ht="12.75">
      <c r="D696" s="20" t="s">
        <v>284</v>
      </c>
      <c r="E696" s="21"/>
      <c r="F696" s="22"/>
    </row>
    <row r="697" spans="4:6" ht="12.75">
      <c r="D697" s="20" t="s">
        <v>2143</v>
      </c>
      <c r="E697" s="21" t="s">
        <v>2144</v>
      </c>
      <c r="F697" s="22" t="s">
        <v>2145</v>
      </c>
    </row>
    <row r="698" spans="4:6" ht="12.75">
      <c r="D698" s="20" t="s">
        <v>2146</v>
      </c>
      <c r="E698" s="21" t="s">
        <v>2147</v>
      </c>
      <c r="F698" s="22" t="s">
        <v>2148</v>
      </c>
    </row>
    <row r="699" spans="4:6" ht="12.75">
      <c r="D699" s="20" t="s">
        <v>284</v>
      </c>
      <c r="E699" s="21"/>
      <c r="F699" s="22"/>
    </row>
    <row r="700" spans="4:6" ht="12.75">
      <c r="D700" s="20" t="s">
        <v>2149</v>
      </c>
      <c r="E700" s="21" t="s">
        <v>2150</v>
      </c>
      <c r="F700" s="22" t="s">
        <v>2151</v>
      </c>
    </row>
    <row r="701" spans="4:6" ht="12.75">
      <c r="D701" s="20" t="s">
        <v>2152</v>
      </c>
      <c r="E701" s="21" t="s">
        <v>2153</v>
      </c>
      <c r="F701" s="22" t="s">
        <v>2154</v>
      </c>
    </row>
    <row r="702" spans="4:6" ht="12.75">
      <c r="D702" s="20" t="s">
        <v>2155</v>
      </c>
      <c r="E702" s="21" t="s">
        <v>2156</v>
      </c>
      <c r="F702" s="22" t="s">
        <v>2157</v>
      </c>
    </row>
    <row r="703" spans="4:6" ht="12.75">
      <c r="D703" s="20" t="s">
        <v>2158</v>
      </c>
      <c r="E703" s="21" t="s">
        <v>2159</v>
      </c>
      <c r="F703" s="22" t="s">
        <v>2160</v>
      </c>
    </row>
    <row r="704" spans="4:6" ht="12.75">
      <c r="D704" s="20" t="s">
        <v>2161</v>
      </c>
      <c r="E704" s="21" t="s">
        <v>2162</v>
      </c>
      <c r="F704" s="22" t="s">
        <v>2163</v>
      </c>
    </row>
    <row r="705" spans="4:6" ht="12.75">
      <c r="D705" s="20" t="s">
        <v>284</v>
      </c>
      <c r="E705" s="21"/>
      <c r="F705" s="22"/>
    </row>
    <row r="706" spans="4:6" ht="12.75">
      <c r="D706" s="20" t="s">
        <v>2164</v>
      </c>
      <c r="E706" s="21" t="s">
        <v>2165</v>
      </c>
      <c r="F706" s="22" t="s">
        <v>2166</v>
      </c>
    </row>
    <row r="707" spans="4:6" ht="12.75">
      <c r="D707" s="20" t="s">
        <v>2167</v>
      </c>
      <c r="E707" s="21" t="s">
        <v>2168</v>
      </c>
      <c r="F707" s="22" t="s">
        <v>2169</v>
      </c>
    </row>
    <row r="708" spans="4:6" ht="12.75">
      <c r="D708" s="20" t="s">
        <v>2170</v>
      </c>
      <c r="E708" s="21" t="s">
        <v>2171</v>
      </c>
      <c r="F708" s="22" t="s">
        <v>2172</v>
      </c>
    </row>
    <row r="709" spans="4:6" ht="12.75">
      <c r="D709" s="20" t="s">
        <v>2173</v>
      </c>
      <c r="E709" s="21" t="s">
        <v>2174</v>
      </c>
      <c r="F709" s="22" t="s">
        <v>2175</v>
      </c>
    </row>
    <row r="710" spans="4:6" ht="12.75">
      <c r="D710" s="20" t="s">
        <v>2176</v>
      </c>
      <c r="E710" s="21" t="s">
        <v>2177</v>
      </c>
      <c r="F710" s="22" t="s">
        <v>2178</v>
      </c>
    </row>
    <row r="711" spans="4:6" ht="12.75">
      <c r="D711" s="20" t="s">
        <v>2179</v>
      </c>
      <c r="E711" s="21" t="s">
        <v>2180</v>
      </c>
      <c r="F711" s="22" t="s">
        <v>2181</v>
      </c>
    </row>
    <row r="712" spans="4:6" ht="12.75">
      <c r="D712" s="20" t="s">
        <v>2182</v>
      </c>
      <c r="E712" s="21" t="s">
        <v>2183</v>
      </c>
      <c r="F712" s="22" t="s">
        <v>2184</v>
      </c>
    </row>
    <row r="713" spans="4:6" ht="12.75">
      <c r="D713" s="20" t="s">
        <v>2185</v>
      </c>
      <c r="E713" s="21" t="s">
        <v>2186</v>
      </c>
      <c r="F713" s="21" t="s">
        <v>2187</v>
      </c>
    </row>
    <row r="714" spans="4:6" ht="12.75">
      <c r="D714" s="20" t="s">
        <v>2188</v>
      </c>
      <c r="E714" s="21" t="s">
        <v>2189</v>
      </c>
      <c r="F714" s="22" t="s">
        <v>2190</v>
      </c>
    </row>
    <row r="715" spans="4:6" ht="12.75">
      <c r="D715" s="20" t="s">
        <v>2191</v>
      </c>
      <c r="E715" s="21" t="s">
        <v>2192</v>
      </c>
      <c r="F715" s="25" t="s">
        <v>2193</v>
      </c>
    </row>
    <row r="716" spans="4:6" ht="12.75">
      <c r="D716" s="20" t="s">
        <v>2194</v>
      </c>
      <c r="E716" s="21" t="s">
        <v>2195</v>
      </c>
      <c r="F716" s="22" t="s">
        <v>2196</v>
      </c>
    </row>
    <row r="717" spans="4:6" ht="12.75">
      <c r="D717" s="20" t="s">
        <v>2197</v>
      </c>
      <c r="E717" s="21" t="s">
        <v>2198</v>
      </c>
      <c r="F717" s="22" t="s">
        <v>2199</v>
      </c>
    </row>
    <row r="718" spans="4:6" ht="12.75">
      <c r="D718" s="20" t="s">
        <v>284</v>
      </c>
      <c r="E718" s="21"/>
      <c r="F718" s="22"/>
    </row>
    <row r="719" spans="4:6" ht="12.75">
      <c r="D719" s="20" t="s">
        <v>2200</v>
      </c>
      <c r="E719" s="21" t="s">
        <v>2201</v>
      </c>
      <c r="F719" s="22" t="s">
        <v>2202</v>
      </c>
    </row>
    <row r="720" spans="4:6" ht="12.75">
      <c r="D720" s="20" t="s">
        <v>2203</v>
      </c>
      <c r="E720" s="21" t="s">
        <v>2204</v>
      </c>
      <c r="F720" s="22" t="s">
        <v>2205</v>
      </c>
    </row>
    <row r="721" spans="4:6" ht="12.75">
      <c r="D721" s="20" t="s">
        <v>2206</v>
      </c>
      <c r="E721" s="21" t="s">
        <v>2207</v>
      </c>
      <c r="F721" s="22" t="s">
        <v>2208</v>
      </c>
    </row>
    <row r="722" spans="4:6" ht="12.75">
      <c r="D722" s="20" t="s">
        <v>284</v>
      </c>
      <c r="E722" s="21"/>
      <c r="F722" s="22"/>
    </row>
    <row r="723" spans="4:6" ht="12.75">
      <c r="D723" s="20" t="s">
        <v>2209</v>
      </c>
      <c r="E723" s="21" t="s">
        <v>2210</v>
      </c>
      <c r="F723" s="22" t="s">
        <v>2211</v>
      </c>
    </row>
    <row r="724" spans="4:6" ht="12.75">
      <c r="D724" s="20" t="s">
        <v>2212</v>
      </c>
      <c r="E724" s="21" t="s">
        <v>2213</v>
      </c>
      <c r="F724" s="22" t="s">
        <v>2214</v>
      </c>
    </row>
    <row r="725" spans="4:6" ht="12.75">
      <c r="D725" s="20" t="s">
        <v>2215</v>
      </c>
      <c r="E725" s="21" t="s">
        <v>2216</v>
      </c>
      <c r="F725" s="22" t="s">
        <v>2217</v>
      </c>
    </row>
    <row r="726" spans="4:6" ht="12.75">
      <c r="D726" s="20" t="s">
        <v>2218</v>
      </c>
      <c r="E726" s="21" t="s">
        <v>2219</v>
      </c>
      <c r="F726" s="22" t="s">
        <v>2220</v>
      </c>
    </row>
    <row r="727" spans="4:6" ht="12.75">
      <c r="D727" s="20" t="s">
        <v>2221</v>
      </c>
      <c r="E727" s="21" t="s">
        <v>2222</v>
      </c>
      <c r="F727" s="22" t="s">
        <v>2223</v>
      </c>
    </row>
    <row r="728" spans="4:6" ht="12.75">
      <c r="D728" s="20" t="s">
        <v>2224</v>
      </c>
      <c r="E728" s="21" t="s">
        <v>2225</v>
      </c>
      <c r="F728" s="22" t="s">
        <v>2226</v>
      </c>
    </row>
    <row r="729" spans="4:6" ht="12.75">
      <c r="D729" s="20" t="s">
        <v>2227</v>
      </c>
      <c r="E729" s="21" t="s">
        <v>2228</v>
      </c>
      <c r="F729" s="22" t="s">
        <v>2229</v>
      </c>
    </row>
    <row r="730" spans="4:6" ht="12.75">
      <c r="D730" s="20" t="s">
        <v>2230</v>
      </c>
      <c r="E730" s="21" t="s">
        <v>2231</v>
      </c>
      <c r="F730" s="22" t="s">
        <v>2232</v>
      </c>
    </row>
    <row r="731" spans="4:6" ht="12.75">
      <c r="D731" s="20" t="s">
        <v>2233</v>
      </c>
      <c r="E731" s="21" t="s">
        <v>2234</v>
      </c>
      <c r="F731" s="22" t="s">
        <v>2235</v>
      </c>
    </row>
    <row r="732" spans="4:6" ht="12.75">
      <c r="D732" s="20" t="s">
        <v>2236</v>
      </c>
      <c r="E732" s="21" t="s">
        <v>2237</v>
      </c>
      <c r="F732" s="22" t="s">
        <v>2238</v>
      </c>
    </row>
    <row r="733" spans="4:6" ht="12.75">
      <c r="D733" s="20" t="s">
        <v>2239</v>
      </c>
      <c r="E733" s="21" t="s">
        <v>2240</v>
      </c>
      <c r="F733" s="22" t="s">
        <v>2241</v>
      </c>
    </row>
    <row r="734" spans="4:6" ht="12.75">
      <c r="D734" s="20" t="s">
        <v>2242</v>
      </c>
      <c r="E734" s="21" t="s">
        <v>2243</v>
      </c>
      <c r="F734" s="22" t="s">
        <v>2244</v>
      </c>
    </row>
    <row r="735" spans="4:6" ht="12.75">
      <c r="D735" s="20" t="s">
        <v>2245</v>
      </c>
      <c r="E735" s="21" t="s">
        <v>2246</v>
      </c>
      <c r="F735" s="22" t="s">
        <v>2247</v>
      </c>
    </row>
    <row r="736" spans="4:6" ht="12.75">
      <c r="D736" s="20" t="s">
        <v>2248</v>
      </c>
      <c r="E736" s="21" t="s">
        <v>2249</v>
      </c>
      <c r="F736" s="22" t="s">
        <v>2250</v>
      </c>
    </row>
    <row r="737" spans="4:6" ht="12.75">
      <c r="D737" s="20" t="s">
        <v>284</v>
      </c>
      <c r="E737" s="21"/>
      <c r="F737" s="22"/>
    </row>
    <row r="738" spans="4:6" ht="12.75">
      <c r="D738" s="20" t="s">
        <v>2251</v>
      </c>
      <c r="E738" s="21" t="s">
        <v>2252</v>
      </c>
      <c r="F738" s="22" t="s">
        <v>2253</v>
      </c>
    </row>
    <row r="739" spans="4:6" ht="12.75">
      <c r="D739" s="20" t="s">
        <v>284</v>
      </c>
      <c r="E739" s="21"/>
      <c r="F739" s="22"/>
    </row>
    <row r="740" spans="4:6" ht="12.75">
      <c r="D740" s="20" t="s">
        <v>2254</v>
      </c>
      <c r="E740" s="21" t="s">
        <v>2255</v>
      </c>
      <c r="F740" s="22" t="s">
        <v>2256</v>
      </c>
    </row>
    <row r="741" spans="4:6" ht="12.75">
      <c r="D741" s="20" t="s">
        <v>2257</v>
      </c>
      <c r="E741" s="21" t="s">
        <v>2258</v>
      </c>
      <c r="F741" s="22" t="s">
        <v>2259</v>
      </c>
    </row>
    <row r="742" spans="4:6" ht="12.75">
      <c r="D742" s="20" t="s">
        <v>2260</v>
      </c>
      <c r="E742" s="21" t="s">
        <v>2261</v>
      </c>
      <c r="F742" s="22" t="s">
        <v>2262</v>
      </c>
    </row>
    <row r="743" spans="4:6" ht="12.75">
      <c r="D743" s="20" t="s">
        <v>2263</v>
      </c>
      <c r="E743" s="21" t="s">
        <v>2264</v>
      </c>
      <c r="F743" s="22" t="s">
        <v>2265</v>
      </c>
    </row>
    <row r="744" spans="4:6" ht="12.75">
      <c r="D744" s="20" t="s">
        <v>2266</v>
      </c>
      <c r="E744" s="21" t="s">
        <v>2267</v>
      </c>
      <c r="F744" s="22" t="s">
        <v>2268</v>
      </c>
    </row>
    <row r="745" spans="4:6" ht="12.75">
      <c r="D745" s="20" t="s">
        <v>2269</v>
      </c>
      <c r="E745" s="21" t="s">
        <v>2270</v>
      </c>
      <c r="F745" s="22" t="s">
        <v>2271</v>
      </c>
    </row>
    <row r="746" spans="4:6" ht="12.75">
      <c r="D746" s="20" t="s">
        <v>2272</v>
      </c>
      <c r="E746" s="21" t="s">
        <v>2273</v>
      </c>
      <c r="F746" s="22" t="s">
        <v>2274</v>
      </c>
    </row>
    <row r="747" spans="4:6" ht="12.75">
      <c r="D747" s="20" t="s">
        <v>2275</v>
      </c>
      <c r="E747" s="21" t="s">
        <v>2276</v>
      </c>
      <c r="F747" s="22" t="s">
        <v>2277</v>
      </c>
    </row>
    <row r="748" spans="4:6" ht="12.75">
      <c r="D748" s="20" t="s">
        <v>2278</v>
      </c>
      <c r="E748" s="21" t="s">
        <v>2279</v>
      </c>
      <c r="F748" s="22" t="s">
        <v>2280</v>
      </c>
    </row>
    <row r="749" spans="4:6" ht="12.75">
      <c r="D749" s="20" t="s">
        <v>2281</v>
      </c>
      <c r="E749" s="21" t="s">
        <v>2282</v>
      </c>
      <c r="F749" s="22" t="s">
        <v>2283</v>
      </c>
    </row>
    <row r="750" spans="4:6" ht="12.75">
      <c r="D750" s="20" t="s">
        <v>2284</v>
      </c>
      <c r="E750" s="21" t="s">
        <v>2285</v>
      </c>
      <c r="F750" s="22" t="s">
        <v>2286</v>
      </c>
    </row>
    <row r="751" spans="4:6" ht="12.75">
      <c r="D751" s="20" t="s">
        <v>2287</v>
      </c>
      <c r="E751" s="21" t="s">
        <v>2288</v>
      </c>
      <c r="F751" s="22" t="s">
        <v>2289</v>
      </c>
    </row>
    <row r="752" spans="4:6" ht="12.75">
      <c r="D752" s="20" t="s">
        <v>2290</v>
      </c>
      <c r="E752" s="21" t="s">
        <v>2291</v>
      </c>
      <c r="F752" s="22" t="s">
        <v>2292</v>
      </c>
    </row>
    <row r="753" spans="4:6" ht="12.75">
      <c r="D753" s="20" t="s">
        <v>2293</v>
      </c>
      <c r="E753" s="21" t="s">
        <v>2294</v>
      </c>
      <c r="F753" s="22" t="s">
        <v>2295</v>
      </c>
    </row>
    <row r="754" spans="4:6" ht="12.75">
      <c r="D754" s="20" t="s">
        <v>2296</v>
      </c>
      <c r="E754" s="21" t="s">
        <v>2297</v>
      </c>
      <c r="F754" s="22" t="s">
        <v>2298</v>
      </c>
    </row>
    <row r="755" spans="4:6" ht="12.75">
      <c r="D755" s="20" t="s">
        <v>2299</v>
      </c>
      <c r="E755" s="21" t="s">
        <v>2300</v>
      </c>
      <c r="F755" s="22" t="s">
        <v>2301</v>
      </c>
    </row>
    <row r="756" spans="4:6" ht="12.75">
      <c r="D756" s="20" t="s">
        <v>2302</v>
      </c>
      <c r="E756" s="21" t="s">
        <v>2303</v>
      </c>
      <c r="F756" s="22" t="s">
        <v>2304</v>
      </c>
    </row>
    <row r="757" spans="4:6" ht="12.75">
      <c r="D757" s="20" t="s">
        <v>2305</v>
      </c>
      <c r="E757" s="21" t="s">
        <v>2306</v>
      </c>
      <c r="F757" s="22" t="s">
        <v>2307</v>
      </c>
    </row>
    <row r="758" spans="4:6" ht="12.75">
      <c r="D758" s="20" t="s">
        <v>2308</v>
      </c>
      <c r="E758" s="21" t="s">
        <v>2309</v>
      </c>
      <c r="F758" s="22" t="s">
        <v>2310</v>
      </c>
    </row>
    <row r="759" spans="4:6" ht="12.75">
      <c r="D759" s="20" t="s">
        <v>2311</v>
      </c>
      <c r="E759" s="21" t="s">
        <v>2312</v>
      </c>
      <c r="F759" s="22" t="s">
        <v>2313</v>
      </c>
    </row>
    <row r="760" spans="4:6" ht="12.75">
      <c r="D760" s="20" t="s">
        <v>2314</v>
      </c>
      <c r="E760" s="21" t="s">
        <v>2315</v>
      </c>
      <c r="F760" s="22" t="s">
        <v>2316</v>
      </c>
    </row>
    <row r="761" spans="4:6" ht="12.75">
      <c r="D761" s="20" t="s">
        <v>284</v>
      </c>
      <c r="E761" s="21"/>
      <c r="F761" s="22"/>
    </row>
    <row r="762" spans="4:6" ht="12.75">
      <c r="D762" s="20" t="s">
        <v>2317</v>
      </c>
      <c r="E762" s="21" t="s">
        <v>2318</v>
      </c>
      <c r="F762" s="22" t="s">
        <v>2319</v>
      </c>
    </row>
    <row r="763" spans="4:6" ht="12.75">
      <c r="D763" s="20" t="s">
        <v>2320</v>
      </c>
      <c r="E763" s="21" t="s">
        <v>2321</v>
      </c>
      <c r="F763" s="22" t="s">
        <v>2322</v>
      </c>
    </row>
    <row r="764" spans="4:6" ht="12.75">
      <c r="D764" s="20" t="s">
        <v>2323</v>
      </c>
      <c r="E764" s="21" t="s">
        <v>2324</v>
      </c>
      <c r="F764" s="22" t="s">
        <v>2325</v>
      </c>
    </row>
    <row r="765" spans="4:6" ht="12.75">
      <c r="D765" s="20" t="s">
        <v>2326</v>
      </c>
      <c r="E765" s="21" t="s">
        <v>2327</v>
      </c>
      <c r="F765" s="22" t="s">
        <v>2328</v>
      </c>
    </row>
    <row r="766" spans="4:6" ht="12.75">
      <c r="D766" s="20" t="s">
        <v>2329</v>
      </c>
      <c r="E766" s="21" t="s">
        <v>2330</v>
      </c>
      <c r="F766" s="22" t="s">
        <v>2331</v>
      </c>
    </row>
    <row r="767" spans="4:6" ht="12.75">
      <c r="D767" s="20" t="s">
        <v>2332</v>
      </c>
      <c r="E767" s="21" t="s">
        <v>2333</v>
      </c>
      <c r="F767" s="22" t="s">
        <v>2334</v>
      </c>
    </row>
    <row r="768" spans="4:6" ht="12.75">
      <c r="D768" s="20" t="s">
        <v>2335</v>
      </c>
      <c r="E768" s="21" t="s">
        <v>2336</v>
      </c>
      <c r="F768" s="22" t="s">
        <v>2337</v>
      </c>
    </row>
    <row r="769" spans="4:6" ht="12.75">
      <c r="D769" s="20" t="s">
        <v>2338</v>
      </c>
      <c r="E769" s="21" t="s">
        <v>2339</v>
      </c>
      <c r="F769" s="22" t="s">
        <v>2340</v>
      </c>
    </row>
    <row r="770" spans="4:6" ht="12.75">
      <c r="D770" s="20" t="s">
        <v>2341</v>
      </c>
      <c r="E770" s="21" t="s">
        <v>2342</v>
      </c>
      <c r="F770" s="22" t="s">
        <v>2343</v>
      </c>
    </row>
    <row r="771" spans="4:6" ht="12.75">
      <c r="D771" s="20" t="s">
        <v>2344</v>
      </c>
      <c r="E771" s="21" t="s">
        <v>2345</v>
      </c>
      <c r="F771" s="22" t="s">
        <v>2346</v>
      </c>
    </row>
    <row r="772" spans="4:6" ht="12.75">
      <c r="D772" s="20" t="s">
        <v>2347</v>
      </c>
      <c r="E772" s="21" t="s">
        <v>2348</v>
      </c>
      <c r="F772" s="22" t="s">
        <v>2349</v>
      </c>
    </row>
    <row r="773" spans="4:6" ht="12.75">
      <c r="D773" s="20" t="s">
        <v>2350</v>
      </c>
      <c r="E773" s="21" t="s">
        <v>2351</v>
      </c>
      <c r="F773" s="22" t="s">
        <v>2352</v>
      </c>
    </row>
    <row r="774" spans="4:6" ht="12.75">
      <c r="D774" s="20" t="s">
        <v>2353</v>
      </c>
      <c r="E774" s="21" t="s">
        <v>2354</v>
      </c>
      <c r="F774" s="22" t="s">
        <v>2355</v>
      </c>
    </row>
    <row r="775" spans="4:6" ht="12.75">
      <c r="D775" s="20" t="s">
        <v>2356</v>
      </c>
      <c r="E775" s="21" t="s">
        <v>2357</v>
      </c>
      <c r="F775" s="22" t="s">
        <v>2358</v>
      </c>
    </row>
    <row r="776" spans="4:6" ht="12.75">
      <c r="D776" s="20" t="s">
        <v>2359</v>
      </c>
      <c r="E776" s="21" t="s">
        <v>2360</v>
      </c>
      <c r="F776" s="22" t="s">
        <v>2361</v>
      </c>
    </row>
    <row r="777" spans="4:6" ht="12.75">
      <c r="D777" s="20" t="s">
        <v>2362</v>
      </c>
      <c r="E777" s="21" t="s">
        <v>2363</v>
      </c>
      <c r="F777" s="22" t="s">
        <v>2364</v>
      </c>
    </row>
    <row r="778" spans="4:6" ht="12.75">
      <c r="D778" s="20" t="s">
        <v>2365</v>
      </c>
      <c r="E778" s="21" t="s">
        <v>2366</v>
      </c>
      <c r="F778" s="22" t="s">
        <v>2367</v>
      </c>
    </row>
    <row r="779" spans="4:6" ht="12.75">
      <c r="D779" s="20" t="s">
        <v>2368</v>
      </c>
      <c r="E779" s="21" t="s">
        <v>2369</v>
      </c>
      <c r="F779" s="22" t="s">
        <v>2370</v>
      </c>
    </row>
    <row r="780" spans="4:6" ht="12.75">
      <c r="D780" s="20" t="s">
        <v>2371</v>
      </c>
      <c r="E780" s="21" t="s">
        <v>2372</v>
      </c>
      <c r="F780" s="22" t="s">
        <v>2373</v>
      </c>
    </row>
    <row r="781" spans="4:6" ht="12.75">
      <c r="D781" s="20" t="s">
        <v>2374</v>
      </c>
      <c r="E781" s="21" t="s">
        <v>2375</v>
      </c>
      <c r="F781" s="22" t="s">
        <v>2376</v>
      </c>
    </row>
    <row r="782" spans="4:6" ht="12.75">
      <c r="D782" s="20" t="s">
        <v>2377</v>
      </c>
      <c r="E782" s="21" t="s">
        <v>2378</v>
      </c>
      <c r="F782" s="22" t="s">
        <v>2379</v>
      </c>
    </row>
    <row r="783" spans="4:6" ht="12.75">
      <c r="D783" s="20" t="s">
        <v>2380</v>
      </c>
      <c r="E783" s="21" t="s">
        <v>2381</v>
      </c>
      <c r="F783" s="22" t="s">
        <v>2382</v>
      </c>
    </row>
    <row r="784" spans="4:6" ht="12.75">
      <c r="D784" s="20" t="s">
        <v>2383</v>
      </c>
      <c r="E784" s="21" t="s">
        <v>2384</v>
      </c>
      <c r="F784" s="22" t="s">
        <v>2385</v>
      </c>
    </row>
    <row r="785" spans="4:6" ht="12.75">
      <c r="D785" s="20" t="s">
        <v>2386</v>
      </c>
      <c r="E785" s="21" t="s">
        <v>2387</v>
      </c>
      <c r="F785" s="22" t="s">
        <v>2388</v>
      </c>
    </row>
    <row r="786" spans="4:6" ht="12.75">
      <c r="D786" s="20" t="s">
        <v>2389</v>
      </c>
      <c r="E786" s="21" t="s">
        <v>2390</v>
      </c>
      <c r="F786" s="22" t="s">
        <v>2391</v>
      </c>
    </row>
    <row r="787" spans="4:6" ht="12.75">
      <c r="D787" s="20" t="s">
        <v>2392</v>
      </c>
      <c r="E787" s="21" t="s">
        <v>2393</v>
      </c>
      <c r="F787" s="22" t="s">
        <v>2394</v>
      </c>
    </row>
    <row r="788" spans="4:6" ht="12.75">
      <c r="D788" s="20" t="s">
        <v>2395</v>
      </c>
      <c r="E788" s="21" t="s">
        <v>2396</v>
      </c>
      <c r="F788" s="22" t="s">
        <v>2397</v>
      </c>
    </row>
    <row r="789" spans="4:6" ht="12.75">
      <c r="D789" s="20" t="s">
        <v>2398</v>
      </c>
      <c r="E789" s="21" t="s">
        <v>2399</v>
      </c>
      <c r="F789" s="22" t="s">
        <v>2400</v>
      </c>
    </row>
    <row r="790" spans="4:6" ht="12.75">
      <c r="D790" s="20" t="s">
        <v>2401</v>
      </c>
      <c r="E790" s="21" t="s">
        <v>2402</v>
      </c>
      <c r="F790" s="22" t="s">
        <v>2403</v>
      </c>
    </row>
    <row r="791" spans="4:6" ht="12.75">
      <c r="D791" s="20" t="s">
        <v>2404</v>
      </c>
      <c r="E791" s="21" t="s">
        <v>2405</v>
      </c>
      <c r="F791" s="22" t="s">
        <v>2406</v>
      </c>
    </row>
    <row r="792" spans="4:6" ht="12.75">
      <c r="D792" s="20" t="s">
        <v>2407</v>
      </c>
      <c r="E792" s="21" t="s">
        <v>2408</v>
      </c>
      <c r="F792" s="22" t="s">
        <v>2409</v>
      </c>
    </row>
    <row r="793" spans="4:6" ht="12.75">
      <c r="D793" s="20" t="s">
        <v>2410</v>
      </c>
      <c r="E793" s="21" t="s">
        <v>2411</v>
      </c>
      <c r="F793" s="22" t="s">
        <v>2412</v>
      </c>
    </row>
    <row r="794" spans="4:6" ht="12.75">
      <c r="D794" s="20" t="s">
        <v>2413</v>
      </c>
      <c r="E794" s="21" t="s">
        <v>2414</v>
      </c>
      <c r="F794" s="22" t="s">
        <v>2415</v>
      </c>
    </row>
    <row r="795" spans="4:6" ht="12.75">
      <c r="D795" s="20" t="s">
        <v>2416</v>
      </c>
      <c r="E795" s="21" t="s">
        <v>2417</v>
      </c>
      <c r="F795" s="22" t="s">
        <v>2418</v>
      </c>
    </row>
    <row r="796" spans="4:6" ht="12.75">
      <c r="D796" s="20" t="s">
        <v>2419</v>
      </c>
      <c r="E796" s="21" t="s">
        <v>2420</v>
      </c>
      <c r="F796" s="22" t="s">
        <v>2421</v>
      </c>
    </row>
    <row r="797" spans="4:6" ht="12.75">
      <c r="D797" s="20" t="s">
        <v>2422</v>
      </c>
      <c r="E797" s="21" t="s">
        <v>2423</v>
      </c>
      <c r="F797" s="22" t="s">
        <v>2424</v>
      </c>
    </row>
    <row r="798" spans="4:6" ht="12.75">
      <c r="D798" s="20" t="s">
        <v>2425</v>
      </c>
      <c r="E798" s="21" t="s">
        <v>2426</v>
      </c>
      <c r="F798" s="22" t="s">
        <v>2427</v>
      </c>
    </row>
    <row r="799" spans="4:6" ht="12.75">
      <c r="D799" s="20" t="s">
        <v>2428</v>
      </c>
      <c r="E799" s="21" t="s">
        <v>2429</v>
      </c>
      <c r="F799" s="22" t="s">
        <v>2430</v>
      </c>
    </row>
    <row r="800" spans="4:6" ht="12.75">
      <c r="D800" s="20" t="s">
        <v>2431</v>
      </c>
      <c r="E800" s="21" t="s">
        <v>2432</v>
      </c>
      <c r="F800" s="22" t="s">
        <v>2433</v>
      </c>
    </row>
    <row r="801" spans="4:6" ht="12.75">
      <c r="D801" s="20" t="s">
        <v>2434</v>
      </c>
      <c r="E801" s="21" t="s">
        <v>2435</v>
      </c>
      <c r="F801" s="22" t="s">
        <v>2436</v>
      </c>
    </row>
    <row r="802" spans="4:6" ht="12.75">
      <c r="D802" s="20" t="s">
        <v>2437</v>
      </c>
      <c r="E802" s="21" t="s">
        <v>2438</v>
      </c>
      <c r="F802" s="22" t="s">
        <v>2439</v>
      </c>
    </row>
    <row r="803" spans="4:6" ht="12.75">
      <c r="D803" s="20" t="s">
        <v>2440</v>
      </c>
      <c r="E803" s="21" t="s">
        <v>2441</v>
      </c>
      <c r="F803" s="22" t="s">
        <v>2442</v>
      </c>
    </row>
    <row r="804" spans="4:6" ht="12.75">
      <c r="D804" s="20" t="s">
        <v>2443</v>
      </c>
      <c r="E804" s="21" t="s">
        <v>2444</v>
      </c>
      <c r="F804" s="22" t="s">
        <v>2445</v>
      </c>
    </row>
    <row r="805" spans="4:6" ht="12.75">
      <c r="D805" s="20" t="s">
        <v>2446</v>
      </c>
      <c r="E805" s="21" t="s">
        <v>2447</v>
      </c>
      <c r="F805" s="22" t="s">
        <v>2448</v>
      </c>
    </row>
    <row r="806" spans="4:6" ht="12.75">
      <c r="D806" s="20" t="s">
        <v>2449</v>
      </c>
      <c r="E806" s="21" t="s">
        <v>2450</v>
      </c>
      <c r="F806" s="22" t="s">
        <v>2451</v>
      </c>
    </row>
    <row r="807" spans="4:6" ht="12.75">
      <c r="D807" s="20" t="s">
        <v>2452</v>
      </c>
      <c r="E807" s="21" t="s">
        <v>2453</v>
      </c>
      <c r="F807" s="22" t="s">
        <v>2454</v>
      </c>
    </row>
    <row r="808" spans="4:6" ht="12.75">
      <c r="D808" s="20" t="s">
        <v>2455</v>
      </c>
      <c r="E808" s="21" t="s">
        <v>2456</v>
      </c>
      <c r="F808" s="22" t="s">
        <v>2457</v>
      </c>
    </row>
    <row r="809" spans="4:6" ht="12.75">
      <c r="D809" s="20" t="s">
        <v>2458</v>
      </c>
      <c r="E809" s="21" t="s">
        <v>2459</v>
      </c>
      <c r="F809" s="22" t="s">
        <v>2460</v>
      </c>
    </row>
    <row r="810" spans="4:6" ht="12.75">
      <c r="D810" s="20" t="s">
        <v>2461</v>
      </c>
      <c r="E810" s="21" t="s">
        <v>2462</v>
      </c>
      <c r="F810" s="22" t="s">
        <v>2463</v>
      </c>
    </row>
    <row r="811" spans="4:6" ht="12.75">
      <c r="D811" s="20" t="s">
        <v>2464</v>
      </c>
      <c r="E811" s="21" t="s">
        <v>2465</v>
      </c>
      <c r="F811" s="22" t="s">
        <v>2466</v>
      </c>
    </row>
    <row r="812" spans="4:6" ht="12.75">
      <c r="D812" s="20" t="s">
        <v>2467</v>
      </c>
      <c r="E812" s="21" t="s">
        <v>2468</v>
      </c>
      <c r="F812" s="22" t="s">
        <v>2469</v>
      </c>
    </row>
    <row r="813" spans="4:6" ht="12.75">
      <c r="D813" s="20" t="s">
        <v>2470</v>
      </c>
      <c r="E813" s="21" t="s">
        <v>2471</v>
      </c>
      <c r="F813" s="22" t="s">
        <v>2472</v>
      </c>
    </row>
    <row r="814" spans="4:6" ht="12.75">
      <c r="D814" s="20" t="s">
        <v>2473</v>
      </c>
      <c r="E814" s="21" t="s">
        <v>2474</v>
      </c>
      <c r="F814" s="22" t="s">
        <v>2475</v>
      </c>
    </row>
    <row r="815" spans="4:6" ht="12.75">
      <c r="D815" s="20" t="s">
        <v>2476</v>
      </c>
      <c r="E815" s="21" t="s">
        <v>2477</v>
      </c>
      <c r="F815" s="22" t="s">
        <v>2478</v>
      </c>
    </row>
    <row r="816" spans="4:6" ht="12.75">
      <c r="D816" s="20" t="s">
        <v>2479</v>
      </c>
      <c r="E816" s="21" t="s">
        <v>2480</v>
      </c>
      <c r="F816" s="22" t="s">
        <v>2481</v>
      </c>
    </row>
    <row r="817" spans="4:6" ht="12.75">
      <c r="D817" s="20" t="s">
        <v>2482</v>
      </c>
      <c r="E817" s="21" t="s">
        <v>2483</v>
      </c>
      <c r="F817" s="22" t="s">
        <v>2484</v>
      </c>
    </row>
    <row r="818" spans="4:6" ht="12.75">
      <c r="D818" s="20" t="s">
        <v>2485</v>
      </c>
      <c r="E818" s="21" t="s">
        <v>2486</v>
      </c>
      <c r="F818" s="22" t="s">
        <v>2487</v>
      </c>
    </row>
    <row r="819" spans="4:6" ht="12.75">
      <c r="D819" s="20" t="s">
        <v>2488</v>
      </c>
      <c r="E819" s="21" t="s">
        <v>2489</v>
      </c>
      <c r="F819" s="22" t="s">
        <v>2490</v>
      </c>
    </row>
    <row r="820" spans="4:6" ht="12.75">
      <c r="D820" s="20" t="s">
        <v>2491</v>
      </c>
      <c r="E820" s="21" t="s">
        <v>2492</v>
      </c>
      <c r="F820" s="22" t="s">
        <v>2493</v>
      </c>
    </row>
    <row r="821" spans="4:6" ht="12.75">
      <c r="D821" s="20" t="s">
        <v>2494</v>
      </c>
      <c r="E821" s="21" t="s">
        <v>2495</v>
      </c>
      <c r="F821" s="22" t="s">
        <v>2496</v>
      </c>
    </row>
    <row r="822" spans="4:6" ht="12.75">
      <c r="D822" s="20" t="s">
        <v>2497</v>
      </c>
      <c r="E822" s="21" t="s">
        <v>2498</v>
      </c>
      <c r="F822" s="22" t="s">
        <v>2499</v>
      </c>
    </row>
    <row r="823" spans="4:6" ht="12.75">
      <c r="D823" s="20" t="s">
        <v>2500</v>
      </c>
      <c r="E823" s="21" t="s">
        <v>2501</v>
      </c>
      <c r="F823" s="22" t="s">
        <v>2502</v>
      </c>
    </row>
    <row r="824" spans="4:6" ht="12.75">
      <c r="D824" s="20" t="s">
        <v>2503</v>
      </c>
      <c r="E824" s="21" t="s">
        <v>2504</v>
      </c>
      <c r="F824" s="22" t="s">
        <v>2505</v>
      </c>
    </row>
    <row r="825" spans="4:6" ht="12.75">
      <c r="D825" s="20" t="s">
        <v>2506</v>
      </c>
      <c r="E825" s="21" t="s">
        <v>2507</v>
      </c>
      <c r="F825" s="22" t="s">
        <v>2508</v>
      </c>
    </row>
    <row r="826" spans="4:6" ht="12.75">
      <c r="D826" s="20" t="s">
        <v>2509</v>
      </c>
      <c r="E826" s="21" t="s">
        <v>2510</v>
      </c>
      <c r="F826" s="22" t="s">
        <v>2511</v>
      </c>
    </row>
    <row r="827" spans="4:6" ht="12.75">
      <c r="D827" s="20" t="s">
        <v>2512</v>
      </c>
      <c r="E827" s="21" t="s">
        <v>2513</v>
      </c>
      <c r="F827" s="22" t="s">
        <v>2514</v>
      </c>
    </row>
    <row r="828" spans="4:6" ht="12.75">
      <c r="D828" s="20" t="s">
        <v>2515</v>
      </c>
      <c r="E828" s="21" t="s">
        <v>2516</v>
      </c>
      <c r="F828" s="22" t="s">
        <v>2517</v>
      </c>
    </row>
    <row r="829" spans="4:6" ht="12.75">
      <c r="D829" s="20" t="s">
        <v>2518</v>
      </c>
      <c r="E829" s="21" t="s">
        <v>2519</v>
      </c>
      <c r="F829" s="22" t="s">
        <v>2520</v>
      </c>
    </row>
    <row r="830" spans="4:6" ht="12.75">
      <c r="D830" s="20" t="s">
        <v>2521</v>
      </c>
      <c r="E830" s="21" t="s">
        <v>2522</v>
      </c>
      <c r="F830" s="22" t="s">
        <v>2523</v>
      </c>
    </row>
    <row r="831" spans="4:6" ht="12.75">
      <c r="D831" s="20" t="s">
        <v>2524</v>
      </c>
      <c r="E831" s="21" t="s">
        <v>2525</v>
      </c>
      <c r="F831" s="22" t="s">
        <v>2526</v>
      </c>
    </row>
    <row r="832" spans="4:6" ht="12.75">
      <c r="D832" s="20" t="s">
        <v>2527</v>
      </c>
      <c r="E832" s="21" t="s">
        <v>2528</v>
      </c>
      <c r="F832" s="22" t="s">
        <v>2529</v>
      </c>
    </row>
    <row r="833" spans="4:6" ht="12.75">
      <c r="D833" s="20" t="s">
        <v>2530</v>
      </c>
      <c r="E833" s="21" t="s">
        <v>2531</v>
      </c>
      <c r="F833" s="22" t="s">
        <v>2532</v>
      </c>
    </row>
    <row r="834" spans="4:6" ht="12.75">
      <c r="D834" s="20" t="s">
        <v>2533</v>
      </c>
      <c r="E834" s="21" t="s">
        <v>2534</v>
      </c>
      <c r="F834" s="22" t="s">
        <v>2535</v>
      </c>
    </row>
    <row r="835" spans="4:6" ht="12.75">
      <c r="D835" s="20" t="s">
        <v>2536</v>
      </c>
      <c r="E835" s="21" t="s">
        <v>2537</v>
      </c>
      <c r="F835" s="22" t="s">
        <v>2538</v>
      </c>
    </row>
    <row r="836" spans="4:6" ht="12.75">
      <c r="D836" s="20" t="s">
        <v>2539</v>
      </c>
      <c r="E836" s="21" t="s">
        <v>2540</v>
      </c>
      <c r="F836" s="22" t="s">
        <v>2541</v>
      </c>
    </row>
    <row r="837" spans="4:6" ht="12.75">
      <c r="D837" s="20" t="s">
        <v>284</v>
      </c>
      <c r="E837" s="21"/>
      <c r="F837" s="22"/>
    </row>
    <row r="838" spans="4:6" ht="12.75">
      <c r="D838" s="20" t="s">
        <v>2542</v>
      </c>
      <c r="E838" s="21" t="s">
        <v>2543</v>
      </c>
      <c r="F838" s="22" t="s">
        <v>2544</v>
      </c>
    </row>
    <row r="839" spans="4:6" ht="12.75">
      <c r="D839" s="20" t="s">
        <v>2545</v>
      </c>
      <c r="E839" s="21" t="s">
        <v>2546</v>
      </c>
      <c r="F839" s="25" t="s">
        <v>2547</v>
      </c>
    </row>
    <row r="840" spans="4:6" ht="12.75">
      <c r="D840" s="20" t="s">
        <v>2548</v>
      </c>
      <c r="E840" s="21" t="s">
        <v>2549</v>
      </c>
      <c r="F840" s="22" t="s">
        <v>2550</v>
      </c>
    </row>
    <row r="841" spans="4:6" ht="12.75">
      <c r="D841" s="20" t="s">
        <v>2551</v>
      </c>
      <c r="E841" s="21" t="s">
        <v>2552</v>
      </c>
      <c r="F841" s="22" t="s">
        <v>2553</v>
      </c>
    </row>
    <row r="842" spans="4:6" ht="12.75">
      <c r="D842" s="20" t="s">
        <v>2554</v>
      </c>
      <c r="E842" s="21" t="s">
        <v>2555</v>
      </c>
      <c r="F842" s="22" t="s">
        <v>2556</v>
      </c>
    </row>
    <row r="843" spans="4:6" ht="12.75">
      <c r="D843" s="20" t="s">
        <v>2557</v>
      </c>
      <c r="E843" s="21" t="s">
        <v>2558</v>
      </c>
      <c r="F843" s="22" t="s">
        <v>2559</v>
      </c>
    </row>
    <row r="844" spans="4:6" ht="12.75">
      <c r="D844" s="20" t="s">
        <v>2560</v>
      </c>
      <c r="E844" s="21" t="s">
        <v>2561</v>
      </c>
      <c r="F844" s="22" t="s">
        <v>2562</v>
      </c>
    </row>
    <row r="845" spans="4:6" ht="12.75">
      <c r="D845" s="20" t="s">
        <v>2563</v>
      </c>
      <c r="E845" s="21" t="s">
        <v>2564</v>
      </c>
      <c r="F845" s="22" t="s">
        <v>2565</v>
      </c>
    </row>
    <row r="846" spans="4:6" ht="12.75">
      <c r="D846" s="20" t="s">
        <v>2566</v>
      </c>
      <c r="E846" s="21" t="s">
        <v>2567</v>
      </c>
      <c r="F846" s="22" t="s">
        <v>2568</v>
      </c>
    </row>
    <row r="847" spans="4:6" ht="12.75">
      <c r="D847" s="20" t="s">
        <v>2569</v>
      </c>
      <c r="E847" s="21" t="s">
        <v>2570</v>
      </c>
      <c r="F847" s="22" t="s">
        <v>2571</v>
      </c>
    </row>
    <row r="848" spans="4:6" ht="12.75">
      <c r="D848" s="20" t="s">
        <v>2572</v>
      </c>
      <c r="E848" s="21" t="s">
        <v>2573</v>
      </c>
      <c r="F848" s="22" t="s">
        <v>2574</v>
      </c>
    </row>
    <row r="849" spans="4:6" ht="12.75">
      <c r="D849" s="20" t="s">
        <v>2575</v>
      </c>
      <c r="E849" s="21" t="s">
        <v>2576</v>
      </c>
      <c r="F849" s="22" t="s">
        <v>2577</v>
      </c>
    </row>
    <row r="850" spans="4:6" ht="12.75">
      <c r="D850" s="20" t="s">
        <v>2578</v>
      </c>
      <c r="E850" s="21" t="s">
        <v>2579</v>
      </c>
      <c r="F850" s="22" t="s">
        <v>2580</v>
      </c>
    </row>
    <row r="851" spans="4:6" ht="12.75">
      <c r="D851" s="20" t="s">
        <v>2581</v>
      </c>
      <c r="E851" s="21" t="s">
        <v>2582</v>
      </c>
      <c r="F851" s="22" t="s">
        <v>2583</v>
      </c>
    </row>
    <row r="852" spans="4:6" ht="12.75">
      <c r="D852" s="20" t="s">
        <v>2584</v>
      </c>
      <c r="E852" s="21" t="s">
        <v>2585</v>
      </c>
      <c r="F852" s="22" t="s">
        <v>2586</v>
      </c>
    </row>
    <row r="853" spans="4:6" ht="12.75">
      <c r="D853" s="20" t="s">
        <v>2587</v>
      </c>
      <c r="E853" s="21" t="s">
        <v>2588</v>
      </c>
      <c r="F853" s="22" t="s">
        <v>2589</v>
      </c>
    </row>
    <row r="854" spans="4:6" ht="12.75">
      <c r="D854" s="20" t="s">
        <v>2590</v>
      </c>
      <c r="E854" s="21" t="s">
        <v>2591</v>
      </c>
      <c r="F854" s="22" t="s">
        <v>2592</v>
      </c>
    </row>
    <row r="855" spans="4:6" ht="12.75">
      <c r="D855" s="20" t="s">
        <v>2593</v>
      </c>
      <c r="E855" s="21" t="s">
        <v>2594</v>
      </c>
      <c r="F855" s="22" t="s">
        <v>2595</v>
      </c>
    </row>
    <row r="856" spans="4:6" ht="12.75">
      <c r="D856" s="20" t="s">
        <v>2596</v>
      </c>
      <c r="E856" s="21" t="s">
        <v>2597</v>
      </c>
      <c r="F856" s="22" t="s">
        <v>2598</v>
      </c>
    </row>
    <row r="857" spans="4:6" ht="12.75">
      <c r="D857" s="20" t="s">
        <v>2599</v>
      </c>
      <c r="E857" s="21" t="s">
        <v>2600</v>
      </c>
      <c r="F857" s="22" t="s">
        <v>2601</v>
      </c>
    </row>
    <row r="858" spans="4:6" ht="12.75">
      <c r="D858" s="20" t="s">
        <v>2602</v>
      </c>
      <c r="E858" s="21" t="s">
        <v>2603</v>
      </c>
      <c r="F858" s="22" t="s">
        <v>2604</v>
      </c>
    </row>
    <row r="859" spans="4:6" ht="12.75">
      <c r="D859" s="20" t="s">
        <v>2605</v>
      </c>
      <c r="E859" s="21" t="s">
        <v>2606</v>
      </c>
      <c r="F859" s="22" t="s">
        <v>2607</v>
      </c>
    </row>
    <row r="860" spans="4:6" ht="12.75">
      <c r="D860" s="20" t="s">
        <v>2608</v>
      </c>
      <c r="E860" s="21" t="s">
        <v>2609</v>
      </c>
      <c r="F860" s="22" t="s">
        <v>2610</v>
      </c>
    </row>
    <row r="861" spans="4:6" ht="12.75">
      <c r="D861" s="20" t="s">
        <v>2611</v>
      </c>
      <c r="E861" s="21" t="s">
        <v>2612</v>
      </c>
      <c r="F861" s="22" t="s">
        <v>2613</v>
      </c>
    </row>
    <row r="862" spans="4:6" ht="12.75">
      <c r="D862" s="20" t="s">
        <v>2614</v>
      </c>
      <c r="E862" s="21" t="s">
        <v>2615</v>
      </c>
      <c r="F862" s="22" t="s">
        <v>2616</v>
      </c>
    </row>
    <row r="863" spans="4:6" ht="12.75">
      <c r="D863" s="20" t="s">
        <v>2617</v>
      </c>
      <c r="E863" s="21" t="s">
        <v>35</v>
      </c>
      <c r="F863" s="22" t="s">
        <v>2618</v>
      </c>
    </row>
    <row r="864" spans="4:6" ht="12.75">
      <c r="D864" s="20" t="s">
        <v>284</v>
      </c>
      <c r="E864" s="21"/>
      <c r="F864" s="22"/>
    </row>
    <row r="865" spans="4:6" ht="12.75">
      <c r="D865" s="20" t="s">
        <v>284</v>
      </c>
      <c r="E865" s="21"/>
      <c r="F865" s="22"/>
    </row>
    <row r="866" spans="4:6" ht="12.75">
      <c r="D866" s="20" t="s">
        <v>284</v>
      </c>
      <c r="E866" s="21"/>
      <c r="F866" s="22"/>
    </row>
    <row r="867" spans="4:6" ht="12.75">
      <c r="D867" s="20" t="s">
        <v>284</v>
      </c>
      <c r="E867" s="21"/>
      <c r="F867" s="22"/>
    </row>
    <row r="868" spans="4:6" ht="12.75">
      <c r="D868" s="20" t="s">
        <v>284</v>
      </c>
      <c r="E868" s="21"/>
      <c r="F868" s="22"/>
    </row>
    <row r="869" spans="4:6" ht="12.75">
      <c r="D869" s="20" t="s">
        <v>284</v>
      </c>
      <c r="E869" s="21"/>
      <c r="F869" s="22"/>
    </row>
    <row r="870" spans="4:6" ht="12.75">
      <c r="D870" s="20" t="s">
        <v>284</v>
      </c>
      <c r="E870" s="21"/>
      <c r="F870" s="22"/>
    </row>
    <row r="871" spans="4:6" ht="12.75">
      <c r="D871" s="20" t="s">
        <v>284</v>
      </c>
      <c r="E871" s="21"/>
      <c r="F871" s="22"/>
    </row>
    <row r="872" spans="4:6" ht="12.75">
      <c r="D872" s="20" t="s">
        <v>284</v>
      </c>
      <c r="E872" s="21"/>
      <c r="F872" s="22"/>
    </row>
    <row r="873" spans="4:6" ht="12.75">
      <c r="D873" s="20" t="s">
        <v>284</v>
      </c>
      <c r="E873" s="21"/>
      <c r="F873" s="22"/>
    </row>
    <row r="874" spans="4:6" ht="12.75">
      <c r="D874" s="20" t="s">
        <v>284</v>
      </c>
      <c r="E874" s="21"/>
      <c r="F874" s="22"/>
    </row>
    <row r="875" spans="4:6" ht="12.75">
      <c r="D875" s="20" t="s">
        <v>2619</v>
      </c>
      <c r="E875" s="21" t="s">
        <v>2620</v>
      </c>
      <c r="F875" s="22" t="s">
        <v>2621</v>
      </c>
    </row>
    <row r="876" spans="4:6" ht="12.75">
      <c r="D876" s="20" t="s">
        <v>2622</v>
      </c>
      <c r="E876" s="21" t="s">
        <v>2623</v>
      </c>
      <c r="F876" s="22" t="s">
        <v>2624</v>
      </c>
    </row>
    <row r="877" spans="4:6" ht="12.75">
      <c r="D877" s="20" t="s">
        <v>2625</v>
      </c>
      <c r="E877" s="21" t="s">
        <v>2626</v>
      </c>
      <c r="F877" s="22" t="s">
        <v>2627</v>
      </c>
    </row>
    <row r="878" spans="4:6" ht="12.75">
      <c r="D878" s="20" t="s">
        <v>2628</v>
      </c>
      <c r="E878" s="21" t="s">
        <v>2629</v>
      </c>
      <c r="F878" s="22" t="s">
        <v>2630</v>
      </c>
    </row>
    <row r="879" spans="4:6" ht="12.75">
      <c r="D879" s="20" t="s">
        <v>2631</v>
      </c>
      <c r="E879" s="21" t="s">
        <v>2632</v>
      </c>
      <c r="F879" s="22" t="s">
        <v>2633</v>
      </c>
    </row>
    <row r="880" spans="4:6" ht="12.75">
      <c r="D880" s="20" t="s">
        <v>2634</v>
      </c>
      <c r="E880" s="21" t="s">
        <v>2635</v>
      </c>
      <c r="F880" s="22" t="s">
        <v>2636</v>
      </c>
    </row>
    <row r="881" spans="4:6" ht="12.75">
      <c r="D881" s="20" t="s">
        <v>2637</v>
      </c>
      <c r="E881" s="21" t="s">
        <v>2638</v>
      </c>
      <c r="F881" s="22" t="s">
        <v>2639</v>
      </c>
    </row>
    <row r="882" spans="4:6" ht="12.75">
      <c r="D882" s="20" t="s">
        <v>2640</v>
      </c>
      <c r="E882" s="21" t="s">
        <v>2641</v>
      </c>
      <c r="F882" s="22" t="s">
        <v>2642</v>
      </c>
    </row>
    <row r="883" spans="4:6" ht="12.75">
      <c r="D883" s="20" t="s">
        <v>2643</v>
      </c>
      <c r="E883" s="21" t="s">
        <v>2644</v>
      </c>
      <c r="F883" s="22" t="s">
        <v>2645</v>
      </c>
    </row>
    <row r="884" spans="4:6" ht="12.75">
      <c r="D884" s="20" t="s">
        <v>2646</v>
      </c>
      <c r="E884" s="21" t="s">
        <v>2647</v>
      </c>
      <c r="F884" s="22" t="s">
        <v>2648</v>
      </c>
    </row>
    <row r="885" spans="4:6" ht="12.75">
      <c r="D885" s="20" t="s">
        <v>2649</v>
      </c>
      <c r="E885" s="21" t="s">
        <v>2650</v>
      </c>
      <c r="F885" s="22" t="s">
        <v>2651</v>
      </c>
    </row>
    <row r="886" spans="4:6" ht="12.75">
      <c r="D886" s="20" t="s">
        <v>2652</v>
      </c>
      <c r="E886" s="21" t="s">
        <v>2653</v>
      </c>
      <c r="F886" s="22" t="s">
        <v>2654</v>
      </c>
    </row>
    <row r="887" spans="4:6" ht="12.75">
      <c r="D887" s="20" t="s">
        <v>2655</v>
      </c>
      <c r="E887" s="21" t="s">
        <v>2656</v>
      </c>
      <c r="F887" s="22" t="s">
        <v>2657</v>
      </c>
    </row>
    <row r="888" spans="4:6" ht="12.75">
      <c r="D888" s="20" t="s">
        <v>2658</v>
      </c>
      <c r="E888" s="21" t="s">
        <v>2659</v>
      </c>
      <c r="F888" s="22" t="s">
        <v>2660</v>
      </c>
    </row>
    <row r="889" spans="4:6" ht="12.75">
      <c r="D889" s="20" t="s">
        <v>2661</v>
      </c>
      <c r="E889" s="21" t="s">
        <v>2662</v>
      </c>
      <c r="F889" s="22"/>
    </row>
    <row r="890" spans="4:6" ht="12.75">
      <c r="D890" s="20" t="s">
        <v>2663</v>
      </c>
      <c r="E890" s="21" t="s">
        <v>2664</v>
      </c>
      <c r="F890" s="22" t="s">
        <v>2665</v>
      </c>
    </row>
    <row r="891" spans="4:6" ht="12.75">
      <c r="D891" s="20" t="s">
        <v>2666</v>
      </c>
      <c r="E891" s="21" t="s">
        <v>2667</v>
      </c>
      <c r="F891" s="22" t="s">
        <v>2668</v>
      </c>
    </row>
    <row r="892" spans="4:6" ht="12.75">
      <c r="D892" s="20" t="s">
        <v>2669</v>
      </c>
      <c r="E892" s="21" t="s">
        <v>2670</v>
      </c>
      <c r="F892" s="22" t="s">
        <v>2671</v>
      </c>
    </row>
    <row r="893" spans="4:6" ht="12.75">
      <c r="D893" s="20" t="s">
        <v>2672</v>
      </c>
      <c r="E893" s="21" t="s">
        <v>2673</v>
      </c>
      <c r="F893" s="22" t="s">
        <v>2674</v>
      </c>
    </row>
    <row r="894" spans="4:6" ht="12.75">
      <c r="D894" s="20" t="s">
        <v>284</v>
      </c>
      <c r="E894" s="21"/>
      <c r="F894" s="22"/>
    </row>
    <row r="895" spans="4:6" ht="12.75">
      <c r="D895" s="20" t="s">
        <v>284</v>
      </c>
      <c r="E895" s="21"/>
      <c r="F895" s="22"/>
    </row>
    <row r="896" spans="4:6" ht="12.75">
      <c r="D896" s="20" t="s">
        <v>2675</v>
      </c>
      <c r="E896" s="21" t="s">
        <v>2676</v>
      </c>
      <c r="F896" s="22" t="s">
        <v>2677</v>
      </c>
    </row>
    <row r="897" spans="4:6" ht="12.75">
      <c r="D897" s="20" t="s">
        <v>2678</v>
      </c>
      <c r="E897" s="21" t="s">
        <v>2679</v>
      </c>
      <c r="F897" s="21" t="s">
        <v>2680</v>
      </c>
    </row>
    <row r="898" spans="4:6" ht="12.75">
      <c r="D898" s="20" t="s">
        <v>2681</v>
      </c>
      <c r="E898" s="21" t="s">
        <v>2682</v>
      </c>
      <c r="F898" s="22" t="s">
        <v>2683</v>
      </c>
    </row>
    <row r="899" spans="4:6" ht="12.75">
      <c r="D899" s="20" t="s">
        <v>2684</v>
      </c>
      <c r="E899" s="21" t="s">
        <v>2685</v>
      </c>
      <c r="F899" s="25" t="s">
        <v>2686</v>
      </c>
    </row>
    <row r="900" spans="4:6" ht="12.75">
      <c r="D900" s="20" t="s">
        <v>2687</v>
      </c>
      <c r="E900" s="21" t="s">
        <v>2688</v>
      </c>
      <c r="F900" s="22" t="s">
        <v>2689</v>
      </c>
    </row>
    <row r="901" spans="4:6" ht="12.75">
      <c r="D901" s="20" t="s">
        <v>2690</v>
      </c>
      <c r="E901" s="21" t="s">
        <v>2691</v>
      </c>
      <c r="F901" s="22" t="s">
        <v>2692</v>
      </c>
    </row>
    <row r="902" spans="4:6" ht="12.75">
      <c r="D902" s="20" t="s">
        <v>2693</v>
      </c>
      <c r="E902" s="21" t="s">
        <v>2694</v>
      </c>
      <c r="F902" s="22" t="s">
        <v>2695</v>
      </c>
    </row>
    <row r="903" spans="4:6" ht="12.75">
      <c r="D903" s="20" t="s">
        <v>2696</v>
      </c>
      <c r="E903" s="21" t="s">
        <v>2697</v>
      </c>
      <c r="F903" s="22" t="s">
        <v>2698</v>
      </c>
    </row>
    <row r="904" spans="4:6" ht="12.75">
      <c r="D904" s="20" t="s">
        <v>284</v>
      </c>
      <c r="E904" s="21"/>
      <c r="F904" s="22"/>
    </row>
    <row r="905" spans="4:6" ht="12.75">
      <c r="D905" s="20" t="s">
        <v>2699</v>
      </c>
      <c r="E905" s="21" t="s">
        <v>2700</v>
      </c>
      <c r="F905" s="22" t="s">
        <v>2701</v>
      </c>
    </row>
    <row r="906" spans="4:6" ht="12.75">
      <c r="D906" s="20" t="s">
        <v>2702</v>
      </c>
      <c r="E906" s="21" t="s">
        <v>2703</v>
      </c>
      <c r="F906" s="22" t="s">
        <v>2704</v>
      </c>
    </row>
    <row r="907" spans="4:6" ht="12.75">
      <c r="D907" s="20" t="s">
        <v>2705</v>
      </c>
      <c r="E907" s="21" t="s">
        <v>2706</v>
      </c>
      <c r="F907" s="22" t="s">
        <v>2707</v>
      </c>
    </row>
    <row r="908" spans="4:6" ht="12.75">
      <c r="D908" s="20" t="s">
        <v>2708</v>
      </c>
      <c r="E908" s="21" t="s">
        <v>2709</v>
      </c>
      <c r="F908" s="22" t="s">
        <v>2710</v>
      </c>
    </row>
    <row r="909" spans="4:6" ht="12.75">
      <c r="D909" s="20" t="s">
        <v>2711</v>
      </c>
      <c r="E909" s="21" t="s">
        <v>2712</v>
      </c>
      <c r="F909" s="22" t="s">
        <v>2713</v>
      </c>
    </row>
    <row r="910" spans="4:6" ht="12.75">
      <c r="D910" s="20" t="s">
        <v>2714</v>
      </c>
      <c r="E910" s="21" t="s">
        <v>2715</v>
      </c>
      <c r="F910" s="22" t="s">
        <v>2716</v>
      </c>
    </row>
    <row r="911" spans="4:6" ht="12.75">
      <c r="D911" s="20" t="s">
        <v>2717</v>
      </c>
      <c r="E911" s="21" t="s">
        <v>2718</v>
      </c>
      <c r="F911" s="22" t="s">
        <v>2719</v>
      </c>
    </row>
    <row r="912" spans="4:6" ht="12.75">
      <c r="D912" s="20" t="s">
        <v>2720</v>
      </c>
      <c r="E912" s="21" t="s">
        <v>2721</v>
      </c>
      <c r="F912" s="22" t="s">
        <v>2722</v>
      </c>
    </row>
    <row r="913" spans="4:6" ht="12.75">
      <c r="D913" s="20" t="s">
        <v>2723</v>
      </c>
      <c r="E913" s="21" t="s">
        <v>2724</v>
      </c>
      <c r="F913" s="22" t="s">
        <v>2725</v>
      </c>
    </row>
    <row r="914" spans="4:6" ht="12.75">
      <c r="D914" s="20" t="s">
        <v>2726</v>
      </c>
      <c r="E914" s="21" t="s">
        <v>2727</v>
      </c>
      <c r="F914" s="22" t="s">
        <v>2728</v>
      </c>
    </row>
    <row r="915" spans="4:6" ht="12.75">
      <c r="D915" s="20" t="s">
        <v>2729</v>
      </c>
      <c r="E915" s="21" t="s">
        <v>2730</v>
      </c>
      <c r="F915" s="22" t="s">
        <v>2731</v>
      </c>
    </row>
    <row r="916" spans="4:6" ht="12.75">
      <c r="D916" s="20" t="s">
        <v>2732</v>
      </c>
      <c r="E916" s="21" t="s">
        <v>2733</v>
      </c>
      <c r="F916" s="22" t="s">
        <v>2734</v>
      </c>
    </row>
    <row r="917" spans="4:6" ht="12.75">
      <c r="D917" s="20" t="s">
        <v>2735</v>
      </c>
      <c r="E917" s="21" t="s">
        <v>2736</v>
      </c>
      <c r="F917" s="22" t="s">
        <v>2737</v>
      </c>
    </row>
    <row r="918" spans="4:6" ht="12.75">
      <c r="D918" s="20" t="s">
        <v>2738</v>
      </c>
      <c r="E918" s="21" t="s">
        <v>2739</v>
      </c>
      <c r="F918" s="22" t="s">
        <v>2740</v>
      </c>
    </row>
    <row r="919" spans="4:6" ht="12.75">
      <c r="D919" s="20" t="s">
        <v>2741</v>
      </c>
      <c r="E919" s="21" t="s">
        <v>2742</v>
      </c>
      <c r="F919" s="22" t="s">
        <v>2743</v>
      </c>
    </row>
    <row r="920" spans="4:6" ht="12.75">
      <c r="D920" s="20" t="s">
        <v>2744</v>
      </c>
      <c r="E920" s="21" t="s">
        <v>2745</v>
      </c>
      <c r="F920" s="22" t="s">
        <v>2746</v>
      </c>
    </row>
    <row r="921" spans="4:6" ht="12.75">
      <c r="D921" s="20" t="s">
        <v>2747</v>
      </c>
      <c r="E921" s="21" t="s">
        <v>2748</v>
      </c>
      <c r="F921" s="22" t="s">
        <v>2749</v>
      </c>
    </row>
    <row r="922" spans="4:6" ht="12.75">
      <c r="D922" s="20" t="s">
        <v>2750</v>
      </c>
      <c r="E922" s="21" t="s">
        <v>2751</v>
      </c>
      <c r="F922" s="22" t="s">
        <v>2752</v>
      </c>
    </row>
    <row r="923" spans="4:6" ht="12.75">
      <c r="D923" s="20" t="s">
        <v>2753</v>
      </c>
      <c r="E923" s="21" t="s">
        <v>2754</v>
      </c>
      <c r="F923" s="22" t="s">
        <v>2755</v>
      </c>
    </row>
    <row r="924" spans="4:6" ht="12.75">
      <c r="D924" s="20" t="s">
        <v>2756</v>
      </c>
      <c r="E924" s="21" t="s">
        <v>2757</v>
      </c>
      <c r="F924" s="22" t="s">
        <v>2758</v>
      </c>
    </row>
    <row r="925" spans="4:6" ht="12.75">
      <c r="D925" s="20" t="s">
        <v>2759</v>
      </c>
      <c r="E925" s="21" t="s">
        <v>2760</v>
      </c>
      <c r="F925" s="22" t="s">
        <v>2761</v>
      </c>
    </row>
    <row r="926" spans="4:6" ht="12.75">
      <c r="D926" s="20" t="s">
        <v>2762</v>
      </c>
      <c r="E926" s="21" t="s">
        <v>2763</v>
      </c>
      <c r="F926" s="22" t="s">
        <v>2764</v>
      </c>
    </row>
    <row r="927" spans="4:6" ht="12.75">
      <c r="D927" s="20" t="s">
        <v>2765</v>
      </c>
      <c r="E927" s="21" t="s">
        <v>2766</v>
      </c>
      <c r="F927" s="22" t="s">
        <v>2767</v>
      </c>
    </row>
    <row r="928" spans="4:6" ht="12.75">
      <c r="D928" s="20" t="s">
        <v>2768</v>
      </c>
      <c r="E928" s="21" t="s">
        <v>2769</v>
      </c>
      <c r="F928" s="22" t="s">
        <v>2770</v>
      </c>
    </row>
    <row r="929" spans="4:6" ht="12.75">
      <c r="D929" s="20" t="s">
        <v>2771</v>
      </c>
      <c r="E929" s="21" t="s">
        <v>2772</v>
      </c>
      <c r="F929" s="22" t="s">
        <v>2773</v>
      </c>
    </row>
    <row r="930" spans="4:6" ht="12.75">
      <c r="D930" s="20" t="s">
        <v>2774</v>
      </c>
      <c r="E930" s="21" t="s">
        <v>2775</v>
      </c>
      <c r="F930" s="22" t="s">
        <v>2776</v>
      </c>
    </row>
    <row r="931" spans="4:6" ht="12.75">
      <c r="D931" s="20" t="s">
        <v>2777</v>
      </c>
      <c r="E931" s="21" t="s">
        <v>2778</v>
      </c>
      <c r="F931" s="25" t="s">
        <v>2779</v>
      </c>
    </row>
    <row r="932" spans="4:6" ht="12.75">
      <c r="D932" s="20" t="s">
        <v>2780</v>
      </c>
      <c r="E932" s="21" t="s">
        <v>2781</v>
      </c>
      <c r="F932" s="22" t="s">
        <v>2782</v>
      </c>
    </row>
    <row r="933" spans="4:6" ht="12.75">
      <c r="D933" s="20" t="s">
        <v>2783</v>
      </c>
      <c r="E933" s="21" t="s">
        <v>2784</v>
      </c>
      <c r="F933" s="22" t="s">
        <v>2785</v>
      </c>
    </row>
    <row r="934" spans="4:6" ht="12.75">
      <c r="D934" s="20" t="s">
        <v>2786</v>
      </c>
      <c r="E934" s="21" t="s">
        <v>2787</v>
      </c>
      <c r="F934" s="22" t="s">
        <v>2788</v>
      </c>
    </row>
    <row r="935" spans="4:6" ht="12.75">
      <c r="D935" s="20" t="s">
        <v>2789</v>
      </c>
      <c r="E935" s="21" t="s">
        <v>2790</v>
      </c>
      <c r="F935" s="22" t="s">
        <v>2791</v>
      </c>
    </row>
    <row r="936" spans="4:6" ht="12.75">
      <c r="D936" s="20" t="s">
        <v>2792</v>
      </c>
      <c r="E936" s="21" t="s">
        <v>2793</v>
      </c>
      <c r="F936" s="22" t="s">
        <v>2794</v>
      </c>
    </row>
    <row r="937" spans="4:6" ht="12.75">
      <c r="D937" s="20" t="s">
        <v>2795</v>
      </c>
      <c r="E937" s="21" t="s">
        <v>2796</v>
      </c>
      <c r="F937" s="22" t="s">
        <v>2797</v>
      </c>
    </row>
    <row r="938" spans="4:6" ht="12.75">
      <c r="D938" s="20" t="s">
        <v>2798</v>
      </c>
      <c r="E938" s="21" t="s">
        <v>2799</v>
      </c>
      <c r="F938" s="22" t="s">
        <v>2800</v>
      </c>
    </row>
    <row r="939" spans="4:6" ht="12.75">
      <c r="D939" s="20" t="s">
        <v>2801</v>
      </c>
      <c r="E939" s="21" t="s">
        <v>2802</v>
      </c>
      <c r="F939" s="22" t="s">
        <v>2803</v>
      </c>
    </row>
    <row r="940" spans="4:6" ht="12.75">
      <c r="D940" s="20" t="s">
        <v>2804</v>
      </c>
      <c r="E940" s="21" t="s">
        <v>2805</v>
      </c>
      <c r="F940" s="22" t="s">
        <v>2806</v>
      </c>
    </row>
    <row r="941" spans="4:6" ht="12.75">
      <c r="D941" s="20" t="s">
        <v>2807</v>
      </c>
      <c r="E941" s="21" t="s">
        <v>2808</v>
      </c>
      <c r="F941" s="22" t="s">
        <v>2809</v>
      </c>
    </row>
    <row r="942" spans="4:6" ht="12.75">
      <c r="D942" s="20" t="s">
        <v>2810</v>
      </c>
      <c r="E942" s="21" t="s">
        <v>2811</v>
      </c>
      <c r="F942" s="22" t="s">
        <v>2812</v>
      </c>
    </row>
    <row r="943" spans="4:6" ht="12.75">
      <c r="D943" s="20" t="s">
        <v>2813</v>
      </c>
      <c r="E943" s="21" t="s">
        <v>2814</v>
      </c>
      <c r="F943" s="22" t="s">
        <v>2815</v>
      </c>
    </row>
    <row r="944" spans="4:6" ht="12.75">
      <c r="D944" s="20" t="s">
        <v>2816</v>
      </c>
      <c r="E944" s="21" t="s">
        <v>2817</v>
      </c>
      <c r="F944" s="22" t="s">
        <v>2818</v>
      </c>
    </row>
    <row r="945" spans="4:6" ht="12.75">
      <c r="D945" s="20" t="s">
        <v>2819</v>
      </c>
      <c r="E945" s="21" t="s">
        <v>2820</v>
      </c>
      <c r="F945" s="22" t="s">
        <v>2821</v>
      </c>
    </row>
    <row r="946" spans="4:6" ht="12.75">
      <c r="D946" s="20" t="s">
        <v>2822</v>
      </c>
      <c r="E946" s="21" t="s">
        <v>2823</v>
      </c>
      <c r="F946" s="22" t="s">
        <v>2824</v>
      </c>
    </row>
    <row r="947" spans="4:6" ht="12.75">
      <c r="D947" s="20" t="s">
        <v>2825</v>
      </c>
      <c r="E947" s="21" t="s">
        <v>2826</v>
      </c>
      <c r="F947" s="22" t="s">
        <v>2827</v>
      </c>
    </row>
    <row r="948" spans="4:6" ht="12.75">
      <c r="D948" s="20" t="s">
        <v>2828</v>
      </c>
      <c r="E948" s="21" t="s">
        <v>2829</v>
      </c>
      <c r="F948" s="25" t="s">
        <v>2830</v>
      </c>
    </row>
    <row r="949" spans="4:6" ht="12.75">
      <c r="D949" s="20" t="s">
        <v>2831</v>
      </c>
      <c r="E949" s="21" t="s">
        <v>2832</v>
      </c>
      <c r="F949" s="22" t="s">
        <v>2833</v>
      </c>
    </row>
    <row r="950" spans="4:6" ht="12.75">
      <c r="D950" s="20" t="s">
        <v>2834</v>
      </c>
      <c r="E950" s="21" t="s">
        <v>2835</v>
      </c>
      <c r="F950" s="22" t="s">
        <v>2836</v>
      </c>
    </row>
    <row r="951" spans="4:6" ht="12.75">
      <c r="D951" s="20" t="s">
        <v>2837</v>
      </c>
      <c r="E951" s="21" t="s">
        <v>2838</v>
      </c>
      <c r="F951" s="22" t="s">
        <v>2839</v>
      </c>
    </row>
    <row r="952" spans="4:6" ht="12.75">
      <c r="D952" s="20" t="s">
        <v>2840</v>
      </c>
      <c r="E952" s="21" t="s">
        <v>2841</v>
      </c>
      <c r="F952" s="22" t="s">
        <v>2842</v>
      </c>
    </row>
    <row r="953" spans="4:6" ht="12.75">
      <c r="D953" s="20" t="s">
        <v>2843</v>
      </c>
      <c r="E953" s="21" t="s">
        <v>2844</v>
      </c>
      <c r="F953" s="22" t="s">
        <v>2845</v>
      </c>
    </row>
    <row r="954" spans="4:6" ht="12.75">
      <c r="D954" s="20" t="s">
        <v>2846</v>
      </c>
      <c r="E954" s="21" t="s">
        <v>2847</v>
      </c>
      <c r="F954" s="22" t="s">
        <v>2848</v>
      </c>
    </row>
    <row r="955" spans="4:6" ht="12.75">
      <c r="D955" s="20" t="s">
        <v>2849</v>
      </c>
      <c r="E955" s="21" t="s">
        <v>2850</v>
      </c>
      <c r="F955" s="22" t="s">
        <v>2851</v>
      </c>
    </row>
    <row r="956" spans="4:6" ht="12.75">
      <c r="D956" s="20" t="s">
        <v>2852</v>
      </c>
      <c r="E956" s="21" t="s">
        <v>2853</v>
      </c>
      <c r="F956" s="22" t="s">
        <v>2854</v>
      </c>
    </row>
    <row r="957" spans="4:6" ht="12.75">
      <c r="D957" s="20" t="s">
        <v>2855</v>
      </c>
      <c r="E957" s="21" t="s">
        <v>2856</v>
      </c>
      <c r="F957" s="22" t="s">
        <v>2857</v>
      </c>
    </row>
    <row r="958" spans="4:6" ht="12.75">
      <c r="D958" s="20" t="s">
        <v>2858</v>
      </c>
      <c r="E958" s="21" t="s">
        <v>2859</v>
      </c>
      <c r="F958" s="22" t="s">
        <v>2860</v>
      </c>
    </row>
    <row r="959" spans="4:6" ht="12.75">
      <c r="D959" s="20" t="s">
        <v>2861</v>
      </c>
      <c r="E959" s="21" t="s">
        <v>2862</v>
      </c>
      <c r="F959" s="22" t="s">
        <v>2863</v>
      </c>
    </row>
    <row r="960" spans="4:6" ht="12.75">
      <c r="D960" s="20" t="s">
        <v>2864</v>
      </c>
      <c r="E960" s="21" t="s">
        <v>2865</v>
      </c>
      <c r="F960" s="22" t="s">
        <v>2866</v>
      </c>
    </row>
    <row r="961" spans="4:6" ht="12.75">
      <c r="D961" s="20" t="s">
        <v>2867</v>
      </c>
      <c r="E961" s="21" t="s">
        <v>2868</v>
      </c>
      <c r="F961" s="22" t="s">
        <v>2869</v>
      </c>
    </row>
    <row r="962" spans="4:6" ht="12.75">
      <c r="D962" s="20" t="s">
        <v>2870</v>
      </c>
      <c r="E962" s="21" t="s">
        <v>2871</v>
      </c>
      <c r="F962" s="22" t="s">
        <v>2872</v>
      </c>
    </row>
    <row r="963" spans="4:6" ht="12.75">
      <c r="D963" s="20" t="s">
        <v>2873</v>
      </c>
      <c r="E963" s="21" t="s">
        <v>2874</v>
      </c>
      <c r="F963" s="22" t="s">
        <v>2875</v>
      </c>
    </row>
    <row r="964" spans="4:6" ht="12.75">
      <c r="D964" s="20" t="s">
        <v>2876</v>
      </c>
      <c r="E964" s="21" t="s">
        <v>2877</v>
      </c>
      <c r="F964" s="22" t="s">
        <v>2878</v>
      </c>
    </row>
    <row r="965" spans="4:6" ht="12.75">
      <c r="D965" s="20" t="s">
        <v>2879</v>
      </c>
      <c r="E965" s="21" t="s">
        <v>2880</v>
      </c>
      <c r="F965" s="22" t="s">
        <v>2881</v>
      </c>
    </row>
    <row r="966" spans="4:6" ht="12.75">
      <c r="D966" s="20" t="s">
        <v>2882</v>
      </c>
      <c r="E966" s="21" t="s">
        <v>2883</v>
      </c>
      <c r="F966" s="22" t="s">
        <v>2884</v>
      </c>
    </row>
    <row r="967" spans="4:6" ht="12.75">
      <c r="D967" s="20" t="s">
        <v>2885</v>
      </c>
      <c r="E967" s="21" t="s">
        <v>2886</v>
      </c>
      <c r="F967" s="22" t="s">
        <v>2887</v>
      </c>
    </row>
    <row r="968" spans="4:6" ht="12.75">
      <c r="D968" s="20" t="s">
        <v>2888</v>
      </c>
      <c r="E968" s="21" t="s">
        <v>2889</v>
      </c>
      <c r="F968" s="22" t="s">
        <v>2890</v>
      </c>
    </row>
    <row r="969" spans="4:6" ht="12.75">
      <c r="D969" s="20" t="s">
        <v>2891</v>
      </c>
      <c r="E969" s="21" t="s">
        <v>2892</v>
      </c>
      <c r="F969" s="22" t="s">
        <v>2893</v>
      </c>
    </row>
    <row r="970" spans="4:6" ht="12.75">
      <c r="D970" s="20" t="s">
        <v>2894</v>
      </c>
      <c r="E970" s="21" t="s">
        <v>2895</v>
      </c>
      <c r="F970" s="22" t="s">
        <v>2896</v>
      </c>
    </row>
    <row r="971" spans="4:6" ht="12.75">
      <c r="D971" s="20" t="s">
        <v>2897</v>
      </c>
      <c r="E971" s="21" t="s">
        <v>2898</v>
      </c>
      <c r="F971" s="22" t="s">
        <v>2899</v>
      </c>
    </row>
    <row r="972" spans="4:6" ht="12.75">
      <c r="D972" s="20" t="s">
        <v>2900</v>
      </c>
      <c r="E972" s="21" t="s">
        <v>2901</v>
      </c>
      <c r="F972" s="22" t="s">
        <v>2902</v>
      </c>
    </row>
    <row r="973" spans="4:6" ht="12.75">
      <c r="D973" s="20" t="s">
        <v>284</v>
      </c>
      <c r="E973" s="21"/>
      <c r="F973" s="22"/>
    </row>
    <row r="974" spans="4:6" ht="12.75">
      <c r="D974" s="20" t="s">
        <v>2903</v>
      </c>
      <c r="E974" s="21" t="s">
        <v>2904</v>
      </c>
      <c r="F974" s="22" t="s">
        <v>2905</v>
      </c>
    </row>
    <row r="975" spans="4:6" ht="12.75">
      <c r="D975" s="20" t="s">
        <v>2906</v>
      </c>
      <c r="E975" s="21" t="s">
        <v>2907</v>
      </c>
      <c r="F975" s="22" t="s">
        <v>2908</v>
      </c>
    </row>
    <row r="976" spans="4:6" ht="12.75">
      <c r="D976" s="20" t="s">
        <v>2909</v>
      </c>
      <c r="E976" s="21" t="s">
        <v>2910</v>
      </c>
      <c r="F976" s="22" t="s">
        <v>2911</v>
      </c>
    </row>
    <row r="977" spans="4:6" ht="12.75">
      <c r="D977" s="20" t="s">
        <v>2912</v>
      </c>
      <c r="E977" s="21" t="s">
        <v>2913</v>
      </c>
      <c r="F977" s="22" t="s">
        <v>2914</v>
      </c>
    </row>
    <row r="978" spans="4:6" ht="12.75">
      <c r="D978" s="20" t="s">
        <v>2915</v>
      </c>
      <c r="E978" s="21" t="s">
        <v>2916</v>
      </c>
      <c r="F978" s="22" t="s">
        <v>2917</v>
      </c>
    </row>
    <row r="979" spans="4:6" ht="12.75">
      <c r="D979" s="20" t="s">
        <v>2918</v>
      </c>
      <c r="E979" s="21" t="s">
        <v>2919</v>
      </c>
      <c r="F979" s="22" t="s">
        <v>2920</v>
      </c>
    </row>
    <row r="980" spans="4:6" ht="15">
      <c r="D980" s="20" t="s">
        <v>284</v>
      </c>
      <c r="E980" s="21"/>
      <c r="F980" s="23"/>
    </row>
    <row r="981" spans="4:6" ht="12.75">
      <c r="D981" s="20" t="s">
        <v>2921</v>
      </c>
      <c r="E981" s="21" t="s">
        <v>2922</v>
      </c>
      <c r="F981" s="22" t="s">
        <v>2923</v>
      </c>
    </row>
    <row r="982" spans="4:6" ht="12.75">
      <c r="D982" s="20" t="s">
        <v>2924</v>
      </c>
      <c r="E982" s="21" t="s">
        <v>2925</v>
      </c>
      <c r="F982" s="22" t="s">
        <v>2926</v>
      </c>
    </row>
    <row r="983" spans="4:6" ht="12.75">
      <c r="D983" s="20" t="s">
        <v>2927</v>
      </c>
      <c r="E983" s="21" t="s">
        <v>2928</v>
      </c>
      <c r="F983" s="22" t="s">
        <v>2929</v>
      </c>
    </row>
    <row r="984" spans="4:6" ht="12.75">
      <c r="D984" s="20" t="s">
        <v>2930</v>
      </c>
      <c r="E984" s="21" t="s">
        <v>2931</v>
      </c>
      <c r="F984" s="22" t="s">
        <v>2932</v>
      </c>
    </row>
    <row r="985" spans="4:6" ht="12.75">
      <c r="D985" s="20" t="s">
        <v>2933</v>
      </c>
      <c r="E985" s="21" t="s">
        <v>2934</v>
      </c>
      <c r="F985" s="22" t="s">
        <v>2935</v>
      </c>
    </row>
    <row r="986" spans="4:6" ht="12.75">
      <c r="D986" s="20" t="s">
        <v>2936</v>
      </c>
      <c r="E986" s="21" t="s">
        <v>2937</v>
      </c>
      <c r="F986" s="22" t="s">
        <v>2938</v>
      </c>
    </row>
    <row r="987" spans="4:6" ht="12.75">
      <c r="D987" s="20" t="s">
        <v>2939</v>
      </c>
      <c r="E987" s="21" t="s">
        <v>2940</v>
      </c>
      <c r="F987" s="22" t="s">
        <v>2941</v>
      </c>
    </row>
    <row r="988" spans="4:6" ht="12.75">
      <c r="D988" s="20" t="s">
        <v>2942</v>
      </c>
      <c r="E988" s="21" t="s">
        <v>2943</v>
      </c>
      <c r="F988" s="22" t="s">
        <v>2944</v>
      </c>
    </row>
    <row r="989" spans="4:6" ht="12.75">
      <c r="D989" s="20" t="s">
        <v>284</v>
      </c>
      <c r="E989" s="21"/>
      <c r="F989" s="22"/>
    </row>
    <row r="990" spans="4:6" ht="12.75">
      <c r="D990" s="20" t="s">
        <v>284</v>
      </c>
      <c r="E990" s="21"/>
      <c r="F990" s="22"/>
    </row>
    <row r="991" spans="4:6" ht="12.75">
      <c r="D991" s="20" t="s">
        <v>2945</v>
      </c>
      <c r="E991" s="21" t="s">
        <v>2946</v>
      </c>
      <c r="F991" s="22" t="s">
        <v>2947</v>
      </c>
    </row>
    <row r="992" spans="4:6" ht="12.75">
      <c r="D992" s="20" t="s">
        <v>2948</v>
      </c>
      <c r="E992" s="21" t="s">
        <v>2949</v>
      </c>
      <c r="F992" s="22" t="s">
        <v>2950</v>
      </c>
    </row>
    <row r="993" spans="4:6" ht="12.75">
      <c r="D993" s="20" t="s">
        <v>2951</v>
      </c>
      <c r="E993" s="21" t="s">
        <v>2952</v>
      </c>
      <c r="F993" s="22"/>
    </row>
    <row r="994" spans="4:6" ht="12.75">
      <c r="D994" s="20" t="s">
        <v>2953</v>
      </c>
      <c r="E994" s="21" t="s">
        <v>2954</v>
      </c>
      <c r="F994" s="22" t="s">
        <v>2955</v>
      </c>
    </row>
    <row r="995" spans="4:6" ht="12.75">
      <c r="D995" s="20" t="s">
        <v>2956</v>
      </c>
      <c r="E995" s="21" t="s">
        <v>2957</v>
      </c>
      <c r="F995" s="22" t="s">
        <v>2958</v>
      </c>
    </row>
    <row r="996" spans="4:6" ht="12.75">
      <c r="D996" s="20" t="s">
        <v>2959</v>
      </c>
      <c r="E996" s="21" t="s">
        <v>2960</v>
      </c>
      <c r="F996" s="22" t="s">
        <v>2961</v>
      </c>
    </row>
    <row r="997" spans="4:6" ht="12.75">
      <c r="D997" s="20" t="s">
        <v>284</v>
      </c>
      <c r="E997" s="21"/>
      <c r="F997" s="22"/>
    </row>
    <row r="998" spans="4:6" ht="12.75">
      <c r="D998" s="20" t="s">
        <v>2962</v>
      </c>
      <c r="E998" s="21" t="s">
        <v>2963</v>
      </c>
      <c r="F998" s="22" t="s">
        <v>2964</v>
      </c>
    </row>
    <row r="999" spans="4:6" ht="12.75">
      <c r="D999" s="20" t="s">
        <v>2965</v>
      </c>
      <c r="E999" s="21" t="s">
        <v>2966</v>
      </c>
      <c r="F999" s="22" t="s">
        <v>2967</v>
      </c>
    </row>
    <row r="1000" spans="4:6" ht="12.75">
      <c r="D1000" s="20" t="s">
        <v>2968</v>
      </c>
      <c r="E1000" s="21" t="s">
        <v>2969</v>
      </c>
      <c r="F1000" s="22" t="s">
        <v>2970</v>
      </c>
    </row>
    <row r="1001" spans="4:6" ht="12.75">
      <c r="D1001" s="20" t="s">
        <v>2971</v>
      </c>
      <c r="E1001" s="21" t="s">
        <v>2972</v>
      </c>
      <c r="F1001" s="22" t="s">
        <v>2973</v>
      </c>
    </row>
    <row r="1002" spans="4:6" ht="12.75">
      <c r="D1002" s="20" t="s">
        <v>2974</v>
      </c>
      <c r="E1002" s="21" t="s">
        <v>2975</v>
      </c>
      <c r="F1002" s="25" t="s">
        <v>2976</v>
      </c>
    </row>
    <row r="1003" spans="4:6" ht="12.75">
      <c r="D1003" s="20" t="s">
        <v>2977</v>
      </c>
      <c r="E1003" s="21" t="s">
        <v>2978</v>
      </c>
      <c r="F1003" s="22" t="s">
        <v>2979</v>
      </c>
    </row>
    <row r="1004" spans="4:6" ht="12.75">
      <c r="D1004" s="20" t="s">
        <v>2980</v>
      </c>
      <c r="E1004" s="21" t="s">
        <v>2981</v>
      </c>
      <c r="F1004" s="22" t="s">
        <v>2982</v>
      </c>
    </row>
    <row r="1005" spans="4:6" ht="12.75">
      <c r="D1005" s="20" t="s">
        <v>2983</v>
      </c>
      <c r="E1005" s="21" t="s">
        <v>2984</v>
      </c>
      <c r="F1005" s="22" t="s">
        <v>2985</v>
      </c>
    </row>
    <row r="1006" spans="4:6" ht="12.75">
      <c r="D1006" s="20" t="s">
        <v>284</v>
      </c>
      <c r="E1006" s="21"/>
      <c r="F1006" s="22"/>
    </row>
    <row r="1007" spans="4:6" ht="12.75">
      <c r="D1007" s="20" t="s">
        <v>2986</v>
      </c>
      <c r="E1007" s="21" t="s">
        <v>2987</v>
      </c>
      <c r="F1007" s="22" t="s">
        <v>2988</v>
      </c>
    </row>
    <row r="1008" spans="4:6" ht="12.75">
      <c r="D1008" s="20" t="s">
        <v>2989</v>
      </c>
      <c r="E1008" s="21" t="s">
        <v>2990</v>
      </c>
      <c r="F1008" s="22" t="s">
        <v>2991</v>
      </c>
    </row>
    <row r="1009" spans="4:6" ht="12.75">
      <c r="D1009" s="20" t="s">
        <v>2992</v>
      </c>
      <c r="E1009" s="21" t="s">
        <v>2993</v>
      </c>
      <c r="F1009" s="22" t="s">
        <v>2994</v>
      </c>
    </row>
    <row r="1010" spans="4:6" ht="12.75">
      <c r="D1010" s="20" t="s">
        <v>2995</v>
      </c>
      <c r="E1010" s="21" t="s">
        <v>2996</v>
      </c>
      <c r="F1010" s="22" t="s">
        <v>2997</v>
      </c>
    </row>
    <row r="1011" spans="4:6" ht="12.75">
      <c r="D1011" s="20" t="s">
        <v>2998</v>
      </c>
      <c r="E1011" s="21" t="s">
        <v>2999</v>
      </c>
      <c r="F1011" s="22" t="s">
        <v>3000</v>
      </c>
    </row>
    <row r="1012" spans="4:6" ht="12.75">
      <c r="D1012" s="20" t="s">
        <v>3001</v>
      </c>
      <c r="E1012" s="21" t="s">
        <v>3002</v>
      </c>
      <c r="F1012" s="22" t="s">
        <v>3003</v>
      </c>
    </row>
    <row r="1013" spans="4:6" ht="12.75">
      <c r="D1013" s="20" t="s">
        <v>3004</v>
      </c>
      <c r="E1013" s="21" t="s">
        <v>3005</v>
      </c>
      <c r="F1013" s="22"/>
    </row>
    <row r="1014" spans="4:6" ht="12.75">
      <c r="D1014" s="20" t="s">
        <v>3006</v>
      </c>
      <c r="E1014" s="21" t="s">
        <v>3007</v>
      </c>
      <c r="F1014" s="22" t="s">
        <v>3008</v>
      </c>
    </row>
    <row r="1015" spans="4:6" ht="12.75">
      <c r="D1015" s="20" t="s">
        <v>3009</v>
      </c>
      <c r="E1015" s="21" t="s">
        <v>3010</v>
      </c>
      <c r="F1015" s="21" t="s">
        <v>3011</v>
      </c>
    </row>
    <row r="1016" spans="4:6" ht="12.75">
      <c r="D1016" s="20" t="s">
        <v>3012</v>
      </c>
      <c r="E1016" s="21" t="s">
        <v>3013</v>
      </c>
      <c r="F1016" s="22" t="s">
        <v>3014</v>
      </c>
    </row>
    <row r="1017" spans="4:6" ht="12.75">
      <c r="D1017" s="20" t="s">
        <v>3015</v>
      </c>
      <c r="E1017" s="21" t="s">
        <v>3016</v>
      </c>
      <c r="F1017" s="22" t="s">
        <v>3017</v>
      </c>
    </row>
    <row r="1018" spans="4:6" ht="12.75">
      <c r="D1018" s="20" t="s">
        <v>3018</v>
      </c>
      <c r="E1018" s="21" t="s">
        <v>3019</v>
      </c>
      <c r="F1018" s="22" t="s">
        <v>3020</v>
      </c>
    </row>
    <row r="1019" spans="4:6" ht="12.75">
      <c r="D1019" s="20" t="s">
        <v>3021</v>
      </c>
      <c r="E1019" s="21" t="s">
        <v>3022</v>
      </c>
      <c r="F1019" s="22" t="s">
        <v>3023</v>
      </c>
    </row>
    <row r="1020" spans="4:6" ht="12.75">
      <c r="D1020" s="20" t="s">
        <v>3024</v>
      </c>
      <c r="E1020" s="21" t="s">
        <v>3025</v>
      </c>
      <c r="F1020" s="22" t="s">
        <v>3026</v>
      </c>
    </row>
    <row r="1021" spans="4:6" ht="12.75">
      <c r="D1021" s="20" t="s">
        <v>3027</v>
      </c>
      <c r="E1021" s="21" t="s">
        <v>3028</v>
      </c>
      <c r="F1021" s="22" t="s">
        <v>3029</v>
      </c>
    </row>
    <row r="1022" spans="4:6" ht="12.75">
      <c r="D1022" s="20" t="s">
        <v>3030</v>
      </c>
      <c r="E1022" s="21" t="s">
        <v>3031</v>
      </c>
      <c r="F1022" s="22" t="s">
        <v>3032</v>
      </c>
    </row>
    <row r="1023" spans="4:6" ht="12.75">
      <c r="D1023" s="20" t="s">
        <v>3033</v>
      </c>
      <c r="E1023" s="21" t="s">
        <v>3034</v>
      </c>
      <c r="F1023" s="22" t="s">
        <v>3035</v>
      </c>
    </row>
    <row r="1024" spans="4:6" ht="12.75">
      <c r="D1024" s="20" t="s">
        <v>3036</v>
      </c>
      <c r="E1024" s="21" t="s">
        <v>3037</v>
      </c>
      <c r="F1024" s="22" t="s">
        <v>3038</v>
      </c>
    </row>
    <row r="1025" spans="4:6" ht="12.75">
      <c r="D1025" s="20" t="s">
        <v>3039</v>
      </c>
      <c r="E1025" s="21" t="s">
        <v>38</v>
      </c>
      <c r="F1025" s="22" t="s">
        <v>3040</v>
      </c>
    </row>
    <row r="1026" spans="4:6" ht="12.75">
      <c r="D1026" s="20" t="s">
        <v>3041</v>
      </c>
      <c r="E1026" s="21" t="s">
        <v>3042</v>
      </c>
      <c r="F1026" s="22" t="s">
        <v>3043</v>
      </c>
    </row>
    <row r="1027" spans="4:6" ht="12.75">
      <c r="D1027" s="20" t="s">
        <v>3044</v>
      </c>
      <c r="E1027" s="21" t="s">
        <v>3045</v>
      </c>
      <c r="F1027" s="22" t="s">
        <v>3046</v>
      </c>
    </row>
    <row r="1028" spans="4:6" ht="12.75">
      <c r="D1028" s="20" t="s">
        <v>3047</v>
      </c>
      <c r="E1028" s="21" t="s">
        <v>3048</v>
      </c>
      <c r="F1028" s="22" t="s">
        <v>3049</v>
      </c>
    </row>
    <row r="1029" spans="4:6" ht="12.75">
      <c r="D1029" s="20" t="s">
        <v>3050</v>
      </c>
      <c r="E1029" s="21" t="s">
        <v>3051</v>
      </c>
      <c r="F1029" s="22" t="s">
        <v>3052</v>
      </c>
    </row>
    <row r="1030" spans="4:6" ht="12.75">
      <c r="D1030" s="20" t="s">
        <v>3053</v>
      </c>
      <c r="E1030" s="21" t="s">
        <v>30</v>
      </c>
      <c r="F1030" s="22" t="s">
        <v>3054</v>
      </c>
    </row>
    <row r="1031" spans="4:6" ht="12.75">
      <c r="D1031" s="20" t="s">
        <v>3055</v>
      </c>
      <c r="E1031" s="21" t="s">
        <v>3056</v>
      </c>
      <c r="F1031" s="22" t="s">
        <v>3057</v>
      </c>
    </row>
    <row r="1032" spans="4:6" ht="12.75">
      <c r="D1032" s="20" t="s">
        <v>3058</v>
      </c>
      <c r="E1032" s="21" t="s">
        <v>3059</v>
      </c>
      <c r="F1032" s="22" t="s">
        <v>3060</v>
      </c>
    </row>
    <row r="1033" spans="4:6" ht="12.75">
      <c r="D1033" s="20" t="s">
        <v>3061</v>
      </c>
      <c r="E1033" s="21" t="s">
        <v>3062</v>
      </c>
      <c r="F1033" s="22" t="s">
        <v>3063</v>
      </c>
    </row>
    <row r="1034" spans="4:6" ht="12.75">
      <c r="D1034" s="20" t="s">
        <v>3064</v>
      </c>
      <c r="E1034" s="21" t="s">
        <v>3065</v>
      </c>
      <c r="F1034" s="22" t="s">
        <v>3066</v>
      </c>
    </row>
    <row r="1035" spans="4:6" ht="12.75">
      <c r="D1035" s="20" t="s">
        <v>3067</v>
      </c>
      <c r="E1035" s="21" t="s">
        <v>3068</v>
      </c>
      <c r="F1035" s="21" t="s">
        <v>3069</v>
      </c>
    </row>
    <row r="1036" spans="4:6" ht="12.75">
      <c r="D1036" s="20" t="s">
        <v>3070</v>
      </c>
      <c r="E1036" s="21" t="s">
        <v>3071</v>
      </c>
      <c r="F1036" s="22" t="s">
        <v>3072</v>
      </c>
    </row>
    <row r="1037" spans="4:6" ht="12.75">
      <c r="D1037" s="20" t="s">
        <v>3073</v>
      </c>
      <c r="E1037" s="21" t="s">
        <v>3074</v>
      </c>
      <c r="F1037" s="22" t="s">
        <v>3075</v>
      </c>
    </row>
    <row r="1038" spans="4:6" ht="12.75">
      <c r="D1038" s="20" t="s">
        <v>3076</v>
      </c>
      <c r="E1038" s="21" t="s">
        <v>36</v>
      </c>
      <c r="F1038" s="22" t="s">
        <v>3077</v>
      </c>
    </row>
    <row r="1039" spans="4:6" ht="12.75">
      <c r="D1039" s="20" t="s">
        <v>3078</v>
      </c>
      <c r="E1039" s="21" t="s">
        <v>3079</v>
      </c>
      <c r="F1039" s="22" t="s">
        <v>3080</v>
      </c>
    </row>
    <row r="1040" spans="4:6" ht="12.75">
      <c r="D1040" s="20" t="s">
        <v>3081</v>
      </c>
      <c r="E1040" s="21" t="s">
        <v>3082</v>
      </c>
      <c r="F1040" s="22" t="s">
        <v>3083</v>
      </c>
    </row>
    <row r="1041" spans="4:6" ht="12.75">
      <c r="D1041" s="20" t="s">
        <v>3084</v>
      </c>
      <c r="E1041" s="21" t="s">
        <v>3085</v>
      </c>
      <c r="F1041" s="22" t="s">
        <v>3086</v>
      </c>
    </row>
    <row r="1042" spans="4:6" ht="12.75">
      <c r="D1042" s="20" t="s">
        <v>3087</v>
      </c>
      <c r="E1042" s="21" t="s">
        <v>3088</v>
      </c>
      <c r="F1042" s="22" t="s">
        <v>3089</v>
      </c>
    </row>
    <row r="1043" spans="4:6" ht="12.75">
      <c r="D1043" s="20" t="s">
        <v>3090</v>
      </c>
      <c r="E1043" s="21" t="s">
        <v>3091</v>
      </c>
      <c r="F1043" s="22" t="s">
        <v>3092</v>
      </c>
    </row>
    <row r="1044" spans="4:6" ht="12.75">
      <c r="D1044" s="20" t="s">
        <v>3093</v>
      </c>
      <c r="E1044" s="21" t="s">
        <v>3094</v>
      </c>
      <c r="F1044" s="21" t="s">
        <v>3095</v>
      </c>
    </row>
    <row r="1045" spans="4:6" ht="12.75">
      <c r="D1045" s="20" t="s">
        <v>3096</v>
      </c>
      <c r="E1045" s="21" t="s">
        <v>3097</v>
      </c>
      <c r="F1045" s="21" t="s">
        <v>3098</v>
      </c>
    </row>
    <row r="1046" spans="4:6" ht="12.75">
      <c r="D1046" s="20" t="s">
        <v>3099</v>
      </c>
      <c r="E1046" s="21" t="s">
        <v>3100</v>
      </c>
      <c r="F1046" s="25" t="s">
        <v>3101</v>
      </c>
    </row>
    <row r="1047" spans="4:6" ht="12.75">
      <c r="D1047" s="20" t="s">
        <v>3102</v>
      </c>
      <c r="E1047" s="21" t="s">
        <v>3103</v>
      </c>
      <c r="F1047" s="22" t="s">
        <v>3104</v>
      </c>
    </row>
    <row r="1048" spans="4:6" ht="12.75">
      <c r="D1048" s="20" t="s">
        <v>3105</v>
      </c>
      <c r="E1048" s="21" t="s">
        <v>3106</v>
      </c>
      <c r="F1048" s="22" t="s">
        <v>3107</v>
      </c>
    </row>
    <row r="1049" spans="4:6" ht="12.75">
      <c r="D1049" s="20" t="s">
        <v>3108</v>
      </c>
      <c r="E1049" s="21" t="s">
        <v>3109</v>
      </c>
      <c r="F1049" s="22" t="s">
        <v>3110</v>
      </c>
    </row>
    <row r="1050" spans="4:6" ht="12.75">
      <c r="D1050" s="20" t="s">
        <v>3111</v>
      </c>
      <c r="E1050" s="21" t="s">
        <v>3112</v>
      </c>
      <c r="F1050" s="22" t="s">
        <v>3113</v>
      </c>
    </row>
    <row r="1051" spans="4:6" ht="12.75">
      <c r="D1051" s="20" t="s">
        <v>3114</v>
      </c>
      <c r="E1051" s="21" t="s">
        <v>3115</v>
      </c>
      <c r="F1051" s="22" t="s">
        <v>3116</v>
      </c>
    </row>
    <row r="1052" spans="4:6" ht="12.75">
      <c r="D1052" s="20" t="s">
        <v>3117</v>
      </c>
      <c r="E1052" s="21" t="s">
        <v>3118</v>
      </c>
      <c r="F1052" s="22" t="s">
        <v>3119</v>
      </c>
    </row>
    <row r="1053" spans="4:6" ht="12.75">
      <c r="D1053" s="20" t="s">
        <v>3120</v>
      </c>
      <c r="E1053" s="21" t="s">
        <v>3121</v>
      </c>
      <c r="F1053" s="22" t="s">
        <v>3122</v>
      </c>
    </row>
    <row r="1054" spans="4:6" ht="12.75">
      <c r="D1054" s="20" t="s">
        <v>3123</v>
      </c>
      <c r="E1054" s="21" t="s">
        <v>3124</v>
      </c>
      <c r="F1054" s="22" t="s">
        <v>3125</v>
      </c>
    </row>
    <row r="1055" spans="4:6" ht="12.75">
      <c r="D1055" s="20" t="s">
        <v>3126</v>
      </c>
      <c r="E1055" s="21" t="s">
        <v>3127</v>
      </c>
      <c r="F1055" s="22" t="s">
        <v>3128</v>
      </c>
    </row>
    <row r="1056" spans="4:6" ht="12.75">
      <c r="D1056" s="20" t="s">
        <v>3129</v>
      </c>
      <c r="E1056" s="21" t="s">
        <v>3130</v>
      </c>
      <c r="F1056" s="22" t="s">
        <v>3131</v>
      </c>
    </row>
    <row r="1057" spans="4:6" ht="12.75">
      <c r="D1057" s="20" t="s">
        <v>3132</v>
      </c>
      <c r="E1057" s="21" t="s">
        <v>3133</v>
      </c>
      <c r="F1057" s="22" t="s">
        <v>3134</v>
      </c>
    </row>
    <row r="1058" spans="4:6" ht="12.75">
      <c r="D1058" s="20" t="s">
        <v>3135</v>
      </c>
      <c r="E1058" s="21" t="s">
        <v>3136</v>
      </c>
      <c r="F1058" s="22" t="s">
        <v>3137</v>
      </c>
    </row>
    <row r="1059" spans="4:6" ht="12.75">
      <c r="D1059" s="20" t="s">
        <v>3138</v>
      </c>
      <c r="E1059" s="21" t="s">
        <v>3139</v>
      </c>
      <c r="F1059" s="22" t="s">
        <v>3140</v>
      </c>
    </row>
    <row r="1060" spans="4:6" ht="12.75">
      <c r="D1060" s="20" t="s">
        <v>3141</v>
      </c>
      <c r="E1060" s="21" t="s">
        <v>3142</v>
      </c>
      <c r="F1060" s="22" t="s">
        <v>3143</v>
      </c>
    </row>
    <row r="1061" spans="4:6" ht="12.75">
      <c r="D1061" s="20" t="s">
        <v>3144</v>
      </c>
      <c r="E1061" s="21" t="s">
        <v>3145</v>
      </c>
      <c r="F1061" s="25" t="s">
        <v>3146</v>
      </c>
    </row>
    <row r="1062" spans="4:6" ht="12.75">
      <c r="D1062" s="20" t="s">
        <v>3147</v>
      </c>
      <c r="E1062" s="21" t="s">
        <v>3148</v>
      </c>
      <c r="F1062" s="22" t="s">
        <v>3149</v>
      </c>
    </row>
    <row r="1063" spans="4:6" ht="12.75">
      <c r="D1063" s="20" t="s">
        <v>3150</v>
      </c>
      <c r="E1063" s="21" t="s">
        <v>3151</v>
      </c>
      <c r="F1063" s="22" t="s">
        <v>3152</v>
      </c>
    </row>
    <row r="1064" spans="4:6" ht="12.75">
      <c r="D1064" s="20" t="s">
        <v>3153</v>
      </c>
      <c r="E1064" s="21" t="s">
        <v>3154</v>
      </c>
      <c r="F1064" s="22" t="s">
        <v>3155</v>
      </c>
    </row>
    <row r="1065" spans="4:6" ht="12.75">
      <c r="D1065" s="20" t="s">
        <v>3156</v>
      </c>
      <c r="E1065" s="21" t="s">
        <v>3157</v>
      </c>
      <c r="F1065" s="22" t="s">
        <v>3158</v>
      </c>
    </row>
    <row r="1066" spans="4:6" ht="12.75">
      <c r="D1066" s="20" t="s">
        <v>3159</v>
      </c>
      <c r="E1066" s="21" t="s">
        <v>3160</v>
      </c>
      <c r="F1066" s="22" t="s">
        <v>3161</v>
      </c>
    </row>
    <row r="1067" spans="4:6" ht="12.75">
      <c r="D1067" s="20" t="s">
        <v>3162</v>
      </c>
      <c r="E1067" s="21" t="s">
        <v>3163</v>
      </c>
      <c r="F1067" s="22" t="s">
        <v>3164</v>
      </c>
    </row>
    <row r="1068" spans="4:6" ht="12.75">
      <c r="D1068" s="20" t="s">
        <v>3165</v>
      </c>
      <c r="E1068" s="21" t="s">
        <v>3166</v>
      </c>
      <c r="F1068" s="22" t="s">
        <v>3167</v>
      </c>
    </row>
    <row r="1069" spans="4:6" ht="12.75">
      <c r="D1069" s="20" t="s">
        <v>3168</v>
      </c>
      <c r="E1069" s="21" t="s">
        <v>3169</v>
      </c>
      <c r="F1069" s="25" t="s">
        <v>3170</v>
      </c>
    </row>
    <row r="1070" spans="4:6" ht="12.75">
      <c r="D1070" s="20" t="s">
        <v>3171</v>
      </c>
      <c r="E1070" s="21" t="s">
        <v>3172</v>
      </c>
      <c r="F1070" s="22" t="s">
        <v>3173</v>
      </c>
    </row>
    <row r="1071" spans="4:6" ht="12.75">
      <c r="D1071" s="20" t="s">
        <v>3174</v>
      </c>
      <c r="E1071" s="21" t="s">
        <v>3175</v>
      </c>
      <c r="F1071" s="22" t="s">
        <v>3176</v>
      </c>
    </row>
    <row r="1072" spans="4:6" ht="12.75">
      <c r="D1072" s="20" t="s">
        <v>3177</v>
      </c>
      <c r="E1072" s="21" t="s">
        <v>3178</v>
      </c>
      <c r="F1072" s="22" t="s">
        <v>3179</v>
      </c>
    </row>
    <row r="1073" spans="4:6" ht="12.75">
      <c r="D1073" s="20" t="s">
        <v>3180</v>
      </c>
      <c r="E1073" s="21" t="s">
        <v>3181</v>
      </c>
      <c r="F1073" s="22" t="s">
        <v>3182</v>
      </c>
    </row>
    <row r="1074" spans="4:6" ht="12.75">
      <c r="D1074" s="20" t="s">
        <v>3183</v>
      </c>
      <c r="E1074" s="21" t="s">
        <v>3184</v>
      </c>
      <c r="F1074" s="22" t="s">
        <v>3185</v>
      </c>
    </row>
    <row r="1075" spans="4:6" ht="12.75">
      <c r="D1075" s="20" t="s">
        <v>3186</v>
      </c>
      <c r="E1075" s="21" t="s">
        <v>3187</v>
      </c>
      <c r="F1075" s="25" t="s">
        <v>3188</v>
      </c>
    </row>
    <row r="1076" spans="4:6" ht="12.75">
      <c r="D1076" s="20" t="s">
        <v>3189</v>
      </c>
      <c r="E1076" s="21" t="s">
        <v>3190</v>
      </c>
      <c r="F1076" s="22" t="s">
        <v>3191</v>
      </c>
    </row>
    <row r="1077" spans="4:6" ht="12.75">
      <c r="D1077" s="20" t="s">
        <v>3192</v>
      </c>
      <c r="E1077" s="21" t="s">
        <v>3193</v>
      </c>
      <c r="F1077" s="22" t="s">
        <v>3194</v>
      </c>
    </row>
    <row r="1078" spans="4:6" ht="12.75">
      <c r="D1078" s="20" t="s">
        <v>3195</v>
      </c>
      <c r="E1078" s="21" t="s">
        <v>3196</v>
      </c>
      <c r="F1078" s="22" t="s">
        <v>3197</v>
      </c>
    </row>
    <row r="1079" spans="4:6" ht="12.75">
      <c r="D1079" s="20" t="s">
        <v>3198</v>
      </c>
      <c r="E1079" s="21" t="s">
        <v>3199</v>
      </c>
      <c r="F1079" s="22" t="s">
        <v>3200</v>
      </c>
    </row>
    <row r="1080" spans="4:6" ht="12.75">
      <c r="D1080" s="20" t="s">
        <v>3201</v>
      </c>
      <c r="E1080" s="21" t="s">
        <v>37</v>
      </c>
      <c r="F1080" s="22" t="s">
        <v>3202</v>
      </c>
    </row>
    <row r="1081" spans="4:6" ht="12.75">
      <c r="D1081" s="20" t="s">
        <v>3203</v>
      </c>
      <c r="E1081" s="21" t="s">
        <v>3204</v>
      </c>
      <c r="F1081" s="22" t="s">
        <v>3205</v>
      </c>
    </row>
    <row r="1082" spans="4:6" ht="12.75">
      <c r="D1082" s="20" t="s">
        <v>3206</v>
      </c>
      <c r="E1082" s="21" t="s">
        <v>3207</v>
      </c>
      <c r="F1082" s="22" t="s">
        <v>3208</v>
      </c>
    </row>
    <row r="1083" spans="4:6" ht="12.75">
      <c r="D1083" s="20" t="s">
        <v>3209</v>
      </c>
      <c r="E1083" s="21" t="s">
        <v>3210</v>
      </c>
      <c r="F1083" s="22" t="s">
        <v>3211</v>
      </c>
    </row>
    <row r="1084" spans="4:6" ht="12.75">
      <c r="D1084" s="20" t="s">
        <v>3212</v>
      </c>
      <c r="E1084" s="21" t="s">
        <v>3213</v>
      </c>
      <c r="F1084" s="21" t="s">
        <v>3214</v>
      </c>
    </row>
    <row r="1085" spans="4:6" ht="12.75">
      <c r="D1085" s="20" t="s">
        <v>3215</v>
      </c>
      <c r="E1085" s="21" t="s">
        <v>3216</v>
      </c>
      <c r="F1085" s="22" t="s">
        <v>3217</v>
      </c>
    </row>
    <row r="1086" spans="4:6" ht="12.75">
      <c r="D1086" s="20" t="s">
        <v>3218</v>
      </c>
      <c r="E1086" s="21" t="s">
        <v>3219</v>
      </c>
      <c r="F1086" s="22" t="s">
        <v>3220</v>
      </c>
    </row>
    <row r="1087" spans="4:6" ht="12.75">
      <c r="D1087" s="20" t="s">
        <v>3221</v>
      </c>
      <c r="E1087" s="21" t="s">
        <v>3222</v>
      </c>
      <c r="F1087" s="22" t="s">
        <v>3223</v>
      </c>
    </row>
    <row r="1088" spans="4:6" ht="12.75">
      <c r="D1088" s="20" t="s">
        <v>3224</v>
      </c>
      <c r="E1088" s="21" t="s">
        <v>3225</v>
      </c>
      <c r="F1088" s="22" t="s">
        <v>3226</v>
      </c>
    </row>
    <row r="1089" spans="4:6" ht="12.75">
      <c r="D1089" s="20" t="s">
        <v>3227</v>
      </c>
      <c r="E1089" s="21" t="s">
        <v>3228</v>
      </c>
      <c r="F1089" s="22" t="s">
        <v>3229</v>
      </c>
    </row>
    <row r="1090" spans="4:6" ht="12.75">
      <c r="D1090" s="20" t="s">
        <v>3230</v>
      </c>
      <c r="E1090" s="21" t="s">
        <v>3231</v>
      </c>
      <c r="F1090" s="22" t="s">
        <v>3232</v>
      </c>
    </row>
    <row r="1091" spans="4:6" ht="12.75">
      <c r="D1091" s="20" t="s">
        <v>3233</v>
      </c>
      <c r="E1091" s="21" t="s">
        <v>3234</v>
      </c>
      <c r="F1091" s="22" t="s">
        <v>3235</v>
      </c>
    </row>
    <row r="1092" spans="4:6" ht="12.75">
      <c r="D1092" s="20" t="s">
        <v>3236</v>
      </c>
      <c r="E1092" s="21" t="s">
        <v>3237</v>
      </c>
      <c r="F1092" s="22" t="s">
        <v>3238</v>
      </c>
    </row>
    <row r="1093" spans="4:6" ht="12.75">
      <c r="D1093" s="20" t="s">
        <v>3239</v>
      </c>
      <c r="E1093" s="21" t="s">
        <v>3240</v>
      </c>
      <c r="F1093" s="22" t="s">
        <v>3241</v>
      </c>
    </row>
    <row r="1094" spans="4:6" ht="12.75">
      <c r="D1094" s="20" t="s">
        <v>3242</v>
      </c>
      <c r="E1094" s="21" t="s">
        <v>33</v>
      </c>
      <c r="F1094" s="22" t="s">
        <v>3243</v>
      </c>
    </row>
    <row r="1095" spans="4:6" ht="12.75">
      <c r="D1095" s="29" t="s">
        <v>3244</v>
      </c>
      <c r="E1095" s="30" t="s">
        <v>3245</v>
      </c>
      <c r="F1095" s="31" t="s">
        <v>3246</v>
      </c>
    </row>
    <row r="1096" spans="4:6" ht="12.75">
      <c r="D1096" s="32" t="s">
        <v>3247</v>
      </c>
      <c r="E1096" s="33" t="s">
        <v>21</v>
      </c>
      <c r="F1096" s="34" t="s">
        <v>3248</v>
      </c>
    </row>
    <row r="1097" spans="4:6" ht="12.75">
      <c r="D1097" s="32" t="s">
        <v>3249</v>
      </c>
      <c r="E1097" s="33" t="s">
        <v>3250</v>
      </c>
      <c r="F1097" s="34" t="s">
        <v>3251</v>
      </c>
    </row>
    <row r="1098" spans="4:6" ht="12.75">
      <c r="D1098" s="32" t="s">
        <v>3252</v>
      </c>
      <c r="E1098" s="33" t="s">
        <v>22</v>
      </c>
      <c r="F1098" s="34" t="s">
        <v>3253</v>
      </c>
    </row>
    <row r="1099" spans="4:6" ht="12.75">
      <c r="D1099" s="32" t="s">
        <v>3254</v>
      </c>
      <c r="E1099" s="33" t="s">
        <v>3255</v>
      </c>
      <c r="F1099" s="34" t="s">
        <v>3256</v>
      </c>
    </row>
    <row r="1100" spans="4:6" ht="12.75">
      <c r="D1100" s="20" t="s">
        <v>3257</v>
      </c>
      <c r="E1100" s="21" t="s">
        <v>3258</v>
      </c>
      <c r="F1100" s="22" t="s">
        <v>3259</v>
      </c>
    </row>
    <row r="1101" spans="4:6" ht="12.75">
      <c r="D1101" s="20" t="s">
        <v>3260</v>
      </c>
      <c r="E1101" s="21" t="s">
        <v>3261</v>
      </c>
      <c r="F1101" s="22" t="s">
        <v>3262</v>
      </c>
    </row>
    <row r="1102" spans="4:6" ht="12.75">
      <c r="D1102" s="20" t="s">
        <v>3263</v>
      </c>
      <c r="E1102" s="21" t="s">
        <v>3264</v>
      </c>
      <c r="F1102" s="22" t="s">
        <v>3265</v>
      </c>
    </row>
    <row r="1103" spans="4:6" ht="12.75">
      <c r="D1103" s="20" t="s">
        <v>3266</v>
      </c>
      <c r="E1103" s="21" t="s">
        <v>3267</v>
      </c>
      <c r="F1103" s="22" t="s">
        <v>3268</v>
      </c>
    </row>
    <row r="1104" spans="4:6" ht="12.75">
      <c r="D1104" s="20" t="s">
        <v>3269</v>
      </c>
      <c r="E1104" s="21" t="s">
        <v>3270</v>
      </c>
      <c r="F1104" s="22" t="s">
        <v>3271</v>
      </c>
    </row>
    <row r="1105" spans="4:6" ht="12.75">
      <c r="D1105" s="20" t="s">
        <v>3272</v>
      </c>
      <c r="E1105" s="21" t="s">
        <v>3273</v>
      </c>
      <c r="F1105" s="22" t="s">
        <v>3274</v>
      </c>
    </row>
    <row r="1106" spans="4:6" ht="12.75">
      <c r="D1106" s="20"/>
      <c r="E1106" s="21" t="s">
        <v>3275</v>
      </c>
      <c r="F1106" s="22" t="s">
        <v>3276</v>
      </c>
    </row>
    <row r="1107" spans="4:6" ht="12.75">
      <c r="D1107" s="20" t="s">
        <v>3277</v>
      </c>
      <c r="E1107" s="21" t="s">
        <v>3278</v>
      </c>
      <c r="F1107" s="25" t="s">
        <v>3279</v>
      </c>
    </row>
    <row r="1108" spans="4:6" ht="12.75">
      <c r="D1108" s="20" t="s">
        <v>3280</v>
      </c>
      <c r="E1108" s="21" t="s">
        <v>3281</v>
      </c>
      <c r="F1108" s="22" t="s">
        <v>3282</v>
      </c>
    </row>
    <row r="1109" spans="4:6" ht="12.75">
      <c r="D1109" s="20" t="s">
        <v>3283</v>
      </c>
      <c r="E1109" s="21" t="s">
        <v>3284</v>
      </c>
      <c r="F1109" s="22" t="s">
        <v>3285</v>
      </c>
    </row>
    <row r="1110" spans="4:6" ht="12.75">
      <c r="D1110" s="20" t="s">
        <v>3286</v>
      </c>
      <c r="E1110" s="21" t="s">
        <v>3287</v>
      </c>
      <c r="F1110" s="22" t="s">
        <v>3288</v>
      </c>
    </row>
    <row r="1111" spans="4:6" ht="12.75">
      <c r="D1111" s="20" t="s">
        <v>3289</v>
      </c>
      <c r="E1111" s="21" t="s">
        <v>3290</v>
      </c>
      <c r="F1111" s="22" t="s">
        <v>3291</v>
      </c>
    </row>
    <row r="1112" spans="4:6" ht="12.75">
      <c r="D1112" s="29" t="s">
        <v>3292</v>
      </c>
      <c r="E1112" s="30" t="s">
        <v>3293</v>
      </c>
      <c r="F1112" s="31" t="s">
        <v>3294</v>
      </c>
    </row>
    <row r="1113" spans="4:6" ht="12.75">
      <c r="D1113" s="32" t="s">
        <v>3295</v>
      </c>
      <c r="E1113" s="33" t="s">
        <v>46</v>
      </c>
      <c r="F1113" s="34" t="s">
        <v>3296</v>
      </c>
    </row>
    <row r="1114" spans="4:6" ht="12.75">
      <c r="D1114" s="32" t="s">
        <v>3297</v>
      </c>
      <c r="E1114" s="33" t="s">
        <v>3298</v>
      </c>
      <c r="F1114" s="34" t="s">
        <v>3299</v>
      </c>
    </row>
    <row r="1115" spans="4:6" ht="12.75">
      <c r="D1115" s="32" t="s">
        <v>3300</v>
      </c>
      <c r="E1115" s="33" t="s">
        <v>3301</v>
      </c>
      <c r="F1115" s="34" t="s">
        <v>3302</v>
      </c>
    </row>
    <row r="1116" spans="4:6" ht="12.75">
      <c r="D1116" s="32" t="s">
        <v>3303</v>
      </c>
      <c r="E1116" s="33" t="s">
        <v>3304</v>
      </c>
      <c r="F1116" s="34" t="s">
        <v>3305</v>
      </c>
    </row>
    <row r="1117" spans="4:6" ht="12.75">
      <c r="D1117" s="32" t="s">
        <v>3306</v>
      </c>
      <c r="E1117" s="33" t="s">
        <v>3307</v>
      </c>
      <c r="F1117" s="34" t="s">
        <v>3308</v>
      </c>
    </row>
    <row r="1118" spans="4:6" ht="12.75">
      <c r="D1118" s="32" t="s">
        <v>3309</v>
      </c>
      <c r="E1118" s="33" t="s">
        <v>3310</v>
      </c>
      <c r="F1118" s="33" t="s">
        <v>3311</v>
      </c>
    </row>
    <row r="1119" spans="4:6" ht="12.75">
      <c r="D1119" s="32" t="s">
        <v>3312</v>
      </c>
      <c r="E1119" s="33" t="s">
        <v>3313</v>
      </c>
      <c r="F1119" s="34" t="s">
        <v>3314</v>
      </c>
    </row>
    <row r="1120" spans="4:6" ht="12.75">
      <c r="D1120" s="20" t="s">
        <v>3315</v>
      </c>
      <c r="E1120" s="21" t="s">
        <v>3316</v>
      </c>
      <c r="F1120" s="22" t="s">
        <v>3317</v>
      </c>
    </row>
    <row r="1121" spans="4:6" ht="12.75">
      <c r="D1121" s="20" t="s">
        <v>3318</v>
      </c>
      <c r="E1121" s="21" t="s">
        <v>3319</v>
      </c>
      <c r="F1121" s="22" t="s">
        <v>3320</v>
      </c>
    </row>
    <row r="1122" spans="4:6" ht="12.75">
      <c r="D1122" s="20" t="s">
        <v>3321</v>
      </c>
      <c r="E1122" s="21" t="s">
        <v>3322</v>
      </c>
      <c r="F1122" s="22" t="s">
        <v>3323</v>
      </c>
    </row>
    <row r="1123" spans="4:6" ht="12.75">
      <c r="D1123" s="20" t="s">
        <v>3324</v>
      </c>
      <c r="E1123" s="21" t="s">
        <v>3325</v>
      </c>
      <c r="F1123" s="22" t="s">
        <v>3326</v>
      </c>
    </row>
    <row r="1124" spans="4:6" ht="12.75">
      <c r="D1124" s="20" t="s">
        <v>3327</v>
      </c>
      <c r="E1124" s="21" t="s">
        <v>3328</v>
      </c>
      <c r="F1124" s="25" t="s">
        <v>3329</v>
      </c>
    </row>
    <row r="1125" spans="4:6" ht="12.75">
      <c r="D1125" s="20" t="s">
        <v>3330</v>
      </c>
      <c r="E1125" s="21" t="s">
        <v>3331</v>
      </c>
      <c r="F1125" s="22" t="s">
        <v>3332</v>
      </c>
    </row>
    <row r="1126" spans="4:6" ht="12.75">
      <c r="D1126" s="29" t="s">
        <v>3333</v>
      </c>
      <c r="E1126" s="30" t="s">
        <v>3334</v>
      </c>
      <c r="F1126" s="35" t="s">
        <v>3335</v>
      </c>
    </row>
    <row r="1127" spans="4:6" ht="12.75">
      <c r="D1127" s="32" t="s">
        <v>3336</v>
      </c>
      <c r="E1127" s="33" t="s">
        <v>47</v>
      </c>
      <c r="F1127" s="34" t="s">
        <v>3337</v>
      </c>
    </row>
    <row r="1128" spans="4:6" ht="12.75">
      <c r="D1128" s="32" t="s">
        <v>3338</v>
      </c>
      <c r="E1128" s="33" t="s">
        <v>3339</v>
      </c>
      <c r="F1128" s="34" t="s">
        <v>3340</v>
      </c>
    </row>
    <row r="1129" spans="4:6" ht="12.75">
      <c r="D1129" s="32" t="s">
        <v>3341</v>
      </c>
      <c r="E1129" s="33" t="s">
        <v>3342</v>
      </c>
      <c r="F1129" s="34" t="s">
        <v>3343</v>
      </c>
    </row>
    <row r="1130" spans="4:6" ht="12.75">
      <c r="D1130" s="32" t="s">
        <v>3344</v>
      </c>
      <c r="E1130" s="33" t="s">
        <v>3345</v>
      </c>
      <c r="F1130" s="34" t="s">
        <v>3346</v>
      </c>
    </row>
    <row r="1131" spans="4:6" ht="12.75">
      <c r="D1131" s="32" t="s">
        <v>3347</v>
      </c>
      <c r="E1131" s="33" t="s">
        <v>3348</v>
      </c>
      <c r="F1131" s="34" t="s">
        <v>3349</v>
      </c>
    </row>
    <row r="1132" spans="4:6" ht="12.75">
      <c r="D1132" s="32" t="s">
        <v>3350</v>
      </c>
      <c r="E1132" s="33" t="s">
        <v>3351</v>
      </c>
      <c r="F1132" s="34" t="s">
        <v>3352</v>
      </c>
    </row>
    <row r="1133" spans="4:6" ht="12.75">
      <c r="D1133" s="32" t="s">
        <v>3353</v>
      </c>
      <c r="E1133" s="33" t="s">
        <v>17</v>
      </c>
      <c r="F1133" s="34" t="s">
        <v>3354</v>
      </c>
    </row>
    <row r="1134" spans="4:6" ht="12.75">
      <c r="D1134" s="32" t="s">
        <v>3355</v>
      </c>
      <c r="E1134" s="33" t="s">
        <v>3356</v>
      </c>
      <c r="F1134" s="34" t="s">
        <v>3357</v>
      </c>
    </row>
    <row r="1135" spans="4:6" ht="12.75">
      <c r="D1135" s="32" t="s">
        <v>3358</v>
      </c>
      <c r="E1135" s="33" t="s">
        <v>3359</v>
      </c>
      <c r="F1135" s="34" t="s">
        <v>3360</v>
      </c>
    </row>
    <row r="1136" spans="4:6" ht="12.75">
      <c r="D1136" s="32" t="s">
        <v>3361</v>
      </c>
      <c r="E1136" s="33" t="s">
        <v>3362</v>
      </c>
      <c r="F1136" s="34" t="s">
        <v>3363</v>
      </c>
    </row>
    <row r="1137" spans="4:6" ht="12.75">
      <c r="D1137" s="32" t="s">
        <v>3364</v>
      </c>
      <c r="E1137" s="33" t="s">
        <v>3365</v>
      </c>
      <c r="F1137" s="34" t="s">
        <v>3366</v>
      </c>
    </row>
    <row r="1138" spans="4:6" ht="12.75">
      <c r="D1138" s="32" t="s">
        <v>3367</v>
      </c>
      <c r="E1138" s="33" t="s">
        <v>3368</v>
      </c>
      <c r="F1138" s="34" t="s">
        <v>3369</v>
      </c>
    </row>
    <row r="1139" spans="4:6" ht="12.75">
      <c r="D1139" s="32" t="s">
        <v>3370</v>
      </c>
      <c r="E1139" s="33" t="s">
        <v>3371</v>
      </c>
      <c r="F1139" s="33" t="s">
        <v>3372</v>
      </c>
    </row>
    <row r="1140" spans="4:6" ht="12.75">
      <c r="D1140" s="32" t="s">
        <v>3373</v>
      </c>
      <c r="E1140" s="33" t="s">
        <v>3374</v>
      </c>
      <c r="F1140" s="36" t="s">
        <v>3375</v>
      </c>
    </row>
    <row r="1141" spans="4:6" ht="12.75">
      <c r="D1141" s="32" t="s">
        <v>3376</v>
      </c>
      <c r="E1141" s="33" t="s">
        <v>26</v>
      </c>
      <c r="F1141" s="34" t="s">
        <v>3377</v>
      </c>
    </row>
    <row r="1142" spans="4:6" ht="12.75">
      <c r="D1142" s="32" t="s">
        <v>3378</v>
      </c>
      <c r="E1142" s="33" t="s">
        <v>3379</v>
      </c>
      <c r="F1142" s="34" t="s">
        <v>3380</v>
      </c>
    </row>
    <row r="1143" spans="4:6" ht="12.75">
      <c r="D1143" s="32" t="s">
        <v>3381</v>
      </c>
      <c r="E1143" s="33" t="s">
        <v>3382</v>
      </c>
      <c r="F1143" s="34" t="s">
        <v>3383</v>
      </c>
    </row>
    <row r="1144" spans="4:6" ht="12.75">
      <c r="D1144" s="32" t="s">
        <v>3384</v>
      </c>
      <c r="E1144" s="33" t="s">
        <v>3385</v>
      </c>
      <c r="F1144" s="34" t="s">
        <v>3386</v>
      </c>
    </row>
    <row r="1145" spans="4:6" ht="12.75">
      <c r="D1145" s="32" t="s">
        <v>3387</v>
      </c>
      <c r="E1145" s="33" t="s">
        <v>3388</v>
      </c>
      <c r="F1145" s="34" t="s">
        <v>3389</v>
      </c>
    </row>
    <row r="1146" spans="4:6" ht="12.75">
      <c r="D1146" s="32" t="s">
        <v>3390</v>
      </c>
      <c r="E1146" s="33" t="s">
        <v>3391</v>
      </c>
      <c r="F1146" s="34" t="s">
        <v>3392</v>
      </c>
    </row>
    <row r="1147" spans="4:6" ht="12.75">
      <c r="D1147" s="32" t="s">
        <v>3393</v>
      </c>
      <c r="E1147" s="33" t="s">
        <v>3394</v>
      </c>
      <c r="F1147" s="34" t="s">
        <v>3395</v>
      </c>
    </row>
    <row r="1148" spans="4:6" ht="12.75">
      <c r="D1148" s="32" t="s">
        <v>3396</v>
      </c>
      <c r="E1148" s="33" t="s">
        <v>3397</v>
      </c>
      <c r="F1148" s="34" t="s">
        <v>3398</v>
      </c>
    </row>
    <row r="1149" spans="4:6" ht="12.75">
      <c r="D1149" s="32" t="s">
        <v>3399</v>
      </c>
      <c r="E1149" s="33" t="s">
        <v>3400</v>
      </c>
      <c r="F1149" s="34" t="s">
        <v>3401</v>
      </c>
    </row>
    <row r="1150" spans="4:6" ht="12.75">
      <c r="D1150" s="20" t="s">
        <v>3402</v>
      </c>
      <c r="E1150" s="21" t="s">
        <v>48</v>
      </c>
      <c r="F1150" s="25" t="s">
        <v>3403</v>
      </c>
    </row>
    <row r="1151" spans="4:6" ht="12.75">
      <c r="D1151" s="20" t="s">
        <v>3404</v>
      </c>
      <c r="E1151" s="21" t="s">
        <v>3405</v>
      </c>
      <c r="F1151" s="22" t="s">
        <v>3406</v>
      </c>
    </row>
    <row r="1152" spans="4:6" ht="12.75">
      <c r="D1152" s="20" t="s">
        <v>3407</v>
      </c>
      <c r="E1152" s="21" t="s">
        <v>28</v>
      </c>
      <c r="F1152" s="22" t="s">
        <v>3408</v>
      </c>
    </row>
    <row r="1153" spans="4:6" ht="12.75">
      <c r="D1153" s="20" t="s">
        <v>3409</v>
      </c>
      <c r="E1153" s="21" t="s">
        <v>3410</v>
      </c>
      <c r="F1153" s="22" t="s">
        <v>3411</v>
      </c>
    </row>
    <row r="1154" spans="4:6" ht="12.75">
      <c r="D1154" s="20" t="s">
        <v>3412</v>
      </c>
      <c r="E1154" s="21" t="s">
        <v>3413</v>
      </c>
      <c r="F1154" s="22" t="s">
        <v>3414</v>
      </c>
    </row>
    <row r="1155" spans="4:6" ht="12.75">
      <c r="D1155" s="20" t="s">
        <v>3415</v>
      </c>
      <c r="E1155" s="21" t="s">
        <v>50</v>
      </c>
      <c r="F1155" s="22" t="s">
        <v>3416</v>
      </c>
    </row>
    <row r="1156" spans="4:6" ht="12.75">
      <c r="D1156" s="20" t="s">
        <v>3417</v>
      </c>
      <c r="E1156" s="21" t="s">
        <v>3418</v>
      </c>
      <c r="F1156" s="22" t="s">
        <v>3419</v>
      </c>
    </row>
    <row r="1157" spans="4:6" ht="12.75">
      <c r="D1157" s="20" t="s">
        <v>3420</v>
      </c>
      <c r="E1157" s="21" t="s">
        <v>3421</v>
      </c>
      <c r="F1157" s="22" t="s">
        <v>3422</v>
      </c>
    </row>
    <row r="1158" spans="4:6" ht="12.75">
      <c r="D1158" s="20" t="s">
        <v>3423</v>
      </c>
      <c r="E1158" s="21" t="s">
        <v>3424</v>
      </c>
      <c r="F1158" s="22" t="s">
        <v>3425</v>
      </c>
    </row>
    <row r="1159" spans="4:6" ht="12.75">
      <c r="D1159" s="20" t="s">
        <v>3426</v>
      </c>
      <c r="E1159" s="21" t="s">
        <v>3427</v>
      </c>
      <c r="F1159" s="22" t="s">
        <v>3428</v>
      </c>
    </row>
    <row r="1160" spans="4:6" ht="12.75">
      <c r="D1160" s="20" t="s">
        <v>3429</v>
      </c>
      <c r="E1160" s="21" t="s">
        <v>3430</v>
      </c>
      <c r="F1160" s="22" t="s">
        <v>3431</v>
      </c>
    </row>
    <row r="1161" spans="4:6" ht="12.75">
      <c r="D1161" s="20" t="s">
        <v>3432</v>
      </c>
      <c r="E1161" s="21" t="s">
        <v>3433</v>
      </c>
      <c r="F1161" s="22" t="s">
        <v>3434</v>
      </c>
    </row>
    <row r="1162" spans="4:6" ht="12.75">
      <c r="D1162" s="20" t="s">
        <v>3435</v>
      </c>
      <c r="E1162" s="21" t="s">
        <v>3436</v>
      </c>
      <c r="F1162" s="22" t="s">
        <v>3437</v>
      </c>
    </row>
    <row r="1163" spans="4:6" ht="12.75">
      <c r="D1163" s="20" t="s">
        <v>3438</v>
      </c>
      <c r="E1163" s="21" t="s">
        <v>3439</v>
      </c>
      <c r="F1163" s="22" t="s">
        <v>3440</v>
      </c>
    </row>
    <row r="1164" spans="4:6" ht="12.75">
      <c r="D1164" s="20" t="s">
        <v>3441</v>
      </c>
      <c r="E1164" s="21" t="s">
        <v>3442</v>
      </c>
      <c r="F1164" s="22" t="s">
        <v>3443</v>
      </c>
    </row>
    <row r="1165" spans="4:6" ht="12.75">
      <c r="D1165" s="20" t="s">
        <v>3444</v>
      </c>
      <c r="E1165" s="21" t="s">
        <v>3445</v>
      </c>
      <c r="F1165" s="22" t="s">
        <v>3446</v>
      </c>
    </row>
    <row r="1166" spans="4:6" ht="12.75">
      <c r="D1166" s="20" t="s">
        <v>3447</v>
      </c>
      <c r="E1166" s="21" t="s">
        <v>49</v>
      </c>
      <c r="F1166" s="22" t="s">
        <v>3448</v>
      </c>
    </row>
    <row r="1167" spans="4:6" ht="12.75">
      <c r="D1167" s="20" t="s">
        <v>3449</v>
      </c>
      <c r="E1167" s="21" t="s">
        <v>3450</v>
      </c>
      <c r="F1167" s="22" t="s">
        <v>3451</v>
      </c>
    </row>
    <row r="1168" spans="4:6" ht="12.75">
      <c r="D1168" s="20" t="s">
        <v>3452</v>
      </c>
      <c r="E1168" s="21" t="s">
        <v>3453</v>
      </c>
      <c r="F1168" s="22" t="s">
        <v>3454</v>
      </c>
    </row>
    <row r="1169" spans="4:6" ht="12.75">
      <c r="D1169" s="20" t="s">
        <v>3455</v>
      </c>
      <c r="E1169" s="21" t="s">
        <v>3456</v>
      </c>
      <c r="F1169" s="22" t="s">
        <v>3457</v>
      </c>
    </row>
    <row r="1170" spans="4:6" ht="12.75">
      <c r="D1170" s="20" t="s">
        <v>3458</v>
      </c>
      <c r="E1170" s="21" t="s">
        <v>3459</v>
      </c>
      <c r="F1170" s="22" t="s">
        <v>3460</v>
      </c>
    </row>
    <row r="1171" spans="4:6" ht="12.75">
      <c r="D1171" s="20" t="s">
        <v>3461</v>
      </c>
      <c r="E1171" s="21" t="s">
        <v>3462</v>
      </c>
      <c r="F1171" s="22" t="s">
        <v>3463</v>
      </c>
    </row>
    <row r="1172" spans="4:6" ht="12.75">
      <c r="D1172" s="20" t="s">
        <v>3464</v>
      </c>
      <c r="E1172" s="21" t="s">
        <v>3465</v>
      </c>
      <c r="F1172" s="22" t="s">
        <v>3466</v>
      </c>
    </row>
    <row r="1173" spans="4:6" ht="12.75">
      <c r="D1173" s="20" t="s">
        <v>3467</v>
      </c>
      <c r="E1173" s="21" t="s">
        <v>3468</v>
      </c>
      <c r="F1173" s="25" t="s">
        <v>3469</v>
      </c>
    </row>
    <row r="1174" spans="4:6" ht="12.75">
      <c r="D1174" s="20" t="s">
        <v>3470</v>
      </c>
      <c r="E1174" s="21" t="s">
        <v>3471</v>
      </c>
      <c r="F1174" s="22" t="s">
        <v>3472</v>
      </c>
    </row>
    <row r="1175" spans="4:6" ht="12.75">
      <c r="D1175" s="20" t="s">
        <v>3473</v>
      </c>
      <c r="E1175" s="21" t="s">
        <v>3474</v>
      </c>
      <c r="F1175" s="22" t="s">
        <v>3475</v>
      </c>
    </row>
    <row r="1176" spans="4:6" ht="12.75">
      <c r="D1176" s="20" t="s">
        <v>3476</v>
      </c>
      <c r="E1176" s="21" t="s">
        <v>3477</v>
      </c>
      <c r="F1176" s="22" t="s">
        <v>3478</v>
      </c>
    </row>
    <row r="1177" spans="4:6" ht="12.75">
      <c r="D1177" s="20" t="s">
        <v>3479</v>
      </c>
      <c r="E1177" s="21" t="s">
        <v>3480</v>
      </c>
      <c r="F1177" s="22" t="s">
        <v>3481</v>
      </c>
    </row>
    <row r="1178" spans="4:6" ht="12.75">
      <c r="D1178" s="20" t="s">
        <v>3482</v>
      </c>
      <c r="E1178" s="21" t="s">
        <v>3483</v>
      </c>
      <c r="F1178" s="22" t="s">
        <v>3484</v>
      </c>
    </row>
    <row r="1179" spans="4:6" ht="12.75">
      <c r="D1179" s="20" t="s">
        <v>3485</v>
      </c>
      <c r="E1179" s="21" t="s">
        <v>3486</v>
      </c>
      <c r="F1179" s="22" t="s">
        <v>3487</v>
      </c>
    </row>
    <row r="1180" spans="4:6" ht="12.75">
      <c r="D1180" s="20" t="s">
        <v>3488</v>
      </c>
      <c r="E1180" s="21" t="s">
        <v>3489</v>
      </c>
      <c r="F1180" s="22" t="s">
        <v>3490</v>
      </c>
    </row>
    <row r="1181" spans="4:6" ht="12.75">
      <c r="D1181" s="20" t="s">
        <v>3491</v>
      </c>
      <c r="E1181" s="21" t="s">
        <v>3492</v>
      </c>
      <c r="F1181" s="22" t="s">
        <v>3493</v>
      </c>
    </row>
    <row r="1182" spans="4:6" ht="12.75">
      <c r="D1182" s="20" t="s">
        <v>3494</v>
      </c>
      <c r="E1182" s="21" t="s">
        <v>51</v>
      </c>
      <c r="F1182" s="22" t="s">
        <v>3495</v>
      </c>
    </row>
    <row r="1183" spans="4:6" ht="12.75">
      <c r="D1183" s="20" t="s">
        <v>3496</v>
      </c>
      <c r="E1183" s="21" t="s">
        <v>3497</v>
      </c>
      <c r="F1183" s="22" t="s">
        <v>3498</v>
      </c>
    </row>
    <row r="1184" spans="4:6" ht="12.75">
      <c r="D1184" s="20" t="s">
        <v>3499</v>
      </c>
      <c r="E1184" s="21" t="s">
        <v>3500</v>
      </c>
      <c r="F1184" s="22" t="s">
        <v>3501</v>
      </c>
    </row>
    <row r="1185" spans="4:6" ht="12.75">
      <c r="D1185" s="20" t="s">
        <v>3502</v>
      </c>
      <c r="E1185" s="21" t="s">
        <v>3503</v>
      </c>
      <c r="F1185" s="22" t="s">
        <v>3504</v>
      </c>
    </row>
    <row r="1186" spans="4:6" ht="12.75">
      <c r="D1186" s="20" t="s">
        <v>3505</v>
      </c>
      <c r="E1186" s="21" t="s">
        <v>3506</v>
      </c>
      <c r="F1186" s="22" t="s">
        <v>3507</v>
      </c>
    </row>
    <row r="1187" spans="4:6" ht="12.75">
      <c r="D1187" s="20" t="s">
        <v>3508</v>
      </c>
      <c r="E1187" s="21" t="s">
        <v>3509</v>
      </c>
      <c r="F1187" s="22" t="s">
        <v>3510</v>
      </c>
    </row>
    <row r="1188" spans="4:6" ht="12.75">
      <c r="D1188" s="20" t="s">
        <v>3511</v>
      </c>
      <c r="E1188" s="21" t="s">
        <v>3512</v>
      </c>
      <c r="F1188" s="22" t="s">
        <v>3513</v>
      </c>
    </row>
    <row r="1189" spans="4:6" ht="12.75">
      <c r="D1189" s="20" t="s">
        <v>3514</v>
      </c>
      <c r="E1189" s="21" t="s">
        <v>3515</v>
      </c>
      <c r="F1189" s="22" t="s">
        <v>3516</v>
      </c>
    </row>
    <row r="1190" spans="4:6" ht="12.75">
      <c r="D1190" s="20" t="s">
        <v>3517</v>
      </c>
      <c r="E1190" s="21" t="s">
        <v>3518</v>
      </c>
      <c r="F1190" s="22" t="s">
        <v>3519</v>
      </c>
    </row>
    <row r="1191" spans="4:6" ht="12.75">
      <c r="D1191" s="20" t="s">
        <v>284</v>
      </c>
      <c r="E1191" s="21"/>
      <c r="F1191" s="22"/>
    </row>
    <row r="1192" spans="4:6" ht="12.75">
      <c r="D1192" s="20" t="s">
        <v>3520</v>
      </c>
      <c r="E1192" s="21" t="s">
        <v>3521</v>
      </c>
      <c r="F1192" s="22" t="s">
        <v>3522</v>
      </c>
    </row>
    <row r="1193" spans="4:6" ht="12.75">
      <c r="D1193" s="20" t="s">
        <v>3523</v>
      </c>
      <c r="E1193" s="21" t="s">
        <v>3524</v>
      </c>
      <c r="F1193" s="22" t="s">
        <v>3525</v>
      </c>
    </row>
    <row r="1194" spans="4:6" ht="12.75">
      <c r="D1194" s="20" t="s">
        <v>284</v>
      </c>
      <c r="E1194" s="21"/>
      <c r="F1194" s="22"/>
    </row>
    <row r="1195" spans="4:6" ht="12.75">
      <c r="D1195" s="20" t="s">
        <v>3526</v>
      </c>
      <c r="E1195" s="21" t="s">
        <v>52</v>
      </c>
      <c r="F1195" s="22" t="s">
        <v>3527</v>
      </c>
    </row>
    <row r="1196" spans="4:6" ht="12.75">
      <c r="D1196" s="20" t="s">
        <v>3528</v>
      </c>
      <c r="E1196" s="21" t="s">
        <v>3529</v>
      </c>
      <c r="F1196" s="22" t="s">
        <v>3530</v>
      </c>
    </row>
    <row r="1197" spans="4:6" ht="12.75">
      <c r="D1197" s="20" t="s">
        <v>3531</v>
      </c>
      <c r="E1197" s="21" t="s">
        <v>3532</v>
      </c>
      <c r="F1197" s="22" t="s">
        <v>3533</v>
      </c>
    </row>
    <row r="1198" spans="4:6" ht="12.75">
      <c r="D1198" s="20" t="s">
        <v>3534</v>
      </c>
      <c r="E1198" s="21" t="s">
        <v>3535</v>
      </c>
      <c r="F1198" s="25" t="s">
        <v>3536</v>
      </c>
    </row>
    <row r="1199" spans="4:6" ht="12.75">
      <c r="D1199" s="20" t="s">
        <v>3537</v>
      </c>
      <c r="E1199" s="21" t="s">
        <v>3538</v>
      </c>
      <c r="F1199" s="22" t="s">
        <v>3539</v>
      </c>
    </row>
    <row r="1200" spans="4:6" ht="12.75">
      <c r="D1200" s="20" t="s">
        <v>3540</v>
      </c>
      <c r="E1200" s="21" t="s">
        <v>3541</v>
      </c>
      <c r="F1200" s="22" t="s">
        <v>3542</v>
      </c>
    </row>
    <row r="1201" spans="4:6" ht="12.75">
      <c r="D1201" s="20" t="s">
        <v>3543</v>
      </c>
      <c r="E1201" s="21" t="s">
        <v>3544</v>
      </c>
      <c r="F1201" s="22" t="s">
        <v>3545</v>
      </c>
    </row>
    <row r="1202" spans="4:6" ht="12.75">
      <c r="D1202" s="20" t="s">
        <v>3546</v>
      </c>
      <c r="E1202" s="21" t="s">
        <v>3547</v>
      </c>
      <c r="F1202" s="22" t="s">
        <v>3548</v>
      </c>
    </row>
    <row r="1203" spans="4:6" ht="12.75">
      <c r="D1203" s="20" t="s">
        <v>3549</v>
      </c>
      <c r="E1203" s="21" t="s">
        <v>3550</v>
      </c>
      <c r="F1203" s="22" t="s">
        <v>3551</v>
      </c>
    </row>
    <row r="1204" spans="4:6" ht="12.75">
      <c r="D1204" s="20" t="s">
        <v>3552</v>
      </c>
      <c r="E1204" s="21" t="s">
        <v>3553</v>
      </c>
      <c r="F1204" s="21" t="s">
        <v>3554</v>
      </c>
    </row>
    <row r="1205" spans="4:6" ht="12.75">
      <c r="D1205" s="20" t="s">
        <v>3555</v>
      </c>
      <c r="E1205" s="21" t="s">
        <v>3556</v>
      </c>
      <c r="F1205" s="22" t="s">
        <v>3557</v>
      </c>
    </row>
    <row r="1206" spans="4:6" ht="12.75">
      <c r="D1206" s="20" t="s">
        <v>3558</v>
      </c>
      <c r="E1206" s="21" t="s">
        <v>3559</v>
      </c>
      <c r="F1206" s="22" t="s">
        <v>3560</v>
      </c>
    </row>
    <row r="1207" spans="4:6" ht="12.75">
      <c r="D1207" s="20" t="s">
        <v>3561</v>
      </c>
      <c r="E1207" s="21" t="s">
        <v>3562</v>
      </c>
      <c r="F1207" s="22" t="s">
        <v>3563</v>
      </c>
    </row>
    <row r="1208" spans="4:6" ht="12.75">
      <c r="D1208" s="20" t="s">
        <v>3564</v>
      </c>
      <c r="E1208" s="21" t="s">
        <v>3565</v>
      </c>
      <c r="F1208" s="22" t="s">
        <v>3566</v>
      </c>
    </row>
    <row r="1209" spans="4:6" ht="12.75">
      <c r="D1209" s="20" t="s">
        <v>3567</v>
      </c>
      <c r="E1209" s="21" t="s">
        <v>3568</v>
      </c>
      <c r="F1209" s="22" t="s">
        <v>3569</v>
      </c>
    </row>
    <row r="1210" spans="4:6" ht="12.75">
      <c r="D1210" s="20" t="s">
        <v>3570</v>
      </c>
      <c r="E1210" s="21" t="s">
        <v>3571</v>
      </c>
      <c r="F1210" s="22" t="s">
        <v>3572</v>
      </c>
    </row>
    <row r="1211" spans="4:6" ht="12.75">
      <c r="D1211" s="20" t="s">
        <v>3573</v>
      </c>
      <c r="E1211" s="21" t="s">
        <v>3574</v>
      </c>
      <c r="F1211" s="22" t="s">
        <v>3575</v>
      </c>
    </row>
    <row r="1212" spans="4:6" ht="12.75">
      <c r="D1212" s="20" t="s">
        <v>3576</v>
      </c>
      <c r="E1212" s="21" t="s">
        <v>3577</v>
      </c>
      <c r="F1212" s="22" t="s">
        <v>3578</v>
      </c>
    </row>
    <row r="1213" spans="4:6" ht="12.75">
      <c r="D1213" s="20" t="s">
        <v>3579</v>
      </c>
      <c r="E1213" s="21" t="s">
        <v>3580</v>
      </c>
      <c r="F1213" s="22" t="s">
        <v>3581</v>
      </c>
    </row>
    <row r="1214" spans="4:6" ht="12.75">
      <c r="D1214" s="20" t="s">
        <v>3582</v>
      </c>
      <c r="E1214" s="21" t="s">
        <v>3583</v>
      </c>
      <c r="F1214" s="22"/>
    </row>
    <row r="1215" spans="4:6" ht="12.75">
      <c r="D1215" s="20" t="s">
        <v>3584</v>
      </c>
      <c r="E1215" s="21" t="s">
        <v>3585</v>
      </c>
      <c r="F1215" s="22" t="s">
        <v>3586</v>
      </c>
    </row>
    <row r="1216" spans="4:6" ht="12.75">
      <c r="D1216" s="20" t="s">
        <v>3587</v>
      </c>
      <c r="E1216" s="21" t="s">
        <v>3588</v>
      </c>
      <c r="F1216" s="22" t="s">
        <v>3589</v>
      </c>
    </row>
    <row r="1217" spans="4:6" ht="12.75">
      <c r="D1217" s="20" t="s">
        <v>3590</v>
      </c>
      <c r="E1217" s="21" t="s">
        <v>3591</v>
      </c>
      <c r="F1217" s="22" t="s">
        <v>3592</v>
      </c>
    </row>
    <row r="1218" spans="4:6" ht="12.75">
      <c r="D1218" s="20" t="s">
        <v>3593</v>
      </c>
      <c r="E1218" s="21" t="s">
        <v>3594</v>
      </c>
      <c r="F1218" s="22" t="s">
        <v>3595</v>
      </c>
    </row>
    <row r="1219" spans="4:6" ht="12.75">
      <c r="D1219" s="20" t="s">
        <v>3596</v>
      </c>
      <c r="E1219" s="21" t="s">
        <v>3597</v>
      </c>
      <c r="F1219" s="22" t="s">
        <v>3598</v>
      </c>
    </row>
    <row r="1220" spans="4:6" ht="12.75">
      <c r="D1220" s="20" t="s">
        <v>3599</v>
      </c>
      <c r="E1220" s="21" t="s">
        <v>3600</v>
      </c>
      <c r="F1220" s="22" t="s">
        <v>3601</v>
      </c>
    </row>
    <row r="1221" spans="4:6" ht="12.75">
      <c r="D1221" s="20" t="s">
        <v>3602</v>
      </c>
      <c r="E1221" s="21" t="s">
        <v>3603</v>
      </c>
      <c r="F1221" s="22" t="s">
        <v>3604</v>
      </c>
    </row>
    <row r="1222" spans="4:6" ht="12.75">
      <c r="D1222" s="20" t="s">
        <v>3605</v>
      </c>
      <c r="E1222" s="21" t="s">
        <v>3606</v>
      </c>
      <c r="F1222" s="22" t="s">
        <v>3607</v>
      </c>
    </row>
    <row r="1223" spans="4:6" ht="12.75">
      <c r="D1223" s="20" t="s">
        <v>3608</v>
      </c>
      <c r="E1223" s="21" t="s">
        <v>3609</v>
      </c>
      <c r="F1223" s="22" t="s">
        <v>3610</v>
      </c>
    </row>
    <row r="1224" spans="4:6" ht="12.75">
      <c r="D1224" s="20" t="s">
        <v>3611</v>
      </c>
      <c r="E1224" s="21" t="s">
        <v>3612</v>
      </c>
      <c r="F1224" s="22" t="s">
        <v>3613</v>
      </c>
    </row>
    <row r="1225" spans="4:6" ht="12.75">
      <c r="D1225" s="20" t="s">
        <v>3614</v>
      </c>
      <c r="E1225" s="21" t="s">
        <v>44</v>
      </c>
      <c r="F1225" s="22" t="s">
        <v>3615</v>
      </c>
    </row>
    <row r="1226" spans="4:6" ht="12.75">
      <c r="D1226" s="20" t="s">
        <v>284</v>
      </c>
      <c r="E1226" s="21"/>
      <c r="F1226" s="22"/>
    </row>
    <row r="1227" spans="4:6" ht="12.75">
      <c r="D1227" s="20" t="s">
        <v>3616</v>
      </c>
      <c r="E1227" s="21" t="s">
        <v>3617</v>
      </c>
      <c r="F1227" s="22" t="s">
        <v>3618</v>
      </c>
    </row>
    <row r="1228" spans="4:6" ht="12.75">
      <c r="D1228" s="20" t="s">
        <v>3619</v>
      </c>
      <c r="E1228" s="21" t="s">
        <v>32</v>
      </c>
      <c r="F1228" s="22" t="s">
        <v>3620</v>
      </c>
    </row>
    <row r="1229" spans="4:6" ht="12.75">
      <c r="D1229" s="20" t="s">
        <v>3621</v>
      </c>
      <c r="E1229" s="21" t="s">
        <v>3622</v>
      </c>
      <c r="F1229" s="22" t="s">
        <v>3623</v>
      </c>
    </row>
    <row r="1230" spans="4:6" ht="12.75">
      <c r="D1230" s="20" t="s">
        <v>3624</v>
      </c>
      <c r="E1230" s="21" t="s">
        <v>3625</v>
      </c>
      <c r="F1230" s="22" t="s">
        <v>3626</v>
      </c>
    </row>
    <row r="1231" spans="4:6" ht="12.75">
      <c r="D1231" s="20" t="s">
        <v>3627</v>
      </c>
      <c r="E1231" s="21" t="s">
        <v>3628</v>
      </c>
      <c r="F1231" s="22" t="s">
        <v>3629</v>
      </c>
    </row>
    <row r="1232" spans="4:6" ht="12.75">
      <c r="D1232" s="20" t="s">
        <v>3630</v>
      </c>
      <c r="E1232" s="21" t="s">
        <v>3631</v>
      </c>
      <c r="F1232" s="22" t="s">
        <v>3632</v>
      </c>
    </row>
    <row r="1233" spans="4:6" ht="12.75">
      <c r="D1233" s="20" t="s">
        <v>3633</v>
      </c>
      <c r="E1233" s="21" t="s">
        <v>3634</v>
      </c>
      <c r="F1233" s="22" t="s">
        <v>3635</v>
      </c>
    </row>
    <row r="1234" spans="4:6" ht="12.75">
      <c r="D1234" s="20" t="s">
        <v>284</v>
      </c>
      <c r="E1234" s="21"/>
      <c r="F1234" s="22"/>
    </row>
    <row r="1235" spans="4:6" ht="12.75">
      <c r="D1235" s="20" t="s">
        <v>3636</v>
      </c>
      <c r="E1235" s="21" t="s">
        <v>3637</v>
      </c>
      <c r="F1235" s="22" t="s">
        <v>3638</v>
      </c>
    </row>
    <row r="1236" spans="4:6" ht="12.75">
      <c r="D1236" s="20" t="s">
        <v>3639</v>
      </c>
      <c r="E1236" s="21" t="s">
        <v>3640</v>
      </c>
      <c r="F1236" s="22" t="s">
        <v>3641</v>
      </c>
    </row>
    <row r="1237" spans="4:6" ht="12.75">
      <c r="D1237" s="20" t="s">
        <v>3642</v>
      </c>
      <c r="E1237" s="21" t="s">
        <v>3643</v>
      </c>
      <c r="F1237" s="22" t="s">
        <v>3644</v>
      </c>
    </row>
    <row r="1238" spans="4:6" ht="12.75">
      <c r="D1238" s="20" t="s">
        <v>3645</v>
      </c>
      <c r="E1238" s="21" t="s">
        <v>3646</v>
      </c>
      <c r="F1238" s="22" t="s">
        <v>3647</v>
      </c>
    </row>
    <row r="1239" spans="4:6" ht="12.75">
      <c r="D1239" s="20" t="s">
        <v>3648</v>
      </c>
      <c r="E1239" s="21" t="s">
        <v>3649</v>
      </c>
      <c r="F1239" s="22" t="s">
        <v>3650</v>
      </c>
    </row>
    <row r="1240" spans="4:6" ht="12.75">
      <c r="D1240" s="20" t="s">
        <v>3651</v>
      </c>
      <c r="E1240" s="21" t="s">
        <v>3652</v>
      </c>
      <c r="F1240" s="22" t="s">
        <v>3653</v>
      </c>
    </row>
    <row r="1241" spans="4:6" ht="12.75">
      <c r="D1241" s="20" t="s">
        <v>3654</v>
      </c>
      <c r="E1241" s="21" t="s">
        <v>3655</v>
      </c>
      <c r="F1241" s="22" t="s">
        <v>3656</v>
      </c>
    </row>
    <row r="1242" spans="4:6" ht="12.75">
      <c r="D1242" s="20" t="s">
        <v>3657</v>
      </c>
      <c r="E1242" s="21" t="s">
        <v>3658</v>
      </c>
      <c r="F1242" s="22" t="s">
        <v>3659</v>
      </c>
    </row>
    <row r="1243" spans="4:6" ht="12.75">
      <c r="D1243" s="20" t="s">
        <v>3660</v>
      </c>
      <c r="E1243" s="21" t="s">
        <v>3661</v>
      </c>
      <c r="F1243" s="22" t="s">
        <v>3662</v>
      </c>
    </row>
    <row r="1244" spans="4:6" ht="12.75">
      <c r="D1244" s="20" t="s">
        <v>3663</v>
      </c>
      <c r="E1244" s="21" t="s">
        <v>3664</v>
      </c>
      <c r="F1244" s="22" t="s">
        <v>3665</v>
      </c>
    </row>
    <row r="1245" spans="4:6" ht="12.75">
      <c r="D1245" s="20" t="s">
        <v>3666</v>
      </c>
      <c r="E1245" s="21" t="s">
        <v>3667</v>
      </c>
      <c r="F1245" s="22" t="s">
        <v>3668</v>
      </c>
    </row>
    <row r="1246" spans="4:6" ht="12.75">
      <c r="D1246" s="20" t="s">
        <v>3669</v>
      </c>
      <c r="E1246" s="21" t="s">
        <v>3670</v>
      </c>
      <c r="F1246" s="22" t="s">
        <v>3671</v>
      </c>
    </row>
    <row r="1247" spans="4:6" ht="12.75">
      <c r="D1247" s="20" t="s">
        <v>3672</v>
      </c>
      <c r="E1247" s="21" t="s">
        <v>3673</v>
      </c>
      <c r="F1247" s="22" t="s">
        <v>3674</v>
      </c>
    </row>
    <row r="1248" spans="4:6" ht="12.75">
      <c r="D1248" s="20" t="s">
        <v>3675</v>
      </c>
      <c r="E1248" s="21" t="s">
        <v>3676</v>
      </c>
      <c r="F1248" s="22" t="s">
        <v>3677</v>
      </c>
    </row>
    <row r="1249" spans="4:6" ht="12.75">
      <c r="D1249" s="20" t="s">
        <v>284</v>
      </c>
      <c r="E1249" s="21"/>
      <c r="F1249" s="22"/>
    </row>
    <row r="1250" spans="4:6" ht="12.75">
      <c r="D1250" s="20" t="s">
        <v>3678</v>
      </c>
      <c r="E1250" s="21" t="s">
        <v>3679</v>
      </c>
      <c r="F1250" s="22" t="s">
        <v>3680</v>
      </c>
    </row>
    <row r="1251" spans="4:6" ht="12.75">
      <c r="D1251" s="20" t="s">
        <v>3681</v>
      </c>
      <c r="E1251" s="21" t="s">
        <v>3682</v>
      </c>
      <c r="F1251" s="22" t="s">
        <v>3683</v>
      </c>
    </row>
    <row r="1252" spans="4:6" ht="12.75">
      <c r="D1252" s="20" t="s">
        <v>3684</v>
      </c>
      <c r="E1252" s="21" t="s">
        <v>3685</v>
      </c>
      <c r="F1252" s="22" t="s">
        <v>3686</v>
      </c>
    </row>
    <row r="1253" spans="4:6" ht="12.75">
      <c r="D1253" s="20" t="s">
        <v>3687</v>
      </c>
      <c r="E1253" s="21" t="s">
        <v>55</v>
      </c>
      <c r="F1253" s="22" t="s">
        <v>56</v>
      </c>
    </row>
    <row r="1254" spans="4:6" ht="12.75">
      <c r="D1254" s="20" t="s">
        <v>3688</v>
      </c>
      <c r="E1254" s="21" t="s">
        <v>3689</v>
      </c>
      <c r="F1254" s="22" t="s">
        <v>3690</v>
      </c>
    </row>
    <row r="1255" spans="4:6" ht="12.75">
      <c r="D1255" s="20" t="s">
        <v>3691</v>
      </c>
      <c r="E1255" s="21" t="s">
        <v>40</v>
      </c>
      <c r="F1255" s="22" t="s">
        <v>3692</v>
      </c>
    </row>
    <row r="1256" spans="4:6" ht="12.75">
      <c r="D1256" s="20" t="s">
        <v>3693</v>
      </c>
      <c r="E1256" s="21" t="s">
        <v>3694</v>
      </c>
      <c r="F1256" s="22" t="s">
        <v>3695</v>
      </c>
    </row>
    <row r="1257" spans="4:6" ht="12.75">
      <c r="D1257" s="20" t="s">
        <v>3696</v>
      </c>
      <c r="E1257" s="21" t="s">
        <v>3697</v>
      </c>
      <c r="F1257" s="22" t="s">
        <v>3698</v>
      </c>
    </row>
    <row r="1258" spans="4:6" ht="12.75">
      <c r="D1258" s="20" t="s">
        <v>3699</v>
      </c>
      <c r="E1258" s="21" t="s">
        <v>3700</v>
      </c>
      <c r="F1258" s="21" t="s">
        <v>3701</v>
      </c>
    </row>
    <row r="1259" spans="4:6" ht="12.75">
      <c r="D1259" s="20" t="s">
        <v>3702</v>
      </c>
      <c r="E1259" s="21" t="s">
        <v>3703</v>
      </c>
      <c r="F1259" s="22" t="s">
        <v>3704</v>
      </c>
    </row>
    <row r="1260" spans="4:6" ht="12.75">
      <c r="D1260" s="20" t="s">
        <v>3705</v>
      </c>
      <c r="E1260" s="21" t="s">
        <v>3706</v>
      </c>
      <c r="F1260" s="25" t="s">
        <v>3707</v>
      </c>
    </row>
    <row r="1261" spans="4:6" ht="12.75">
      <c r="D1261" s="20" t="s">
        <v>3708</v>
      </c>
      <c r="E1261" s="21" t="s">
        <v>3709</v>
      </c>
      <c r="F1261" s="22" t="s">
        <v>3710</v>
      </c>
    </row>
    <row r="1262" spans="4:6" ht="12.75">
      <c r="D1262" s="20" t="s">
        <v>3711</v>
      </c>
      <c r="E1262" s="21" t="s">
        <v>3712</v>
      </c>
      <c r="F1262" s="22" t="s">
        <v>3713</v>
      </c>
    </row>
    <row r="1263" spans="4:6" ht="12.75">
      <c r="D1263" s="20" t="s">
        <v>3714</v>
      </c>
      <c r="E1263" s="21" t="s">
        <v>3715</v>
      </c>
      <c r="F1263" s="22" t="s">
        <v>3716</v>
      </c>
    </row>
    <row r="1264" spans="4:6" ht="12.75">
      <c r="D1264" s="20" t="s">
        <v>3717</v>
      </c>
      <c r="E1264" s="21" t="s">
        <v>3718</v>
      </c>
      <c r="F1264" s="22" t="s">
        <v>3719</v>
      </c>
    </row>
    <row r="1265" spans="4:6" ht="12.75">
      <c r="D1265" s="20" t="s">
        <v>3720</v>
      </c>
      <c r="E1265" s="21" t="s">
        <v>3721</v>
      </c>
      <c r="F1265" s="22" t="s">
        <v>3722</v>
      </c>
    </row>
    <row r="1266" spans="4:6" ht="12.75">
      <c r="D1266" s="20" t="s">
        <v>3723</v>
      </c>
      <c r="E1266" s="21" t="s">
        <v>3724</v>
      </c>
      <c r="F1266" s="22" t="s">
        <v>3725</v>
      </c>
    </row>
    <row r="1267" spans="4:6" ht="12.75">
      <c r="D1267" s="20" t="s">
        <v>3726</v>
      </c>
      <c r="E1267" s="21" t="s">
        <v>3727</v>
      </c>
      <c r="F1267" s="22" t="s">
        <v>3728</v>
      </c>
    </row>
    <row r="1268" spans="4:6" ht="12.75">
      <c r="D1268" s="20" t="s">
        <v>3729</v>
      </c>
      <c r="E1268" s="21" t="s">
        <v>3730</v>
      </c>
      <c r="F1268" s="22" t="s">
        <v>3731</v>
      </c>
    </row>
    <row r="1269" spans="4:6" ht="12.75">
      <c r="D1269" s="20" t="s">
        <v>3732</v>
      </c>
      <c r="E1269" s="21" t="s">
        <v>3733</v>
      </c>
      <c r="F1269" s="22" t="s">
        <v>3734</v>
      </c>
    </row>
    <row r="1270" spans="4:6" ht="12.75">
      <c r="D1270" s="20" t="s">
        <v>3735</v>
      </c>
      <c r="E1270" s="21" t="s">
        <v>3736</v>
      </c>
      <c r="F1270" s="22" t="s">
        <v>3737</v>
      </c>
    </row>
    <row r="1271" spans="4:6" ht="12.75">
      <c r="D1271" s="20" t="s">
        <v>3738</v>
      </c>
      <c r="E1271" s="21" t="s">
        <v>3739</v>
      </c>
      <c r="F1271" s="22" t="s">
        <v>3740</v>
      </c>
    </row>
    <row r="1272" spans="4:6" ht="12.75">
      <c r="D1272" s="20" t="s">
        <v>3741</v>
      </c>
      <c r="E1272" s="21" t="s">
        <v>3742</v>
      </c>
      <c r="F1272" s="22" t="s">
        <v>3743</v>
      </c>
    </row>
    <row r="1273" spans="4:6" ht="12.75">
      <c r="D1273" s="20" t="s">
        <v>3744</v>
      </c>
      <c r="E1273" s="21" t="s">
        <v>3745</v>
      </c>
      <c r="F1273" s="22" t="s">
        <v>3746</v>
      </c>
    </row>
    <row r="1274" spans="4:6" ht="12.75">
      <c r="D1274" s="20" t="s">
        <v>3747</v>
      </c>
      <c r="E1274" s="21" t="s">
        <v>3748</v>
      </c>
      <c r="F1274" s="22" t="s">
        <v>3749</v>
      </c>
    </row>
    <row r="1275" spans="4:6" ht="12.75">
      <c r="D1275" s="20" t="s">
        <v>3750</v>
      </c>
      <c r="E1275" s="21" t="s">
        <v>3751</v>
      </c>
      <c r="F1275" s="22" t="s">
        <v>3752</v>
      </c>
    </row>
    <row r="1276" spans="4:6" ht="12.75">
      <c r="D1276" s="20" t="s">
        <v>3753</v>
      </c>
      <c r="E1276" s="21" t="s">
        <v>3754</v>
      </c>
      <c r="F1276" s="22" t="s">
        <v>3755</v>
      </c>
    </row>
    <row r="1277" spans="4:6" ht="12.75">
      <c r="D1277" s="20" t="s">
        <v>3756</v>
      </c>
      <c r="E1277" s="21" t="s">
        <v>3757</v>
      </c>
      <c r="F1277" s="22" t="s">
        <v>3758</v>
      </c>
    </row>
    <row r="1278" spans="4:6" ht="12.75">
      <c r="D1278" s="20" t="s">
        <v>3759</v>
      </c>
      <c r="E1278" s="21" t="s">
        <v>3760</v>
      </c>
      <c r="F1278" s="22" t="s">
        <v>3761</v>
      </c>
    </row>
    <row r="1279" spans="4:6" ht="12.75">
      <c r="D1279" s="20" t="s">
        <v>3762</v>
      </c>
      <c r="E1279" s="21" t="s">
        <v>3763</v>
      </c>
      <c r="F1279" s="22" t="s">
        <v>3764</v>
      </c>
    </row>
    <row r="1280" spans="4:6" ht="12.75">
      <c r="D1280" s="20" t="s">
        <v>3765</v>
      </c>
      <c r="E1280" s="21" t="s">
        <v>3766</v>
      </c>
      <c r="F1280" s="22" t="s">
        <v>3767</v>
      </c>
    </row>
    <row r="1281" spans="4:6" ht="12.75">
      <c r="D1281" s="20" t="s">
        <v>3768</v>
      </c>
      <c r="E1281" s="21" t="s">
        <v>3769</v>
      </c>
      <c r="F1281" s="22" t="s">
        <v>3770</v>
      </c>
    </row>
    <row r="1282" spans="4:6" ht="12.75">
      <c r="D1282" s="20" t="s">
        <v>3771</v>
      </c>
      <c r="E1282" s="21" t="s">
        <v>3772</v>
      </c>
      <c r="F1282" s="22" t="s">
        <v>3773</v>
      </c>
    </row>
    <row r="1283" spans="4:6" ht="12.75">
      <c r="D1283" s="20" t="s">
        <v>3774</v>
      </c>
      <c r="E1283" s="21" t="s">
        <v>3775</v>
      </c>
      <c r="F1283" s="22" t="s">
        <v>3776</v>
      </c>
    </row>
    <row r="1284" spans="4:6" ht="12.75">
      <c r="D1284" s="20" t="s">
        <v>3777</v>
      </c>
      <c r="E1284" s="21" t="s">
        <v>3778</v>
      </c>
      <c r="F1284" s="22" t="s">
        <v>3779</v>
      </c>
    </row>
    <row r="1285" spans="4:6" ht="12.75">
      <c r="D1285" s="20" t="s">
        <v>3780</v>
      </c>
      <c r="E1285" s="21" t="s">
        <v>3781</v>
      </c>
      <c r="F1285" s="22" t="s">
        <v>3782</v>
      </c>
    </row>
    <row r="1286" spans="4:6" ht="12.75">
      <c r="D1286" s="20" t="s">
        <v>3783</v>
      </c>
      <c r="E1286" s="21" t="s">
        <v>3784</v>
      </c>
      <c r="F1286" s="22" t="s">
        <v>3785</v>
      </c>
    </row>
    <row r="1287" spans="4:6" ht="12.75">
      <c r="D1287" s="20" t="s">
        <v>3786</v>
      </c>
      <c r="E1287" s="21" t="s">
        <v>3787</v>
      </c>
      <c r="F1287" s="22" t="s">
        <v>3788</v>
      </c>
    </row>
    <row r="1288" spans="4:6" ht="12.75">
      <c r="D1288" s="20" t="s">
        <v>3789</v>
      </c>
      <c r="E1288" s="21" t="s">
        <v>3790</v>
      </c>
      <c r="F1288" s="22" t="s">
        <v>3791</v>
      </c>
    </row>
    <row r="1289" spans="4:6" ht="12.75">
      <c r="D1289" s="20" t="s">
        <v>3792</v>
      </c>
      <c r="E1289" s="21" t="s">
        <v>3793</v>
      </c>
      <c r="F1289" s="22" t="s">
        <v>3794</v>
      </c>
    </row>
    <row r="1290" spans="4:6" ht="12.75">
      <c r="D1290" s="20" t="s">
        <v>3795</v>
      </c>
      <c r="E1290" s="21" t="s">
        <v>3796</v>
      </c>
      <c r="F1290" s="22" t="s">
        <v>3797</v>
      </c>
    </row>
    <row r="1291" spans="4:6" ht="12.75">
      <c r="D1291" s="20" t="s">
        <v>3798</v>
      </c>
      <c r="E1291" s="21" t="s">
        <v>3799</v>
      </c>
      <c r="F1291" s="22" t="s">
        <v>3800</v>
      </c>
    </row>
    <row r="1292" spans="4:6" ht="12.75">
      <c r="D1292" s="20" t="s">
        <v>3801</v>
      </c>
      <c r="E1292" s="21" t="s">
        <v>3802</v>
      </c>
      <c r="F1292" s="22" t="s">
        <v>3803</v>
      </c>
    </row>
    <row r="1293" spans="4:6" ht="12.75">
      <c r="D1293" s="20" t="s">
        <v>3804</v>
      </c>
      <c r="E1293" s="21" t="s">
        <v>3805</v>
      </c>
      <c r="F1293" s="22" t="s">
        <v>3806</v>
      </c>
    </row>
    <row r="1294" spans="4:6" ht="12.75">
      <c r="D1294" s="20" t="s">
        <v>3807</v>
      </c>
      <c r="E1294" s="21" t="s">
        <v>3808</v>
      </c>
      <c r="F1294" s="22" t="s">
        <v>3809</v>
      </c>
    </row>
    <row r="1295" spans="4:6" ht="12.75">
      <c r="D1295" s="20" t="s">
        <v>3810</v>
      </c>
      <c r="E1295" s="21" t="s">
        <v>3811</v>
      </c>
      <c r="F1295" s="22" t="s">
        <v>3812</v>
      </c>
    </row>
    <row r="1296" spans="4:6" ht="12.75">
      <c r="D1296" s="20" t="s">
        <v>3813</v>
      </c>
      <c r="E1296" s="21" t="s">
        <v>3814</v>
      </c>
      <c r="F1296" s="22" t="s">
        <v>3815</v>
      </c>
    </row>
    <row r="1297" spans="4:6" ht="12.75">
      <c r="D1297" s="20" t="s">
        <v>3816</v>
      </c>
      <c r="E1297" s="21" t="s">
        <v>3817</v>
      </c>
      <c r="F1297" s="22" t="s">
        <v>3818</v>
      </c>
    </row>
    <row r="1298" spans="4:6" ht="12.75">
      <c r="D1298" s="20" t="s">
        <v>3819</v>
      </c>
      <c r="E1298" s="21" t="s">
        <v>3820</v>
      </c>
      <c r="F1298" s="22" t="s">
        <v>3821</v>
      </c>
    </row>
    <row r="1299" spans="4:6" ht="12.75">
      <c r="D1299" s="20" t="s">
        <v>3822</v>
      </c>
      <c r="E1299" s="21" t="s">
        <v>3823</v>
      </c>
      <c r="F1299" s="22" t="s">
        <v>3824</v>
      </c>
    </row>
    <row r="1300" spans="4:6" ht="12.75">
      <c r="D1300" s="20" t="s">
        <v>3825</v>
      </c>
      <c r="E1300" s="21" t="s">
        <v>3826</v>
      </c>
      <c r="F1300" s="22" t="s">
        <v>3827</v>
      </c>
    </row>
    <row r="1301" spans="4:6" ht="12.75">
      <c r="D1301" s="20" t="s">
        <v>3828</v>
      </c>
      <c r="E1301" s="21" t="s">
        <v>3829</v>
      </c>
      <c r="F1301" s="22" t="s">
        <v>3830</v>
      </c>
    </row>
    <row r="1302" spans="4:6" ht="12.75">
      <c r="D1302" s="20" t="s">
        <v>3831</v>
      </c>
      <c r="E1302" s="21" t="s">
        <v>3832</v>
      </c>
      <c r="F1302" s="22" t="s">
        <v>3833</v>
      </c>
    </row>
    <row r="1303" spans="4:6" ht="12.75">
      <c r="D1303" s="20" t="s">
        <v>3834</v>
      </c>
      <c r="E1303" s="21" t="s">
        <v>3835</v>
      </c>
      <c r="F1303" s="22" t="s">
        <v>3836</v>
      </c>
    </row>
    <row r="1304" spans="4:6" ht="12.75">
      <c r="D1304" s="20" t="s">
        <v>3837</v>
      </c>
      <c r="E1304" s="21" t="s">
        <v>3838</v>
      </c>
      <c r="F1304" s="22" t="s">
        <v>3839</v>
      </c>
    </row>
    <row r="1305" spans="4:6" ht="12.75">
      <c r="D1305" s="20" t="s">
        <v>3840</v>
      </c>
      <c r="E1305" s="21" t="s">
        <v>3841</v>
      </c>
      <c r="F1305" s="22" t="s">
        <v>3842</v>
      </c>
    </row>
    <row r="1306" spans="4:6" ht="12.75">
      <c r="D1306" s="20" t="s">
        <v>3843</v>
      </c>
      <c r="E1306" s="21" t="s">
        <v>3844</v>
      </c>
      <c r="F1306" s="22" t="s">
        <v>3845</v>
      </c>
    </row>
    <row r="1307" spans="4:6" ht="12.75">
      <c r="D1307" s="20" t="s">
        <v>3846</v>
      </c>
      <c r="E1307" s="21" t="s">
        <v>3847</v>
      </c>
      <c r="F1307" s="22" t="s">
        <v>3848</v>
      </c>
    </row>
    <row r="1308" spans="4:6" ht="12.75">
      <c r="D1308" s="20" t="s">
        <v>3849</v>
      </c>
      <c r="E1308" s="21" t="s">
        <v>3850</v>
      </c>
      <c r="F1308" s="22" t="s">
        <v>3851</v>
      </c>
    </row>
    <row r="1309" spans="4:6" ht="12.75">
      <c r="D1309" s="20" t="s">
        <v>3852</v>
      </c>
      <c r="E1309" s="21" t="s">
        <v>3853</v>
      </c>
      <c r="F1309" s="22" t="s">
        <v>3854</v>
      </c>
    </row>
    <row r="1310" spans="4:6" ht="12.75">
      <c r="D1310" s="20" t="s">
        <v>3855</v>
      </c>
      <c r="E1310" s="21" t="s">
        <v>3856</v>
      </c>
      <c r="F1310" s="22" t="s">
        <v>3857</v>
      </c>
    </row>
    <row r="1311" spans="4:6" ht="12.75">
      <c r="D1311" s="20" t="s">
        <v>3858</v>
      </c>
      <c r="E1311" s="21" t="s">
        <v>3859</v>
      </c>
      <c r="F1311" s="22" t="s">
        <v>3860</v>
      </c>
    </row>
    <row r="1312" spans="4:6" ht="12.75">
      <c r="D1312" s="20" t="s">
        <v>3861</v>
      </c>
      <c r="E1312" s="21" t="s">
        <v>3862</v>
      </c>
      <c r="F1312" s="22" t="s">
        <v>3863</v>
      </c>
    </row>
    <row r="1313" spans="4:6" ht="12.75">
      <c r="D1313" s="20" t="s">
        <v>3864</v>
      </c>
      <c r="E1313" s="21" t="s">
        <v>3865</v>
      </c>
      <c r="F1313" s="22" t="s">
        <v>3866</v>
      </c>
    </row>
    <row r="1314" spans="4:6" ht="12.75">
      <c r="D1314" s="20" t="s">
        <v>3867</v>
      </c>
      <c r="E1314" s="21" t="s">
        <v>3868</v>
      </c>
      <c r="F1314" s="22" t="s">
        <v>3869</v>
      </c>
    </row>
    <row r="1315" spans="4:6" ht="12.75">
      <c r="D1315" s="20" t="s">
        <v>3870</v>
      </c>
      <c r="E1315" s="21" t="s">
        <v>3871</v>
      </c>
      <c r="F1315" s="22" t="s">
        <v>3872</v>
      </c>
    </row>
    <row r="1316" spans="4:6" ht="12.75">
      <c r="D1316" s="20" t="s">
        <v>3873</v>
      </c>
      <c r="E1316" s="21" t="s">
        <v>3874</v>
      </c>
      <c r="F1316" s="22" t="s">
        <v>3875</v>
      </c>
    </row>
    <row r="1317" spans="4:6" ht="12.75">
      <c r="D1317" s="20" t="s">
        <v>3876</v>
      </c>
      <c r="E1317" s="21" t="s">
        <v>3877</v>
      </c>
      <c r="F1317" s="22" t="s">
        <v>3878</v>
      </c>
    </row>
    <row r="1318" spans="4:6" ht="12.75">
      <c r="D1318" s="20" t="s">
        <v>3879</v>
      </c>
      <c r="E1318" s="21" t="s">
        <v>3880</v>
      </c>
      <c r="F1318" s="22" t="s">
        <v>3881</v>
      </c>
    </row>
    <row r="1319" spans="4:6" ht="12.75">
      <c r="D1319" s="20" t="s">
        <v>3882</v>
      </c>
      <c r="E1319" s="21" t="s">
        <v>3883</v>
      </c>
      <c r="F1319" s="22" t="s">
        <v>3884</v>
      </c>
    </row>
    <row r="1320" spans="4:6" ht="12.75">
      <c r="D1320" s="20" t="s">
        <v>3885</v>
      </c>
      <c r="E1320" s="21" t="s">
        <v>3886</v>
      </c>
      <c r="F1320" s="22" t="s">
        <v>3887</v>
      </c>
    </row>
    <row r="1321" spans="4:6" ht="12.75">
      <c r="D1321" s="20" t="s">
        <v>3888</v>
      </c>
      <c r="E1321" s="21" t="s">
        <v>3889</v>
      </c>
      <c r="F1321" s="22" t="s">
        <v>3890</v>
      </c>
    </row>
    <row r="1322" spans="4:6" ht="12.75">
      <c r="D1322" s="20" t="s">
        <v>3891</v>
      </c>
      <c r="E1322" s="21" t="s">
        <v>3892</v>
      </c>
      <c r="F1322" s="22" t="s">
        <v>3893</v>
      </c>
    </row>
    <row r="1323" spans="4:6" ht="12.75">
      <c r="D1323" s="20" t="s">
        <v>3894</v>
      </c>
      <c r="E1323" s="21" t="s">
        <v>3895</v>
      </c>
      <c r="F1323" s="22" t="s">
        <v>3896</v>
      </c>
    </row>
    <row r="1324" spans="4:6" ht="12.75">
      <c r="D1324" s="20" t="s">
        <v>3897</v>
      </c>
      <c r="E1324" s="21" t="s">
        <v>3898</v>
      </c>
      <c r="F1324" s="21" t="s">
        <v>3899</v>
      </c>
    </row>
    <row r="1325" spans="4:6" ht="12.75">
      <c r="D1325" s="20" t="s">
        <v>3900</v>
      </c>
      <c r="E1325" s="21" t="s">
        <v>3901</v>
      </c>
      <c r="F1325" s="22" t="s">
        <v>3902</v>
      </c>
    </row>
    <row r="1326" spans="4:6" ht="12.75">
      <c r="D1326" s="20" t="s">
        <v>3903</v>
      </c>
      <c r="E1326" s="21" t="s">
        <v>3904</v>
      </c>
      <c r="F1326" s="22" t="s">
        <v>3905</v>
      </c>
    </row>
    <row r="1327" spans="4:6" ht="12.75">
      <c r="D1327" s="20" t="s">
        <v>3906</v>
      </c>
      <c r="E1327" s="21" t="s">
        <v>3907</v>
      </c>
      <c r="F1327" s="22" t="s">
        <v>3908</v>
      </c>
    </row>
    <row r="1328" spans="4:6" ht="12.75">
      <c r="D1328" s="20" t="s">
        <v>3909</v>
      </c>
      <c r="E1328" s="21" t="s">
        <v>3910</v>
      </c>
      <c r="F1328" s="22" t="s">
        <v>3911</v>
      </c>
    </row>
    <row r="1329" spans="4:6" ht="12.75">
      <c r="D1329" s="20" t="s">
        <v>3912</v>
      </c>
      <c r="E1329" s="21" t="s">
        <v>3913</v>
      </c>
      <c r="F1329" s="22" t="s">
        <v>3914</v>
      </c>
    </row>
    <row r="1330" spans="4:6" ht="12.75">
      <c r="D1330" s="20" t="s">
        <v>3915</v>
      </c>
      <c r="E1330" s="21" t="s">
        <v>3916</v>
      </c>
      <c r="F1330" s="22" t="s">
        <v>3917</v>
      </c>
    </row>
    <row r="1331" spans="4:6" ht="12.75">
      <c r="D1331" s="20" t="s">
        <v>3918</v>
      </c>
      <c r="E1331" s="21" t="s">
        <v>3919</v>
      </c>
      <c r="F1331" s="22" t="s">
        <v>3920</v>
      </c>
    </row>
    <row r="1332" spans="4:6" ht="12.75">
      <c r="D1332" s="20" t="s">
        <v>3921</v>
      </c>
      <c r="E1332" s="21" t="s">
        <v>3922</v>
      </c>
      <c r="F1332" s="21" t="s">
        <v>3923</v>
      </c>
    </row>
    <row r="1333" spans="4:6" ht="12.75">
      <c r="D1333" s="20" t="s">
        <v>3924</v>
      </c>
      <c r="E1333" s="21" t="s">
        <v>3925</v>
      </c>
      <c r="F1333" s="22" t="s">
        <v>3926</v>
      </c>
    </row>
    <row r="1334" spans="4:6" ht="12.75">
      <c r="D1334" s="20" t="s">
        <v>3927</v>
      </c>
      <c r="E1334" s="21" t="s">
        <v>3928</v>
      </c>
      <c r="F1334" s="22" t="s">
        <v>3929</v>
      </c>
    </row>
    <row r="1335" spans="4:6" ht="12.75">
      <c r="D1335" s="20" t="s">
        <v>3930</v>
      </c>
      <c r="E1335" s="21" t="s">
        <v>3931</v>
      </c>
      <c r="F1335" s="22" t="s">
        <v>3932</v>
      </c>
    </row>
    <row r="1336" spans="4:6" ht="12.75">
      <c r="D1336" s="20" t="s">
        <v>3933</v>
      </c>
      <c r="E1336" s="21" t="s">
        <v>3934</v>
      </c>
      <c r="F1336" s="22" t="s">
        <v>3935</v>
      </c>
    </row>
    <row r="1337" spans="4:6" ht="12.75">
      <c r="D1337" s="20" t="s">
        <v>3936</v>
      </c>
      <c r="E1337" s="21" t="s">
        <v>3937</v>
      </c>
      <c r="F1337" s="22" t="s">
        <v>3938</v>
      </c>
    </row>
    <row r="1338" spans="4:6" ht="12.75">
      <c r="D1338" s="20" t="s">
        <v>3939</v>
      </c>
      <c r="E1338" s="21" t="s">
        <v>3940</v>
      </c>
      <c r="F1338" s="22" t="s">
        <v>3941</v>
      </c>
    </row>
    <row r="1339" spans="4:6" ht="12.75">
      <c r="D1339" s="20" t="s">
        <v>3942</v>
      </c>
      <c r="E1339" s="21" t="s">
        <v>3943</v>
      </c>
      <c r="F1339" s="22" t="s">
        <v>3944</v>
      </c>
    </row>
    <row r="1340" spans="4:6" ht="12.75">
      <c r="D1340" s="20" t="s">
        <v>3945</v>
      </c>
      <c r="E1340" s="21" t="s">
        <v>3946</v>
      </c>
      <c r="F1340" s="22" t="s">
        <v>3947</v>
      </c>
    </row>
    <row r="1341" spans="4:6" ht="12.75">
      <c r="D1341" s="20" t="s">
        <v>3948</v>
      </c>
      <c r="E1341" s="21" t="s">
        <v>3949</v>
      </c>
      <c r="F1341" s="22" t="s">
        <v>3950</v>
      </c>
    </row>
    <row r="1342" spans="4:6" ht="12.75">
      <c r="D1342" s="20" t="s">
        <v>3951</v>
      </c>
      <c r="E1342" s="21" t="s">
        <v>3952</v>
      </c>
      <c r="F1342" s="22" t="s">
        <v>3953</v>
      </c>
    </row>
    <row r="1343" spans="4:6" ht="12.75">
      <c r="D1343" s="20" t="s">
        <v>284</v>
      </c>
      <c r="E1343" s="21"/>
      <c r="F1343" s="22"/>
    </row>
    <row r="1344" spans="4:6" ht="12.75">
      <c r="D1344" s="20" t="s">
        <v>3954</v>
      </c>
      <c r="E1344" s="21" t="s">
        <v>3955</v>
      </c>
      <c r="F1344" s="22" t="s">
        <v>3956</v>
      </c>
    </row>
    <row r="1345" spans="4:6" ht="12.75">
      <c r="D1345" s="20" t="s">
        <v>3957</v>
      </c>
      <c r="E1345" s="21" t="s">
        <v>3958</v>
      </c>
      <c r="F1345" s="22" t="s">
        <v>3959</v>
      </c>
    </row>
    <row r="1346" spans="4:6" ht="12.75">
      <c r="D1346" s="20" t="s">
        <v>3960</v>
      </c>
      <c r="E1346" s="21" t="s">
        <v>3961</v>
      </c>
      <c r="F1346" s="22" t="s">
        <v>3962</v>
      </c>
    </row>
    <row r="1347" spans="4:6" ht="12.75">
      <c r="D1347" s="20" t="s">
        <v>3963</v>
      </c>
      <c r="E1347" s="21" t="s">
        <v>3964</v>
      </c>
      <c r="F1347" s="22" t="s">
        <v>3965</v>
      </c>
    </row>
    <row r="1348" spans="4:6" ht="12.75">
      <c r="D1348" s="20" t="s">
        <v>3966</v>
      </c>
      <c r="E1348" s="21" t="s">
        <v>3967</v>
      </c>
      <c r="F1348" s="22" t="s">
        <v>3968</v>
      </c>
    </row>
    <row r="1349" spans="4:6" ht="12.75">
      <c r="D1349" s="20" t="s">
        <v>3969</v>
      </c>
      <c r="E1349" s="21" t="s">
        <v>3970</v>
      </c>
      <c r="F1349" s="22" t="s">
        <v>3971</v>
      </c>
    </row>
    <row r="1350" spans="4:6" ht="12.75">
      <c r="D1350" s="20" t="s">
        <v>3972</v>
      </c>
      <c r="E1350" s="21" t="s">
        <v>3973</v>
      </c>
      <c r="F1350" s="22" t="s">
        <v>3974</v>
      </c>
    </row>
    <row r="1351" spans="4:6" ht="12.75">
      <c r="D1351" s="20" t="s">
        <v>3975</v>
      </c>
      <c r="E1351" s="21" t="s">
        <v>3976</v>
      </c>
      <c r="F1351" s="22" t="s">
        <v>3977</v>
      </c>
    </row>
    <row r="1352" spans="4:6" ht="12.75">
      <c r="D1352" s="20" t="s">
        <v>3978</v>
      </c>
      <c r="E1352" s="21" t="s">
        <v>3979</v>
      </c>
      <c r="F1352" s="22" t="s">
        <v>3980</v>
      </c>
    </row>
    <row r="1353" spans="4:6" ht="12.75">
      <c r="D1353" s="20" t="s">
        <v>3981</v>
      </c>
      <c r="E1353" s="21" t="s">
        <v>3982</v>
      </c>
      <c r="F1353" s="22" t="s">
        <v>3983</v>
      </c>
    </row>
    <row r="1354" spans="4:6" ht="12.75">
      <c r="D1354" s="20" t="s">
        <v>3984</v>
      </c>
      <c r="E1354" s="21" t="s">
        <v>3985</v>
      </c>
      <c r="F1354" s="22" t="s">
        <v>3986</v>
      </c>
    </row>
    <row r="1355" spans="4:6" ht="12.75">
      <c r="D1355" s="20" t="s">
        <v>3987</v>
      </c>
      <c r="E1355" s="21" t="s">
        <v>3988</v>
      </c>
      <c r="F1355" s="22" t="s">
        <v>3989</v>
      </c>
    </row>
    <row r="1356" spans="4:6" ht="12.75">
      <c r="D1356" s="20" t="s">
        <v>3990</v>
      </c>
      <c r="E1356" s="21" t="s">
        <v>3991</v>
      </c>
      <c r="F1356" s="22" t="s">
        <v>3992</v>
      </c>
    </row>
    <row r="1357" spans="4:6" ht="12.75">
      <c r="D1357" s="20" t="s">
        <v>3993</v>
      </c>
      <c r="E1357" s="21" t="s">
        <v>3994</v>
      </c>
      <c r="F1357" s="22" t="s">
        <v>3995</v>
      </c>
    </row>
    <row r="1358" spans="4:6" ht="12.75">
      <c r="D1358" s="20" t="s">
        <v>3996</v>
      </c>
      <c r="E1358" s="21" t="s">
        <v>3997</v>
      </c>
      <c r="F1358" s="22" t="s">
        <v>3998</v>
      </c>
    </row>
    <row r="1359" spans="4:6" ht="12.75">
      <c r="D1359" s="20" t="s">
        <v>3999</v>
      </c>
      <c r="E1359" s="21" t="s">
        <v>4000</v>
      </c>
      <c r="F1359" s="22" t="s">
        <v>4001</v>
      </c>
    </row>
    <row r="1360" spans="4:6" ht="12.75">
      <c r="D1360" s="20" t="s">
        <v>4002</v>
      </c>
      <c r="E1360" s="21" t="s">
        <v>4003</v>
      </c>
      <c r="F1360" s="22" t="s">
        <v>4004</v>
      </c>
    </row>
    <row r="1361" spans="4:6" ht="12.75">
      <c r="D1361" s="20" t="s">
        <v>4005</v>
      </c>
      <c r="E1361" s="21" t="s">
        <v>4006</v>
      </c>
      <c r="F1361" s="22" t="s">
        <v>4007</v>
      </c>
    </row>
    <row r="1362" spans="4:6" ht="12.75">
      <c r="D1362" s="20" t="s">
        <v>4008</v>
      </c>
      <c r="E1362" s="21" t="s">
        <v>4009</v>
      </c>
      <c r="F1362" s="22" t="s">
        <v>4010</v>
      </c>
    </row>
    <row r="1363" spans="4:6" ht="12.75">
      <c r="D1363" s="20" t="s">
        <v>4011</v>
      </c>
      <c r="E1363" s="21" t="s">
        <v>4012</v>
      </c>
      <c r="F1363" s="22" t="s">
        <v>4013</v>
      </c>
    </row>
    <row r="1364" spans="4:6" ht="12.75">
      <c r="D1364" s="20" t="s">
        <v>4014</v>
      </c>
      <c r="E1364" s="21" t="s">
        <v>4015</v>
      </c>
      <c r="F1364" s="22" t="s">
        <v>4016</v>
      </c>
    </row>
    <row r="1365" spans="4:6" ht="12.75">
      <c r="D1365" s="20" t="s">
        <v>4017</v>
      </c>
      <c r="E1365" s="21" t="s">
        <v>4018</v>
      </c>
      <c r="F1365" s="22"/>
    </row>
    <row r="1366" spans="4:6" ht="12.75">
      <c r="D1366" s="20" t="s">
        <v>4019</v>
      </c>
      <c r="E1366" s="21" t="s">
        <v>4020</v>
      </c>
      <c r="F1366" s="22" t="s">
        <v>4021</v>
      </c>
    </row>
    <row r="1367" spans="4:6" ht="12.75">
      <c r="D1367" s="20" t="s">
        <v>4022</v>
      </c>
      <c r="E1367" s="21" t="s">
        <v>4023</v>
      </c>
      <c r="F1367" s="22" t="s">
        <v>4024</v>
      </c>
    </row>
    <row r="1368" spans="4:6" ht="12.75">
      <c r="D1368" s="20" t="s">
        <v>4025</v>
      </c>
      <c r="E1368" s="21" t="s">
        <v>4026</v>
      </c>
      <c r="F1368" s="22" t="s">
        <v>4027</v>
      </c>
    </row>
    <row r="1369" spans="4:6" ht="12.75">
      <c r="D1369" s="20" t="s">
        <v>4028</v>
      </c>
      <c r="E1369" s="21" t="s">
        <v>4029</v>
      </c>
      <c r="F1369" s="22" t="s">
        <v>4030</v>
      </c>
    </row>
    <row r="1370" spans="4:6" ht="12.75">
      <c r="D1370" s="20" t="s">
        <v>4031</v>
      </c>
      <c r="E1370" s="21" t="s">
        <v>4032</v>
      </c>
      <c r="F1370" s="22" t="s">
        <v>4033</v>
      </c>
    </row>
    <row r="1371" spans="4:6" ht="12.75">
      <c r="D1371" s="20" t="s">
        <v>4034</v>
      </c>
      <c r="E1371" s="21" t="s">
        <v>4035</v>
      </c>
      <c r="F1371" s="22" t="s">
        <v>4036</v>
      </c>
    </row>
    <row r="1372" spans="4:6" ht="12.75">
      <c r="D1372" s="20" t="s">
        <v>4037</v>
      </c>
      <c r="E1372" s="21" t="s">
        <v>4038</v>
      </c>
      <c r="F1372" s="22" t="s">
        <v>4039</v>
      </c>
    </row>
    <row r="1373" spans="4:6" ht="12.75">
      <c r="D1373" s="20" t="s">
        <v>4040</v>
      </c>
      <c r="E1373" s="21" t="s">
        <v>4041</v>
      </c>
      <c r="F1373" s="22" t="s">
        <v>4042</v>
      </c>
    </row>
    <row r="1374" spans="4:6" ht="12.75">
      <c r="D1374" s="20" t="s">
        <v>4043</v>
      </c>
      <c r="E1374" s="21" t="s">
        <v>57</v>
      </c>
      <c r="F1374" s="22" t="s">
        <v>4044</v>
      </c>
    </row>
    <row r="1375" spans="4:6" ht="12.75">
      <c r="D1375" s="20" t="s">
        <v>4045</v>
      </c>
      <c r="E1375" s="21" t="s">
        <v>4046</v>
      </c>
      <c r="F1375" s="22" t="s">
        <v>4047</v>
      </c>
    </row>
    <row r="1376" spans="4:6" ht="12.75">
      <c r="D1376" s="20" t="s">
        <v>4048</v>
      </c>
      <c r="E1376" s="21" t="s">
        <v>4049</v>
      </c>
      <c r="F1376" s="21" t="s">
        <v>4050</v>
      </c>
    </row>
    <row r="1377" spans="4:6" ht="12.75">
      <c r="D1377" s="20" t="s">
        <v>4051</v>
      </c>
      <c r="E1377" s="21" t="s">
        <v>4052</v>
      </c>
      <c r="F1377" s="22" t="s">
        <v>4053</v>
      </c>
    </row>
    <row r="1378" spans="4:6" ht="12.75">
      <c r="D1378" s="20" t="s">
        <v>4054</v>
      </c>
      <c r="E1378" s="21" t="s">
        <v>4055</v>
      </c>
      <c r="F1378" s="22" t="s">
        <v>4056</v>
      </c>
    </row>
    <row r="1379" spans="4:6" ht="12.75">
      <c r="D1379" s="20" t="s">
        <v>4057</v>
      </c>
      <c r="E1379" s="21" t="s">
        <v>4058</v>
      </c>
      <c r="F1379" s="21" t="s">
        <v>4059</v>
      </c>
    </row>
    <row r="1380" spans="4:6" ht="12.75">
      <c r="D1380" s="20" t="s">
        <v>4060</v>
      </c>
      <c r="E1380" s="21" t="s">
        <v>4061</v>
      </c>
      <c r="F1380" s="22" t="s">
        <v>4062</v>
      </c>
    </row>
    <row r="1381" spans="4:6" ht="12.75">
      <c r="D1381" s="20" t="s">
        <v>4063</v>
      </c>
      <c r="E1381" s="21" t="s">
        <v>4064</v>
      </c>
      <c r="F1381" s="22" t="s">
        <v>4065</v>
      </c>
    </row>
    <row r="1382" spans="4:6" ht="12.75">
      <c r="D1382" s="20" t="s">
        <v>4066</v>
      </c>
      <c r="E1382" s="21" t="s">
        <v>4067</v>
      </c>
      <c r="F1382" s="22" t="s">
        <v>4068</v>
      </c>
    </row>
    <row r="1383" spans="4:6" ht="12.75">
      <c r="D1383" s="20" t="s">
        <v>4069</v>
      </c>
      <c r="E1383" s="21" t="s">
        <v>4070</v>
      </c>
      <c r="F1383" s="22" t="s">
        <v>4071</v>
      </c>
    </row>
    <row r="1384" spans="4:6" ht="12.75">
      <c r="D1384" s="20" t="s">
        <v>4072</v>
      </c>
      <c r="E1384" s="21" t="s">
        <v>4073</v>
      </c>
      <c r="F1384" s="22" t="s">
        <v>4074</v>
      </c>
    </row>
    <row r="1385" spans="4:6" ht="12.75">
      <c r="D1385" s="20" t="s">
        <v>4075</v>
      </c>
      <c r="E1385" s="21" t="s">
        <v>4076</v>
      </c>
      <c r="F1385" s="22" t="s">
        <v>4077</v>
      </c>
    </row>
    <row r="1386" spans="4:6" ht="12.75">
      <c r="D1386" s="20" t="s">
        <v>284</v>
      </c>
      <c r="E1386" s="21"/>
      <c r="F1386" s="22"/>
    </row>
    <row r="1387" spans="4:6" ht="12.75">
      <c r="D1387" s="20" t="s">
        <v>4078</v>
      </c>
      <c r="E1387" s="21" t="s">
        <v>4079</v>
      </c>
      <c r="F1387" s="22" t="s">
        <v>4080</v>
      </c>
    </row>
    <row r="1388" spans="4:6" ht="12.75">
      <c r="D1388" s="20" t="s">
        <v>4081</v>
      </c>
      <c r="E1388" s="21" t="s">
        <v>4082</v>
      </c>
      <c r="F1388" s="22" t="s">
        <v>4083</v>
      </c>
    </row>
    <row r="1389" spans="4:6" ht="12.75">
      <c r="D1389" s="20" t="s">
        <v>4084</v>
      </c>
      <c r="E1389" s="21" t="s">
        <v>4085</v>
      </c>
      <c r="F1389" s="22" t="s">
        <v>4086</v>
      </c>
    </row>
    <row r="1390" spans="4:6" ht="12.75">
      <c r="D1390" s="20" t="s">
        <v>4087</v>
      </c>
      <c r="E1390" s="21" t="s">
        <v>4088</v>
      </c>
      <c r="F1390" s="22" t="s">
        <v>4089</v>
      </c>
    </row>
    <row r="1391" spans="4:6" ht="12.75">
      <c r="D1391" s="20" t="s">
        <v>4090</v>
      </c>
      <c r="E1391" s="21" t="s">
        <v>4091</v>
      </c>
      <c r="F1391" s="22" t="s">
        <v>4092</v>
      </c>
    </row>
    <row r="1392" spans="4:6" ht="12.75">
      <c r="D1392" s="20" t="s">
        <v>4093</v>
      </c>
      <c r="E1392" s="21" t="s">
        <v>4094</v>
      </c>
      <c r="F1392" s="22" t="s">
        <v>4095</v>
      </c>
    </row>
    <row r="1393" spans="4:6" ht="12.75">
      <c r="D1393" s="20" t="s">
        <v>4096</v>
      </c>
      <c r="E1393" s="21" t="s">
        <v>4097</v>
      </c>
      <c r="F1393" s="22" t="s">
        <v>4098</v>
      </c>
    </row>
    <row r="1394" spans="4:6" ht="12.75">
      <c r="D1394" s="20" t="s">
        <v>4099</v>
      </c>
      <c r="E1394" s="21" t="s">
        <v>4100</v>
      </c>
      <c r="F1394" s="22" t="s">
        <v>4101</v>
      </c>
    </row>
    <row r="1395" spans="4:6" ht="12.75">
      <c r="D1395" s="20" t="s">
        <v>4102</v>
      </c>
      <c r="E1395" s="21" t="s">
        <v>4103</v>
      </c>
      <c r="F1395" s="22" t="s">
        <v>4104</v>
      </c>
    </row>
    <row r="1396" spans="4:6" ht="12.75">
      <c r="D1396" s="20" t="s">
        <v>4105</v>
      </c>
      <c r="E1396" s="21" t="s">
        <v>4106</v>
      </c>
      <c r="F1396" s="22" t="s">
        <v>4107</v>
      </c>
    </row>
    <row r="1397" spans="4:6" ht="12.75">
      <c r="D1397" s="20" t="s">
        <v>4108</v>
      </c>
      <c r="E1397" s="21" t="s">
        <v>4109</v>
      </c>
      <c r="F1397" s="22" t="s">
        <v>4110</v>
      </c>
    </row>
    <row r="1398" spans="4:6" ht="12.75">
      <c r="D1398" s="20" t="s">
        <v>4111</v>
      </c>
      <c r="E1398" s="21" t="s">
        <v>62</v>
      </c>
      <c r="F1398" s="22" t="s">
        <v>4112</v>
      </c>
    </row>
    <row r="1399" spans="4:6" ht="12.75">
      <c r="D1399" s="20" t="s">
        <v>4113</v>
      </c>
      <c r="E1399" s="21" t="s">
        <v>4114</v>
      </c>
      <c r="F1399" s="22" t="s">
        <v>4115</v>
      </c>
    </row>
    <row r="1400" spans="4:6" ht="12.75">
      <c r="D1400" s="20" t="s">
        <v>4116</v>
      </c>
      <c r="E1400" s="21" t="s">
        <v>4117</v>
      </c>
      <c r="F1400" s="22" t="s">
        <v>4118</v>
      </c>
    </row>
    <row r="1401" spans="4:6" ht="12.75">
      <c r="D1401" s="20" t="s">
        <v>284</v>
      </c>
      <c r="E1401" s="21"/>
      <c r="F1401" s="22"/>
    </row>
    <row r="1402" spans="4:6" ht="12.75">
      <c r="D1402" s="20" t="s">
        <v>4119</v>
      </c>
      <c r="E1402" s="21" t="s">
        <v>4120</v>
      </c>
      <c r="F1402" s="22" t="s">
        <v>4121</v>
      </c>
    </row>
    <row r="1403" spans="4:6" ht="12.75">
      <c r="D1403" s="20" t="s">
        <v>4122</v>
      </c>
      <c r="E1403" s="21" t="s">
        <v>4123</v>
      </c>
      <c r="F1403" s="22" t="s">
        <v>4124</v>
      </c>
    </row>
    <row r="1404" spans="4:6" ht="12.75">
      <c r="D1404" s="20" t="s">
        <v>4125</v>
      </c>
      <c r="E1404" s="21" t="s">
        <v>4126</v>
      </c>
      <c r="F1404" s="22" t="s">
        <v>4127</v>
      </c>
    </row>
    <row r="1405" spans="4:6" ht="12.75">
      <c r="D1405" s="20" t="s">
        <v>4128</v>
      </c>
      <c r="E1405" s="21" t="s">
        <v>4129</v>
      </c>
      <c r="F1405" s="22" t="s">
        <v>4130</v>
      </c>
    </row>
    <row r="1406" spans="4:6" ht="12.75">
      <c r="D1406" s="20" t="s">
        <v>4131</v>
      </c>
      <c r="E1406" s="21" t="s">
        <v>4132</v>
      </c>
      <c r="F1406" s="22" t="s">
        <v>4133</v>
      </c>
    </row>
    <row r="1407" spans="4:6" ht="12.75">
      <c r="D1407" s="20" t="s">
        <v>4134</v>
      </c>
      <c r="E1407" s="21" t="s">
        <v>4135</v>
      </c>
      <c r="F1407" s="22" t="s">
        <v>4136</v>
      </c>
    </row>
    <row r="1408" spans="4:6" ht="12.75">
      <c r="D1408" s="20" t="s">
        <v>4137</v>
      </c>
      <c r="E1408" s="21" t="s">
        <v>4138</v>
      </c>
      <c r="F1408" s="22" t="s">
        <v>4139</v>
      </c>
    </row>
    <row r="1409" spans="4:6" ht="12.75">
      <c r="D1409" s="20" t="s">
        <v>284</v>
      </c>
      <c r="E1409" s="21"/>
      <c r="F1409" s="22"/>
    </row>
    <row r="1410" spans="4:6" ht="12.75">
      <c r="D1410" s="20" t="s">
        <v>284</v>
      </c>
      <c r="E1410" s="21"/>
      <c r="F1410" s="22"/>
    </row>
    <row r="1411" spans="4:6" ht="12.75">
      <c r="D1411" s="20" t="s">
        <v>4140</v>
      </c>
      <c r="E1411" s="21" t="s">
        <v>4141</v>
      </c>
      <c r="F1411" s="22" t="s">
        <v>4142</v>
      </c>
    </row>
    <row r="1412" spans="4:6" ht="12.75">
      <c r="D1412" s="20" t="s">
        <v>4143</v>
      </c>
      <c r="E1412" s="21" t="s">
        <v>4144</v>
      </c>
      <c r="F1412" s="22" t="s">
        <v>4145</v>
      </c>
    </row>
    <row r="1413" spans="4:6" ht="12.75">
      <c r="D1413" s="20" t="s">
        <v>4146</v>
      </c>
      <c r="E1413" s="21" t="s">
        <v>4147</v>
      </c>
      <c r="F1413" s="22" t="s">
        <v>4148</v>
      </c>
    </row>
    <row r="1414" spans="4:6" ht="12.75">
      <c r="D1414" s="20" t="s">
        <v>4149</v>
      </c>
      <c r="E1414" s="21" t="s">
        <v>4150</v>
      </c>
      <c r="F1414" s="22" t="s">
        <v>4151</v>
      </c>
    </row>
    <row r="1415" spans="4:6" ht="12.75">
      <c r="D1415" s="20" t="s">
        <v>4152</v>
      </c>
      <c r="E1415" s="21" t="s">
        <v>4153</v>
      </c>
      <c r="F1415" s="22" t="s">
        <v>4154</v>
      </c>
    </row>
    <row r="1416" spans="4:6" ht="12.75">
      <c r="D1416" s="20" t="s">
        <v>4155</v>
      </c>
      <c r="E1416" s="21" t="s">
        <v>4156</v>
      </c>
      <c r="F1416" s="22" t="s">
        <v>4157</v>
      </c>
    </row>
    <row r="1417" spans="4:6" ht="12.75">
      <c r="D1417" s="20" t="s">
        <v>4158</v>
      </c>
      <c r="E1417" s="21" t="s">
        <v>4159</v>
      </c>
      <c r="F1417" s="22" t="s">
        <v>4160</v>
      </c>
    </row>
    <row r="1418" spans="4:6" ht="12.75">
      <c r="D1418" s="20" t="s">
        <v>4161</v>
      </c>
      <c r="E1418" s="21" t="s">
        <v>4162</v>
      </c>
      <c r="F1418" s="22" t="s">
        <v>4163</v>
      </c>
    </row>
    <row r="1419" spans="4:6" ht="12.75">
      <c r="D1419" s="20" t="s">
        <v>4164</v>
      </c>
      <c r="E1419" s="21" t="s">
        <v>4165</v>
      </c>
      <c r="F1419" s="22" t="s">
        <v>4166</v>
      </c>
    </row>
    <row r="1420" spans="4:6" ht="12.75">
      <c r="D1420" s="20" t="s">
        <v>4167</v>
      </c>
      <c r="E1420" s="21" t="s">
        <v>4168</v>
      </c>
      <c r="F1420" s="22" t="s">
        <v>4169</v>
      </c>
    </row>
    <row r="1421" spans="4:6" ht="12.75">
      <c r="D1421" s="20" t="s">
        <v>4170</v>
      </c>
      <c r="E1421" s="21" t="s">
        <v>4171</v>
      </c>
      <c r="F1421" s="22" t="s">
        <v>4172</v>
      </c>
    </row>
    <row r="1422" spans="4:6" ht="12.75">
      <c r="D1422" s="20" t="s">
        <v>4173</v>
      </c>
      <c r="E1422" s="21" t="s">
        <v>4174</v>
      </c>
      <c r="F1422" s="22" t="s">
        <v>4175</v>
      </c>
    </row>
    <row r="1423" spans="4:6" ht="12.75">
      <c r="D1423" s="20" t="s">
        <v>4176</v>
      </c>
      <c r="E1423" s="21" t="s">
        <v>4177</v>
      </c>
      <c r="F1423" s="22" t="s">
        <v>4178</v>
      </c>
    </row>
    <row r="1424" spans="4:6" ht="12.75">
      <c r="D1424" s="20" t="s">
        <v>4179</v>
      </c>
      <c r="E1424" s="21" t="s">
        <v>4180</v>
      </c>
      <c r="F1424" s="22" t="s">
        <v>4181</v>
      </c>
    </row>
    <row r="1425" spans="4:6" ht="12.75">
      <c r="D1425" s="20" t="s">
        <v>4182</v>
      </c>
      <c r="E1425" s="21" t="s">
        <v>4183</v>
      </c>
      <c r="F1425" s="22" t="s">
        <v>4184</v>
      </c>
    </row>
    <row r="1426" spans="4:6" ht="12.75">
      <c r="D1426" s="20" t="s">
        <v>284</v>
      </c>
      <c r="E1426" s="21"/>
      <c r="F1426" s="22"/>
    </row>
    <row r="1427" spans="4:6" ht="12.75">
      <c r="D1427" s="20" t="s">
        <v>4185</v>
      </c>
      <c r="E1427" s="21" t="s">
        <v>41</v>
      </c>
      <c r="F1427" s="22" t="s">
        <v>4186</v>
      </c>
    </row>
    <row r="1428" spans="4:6" ht="12.75">
      <c r="D1428" s="20" t="s">
        <v>4187</v>
      </c>
      <c r="E1428" s="21" t="s">
        <v>4188</v>
      </c>
      <c r="F1428" s="22" t="s">
        <v>4189</v>
      </c>
    </row>
    <row r="1429" spans="4:6" ht="12.75">
      <c r="D1429" s="20" t="s">
        <v>4190</v>
      </c>
      <c r="E1429" s="21" t="s">
        <v>4191</v>
      </c>
      <c r="F1429" s="22" t="s">
        <v>4192</v>
      </c>
    </row>
    <row r="1430" spans="4:6" ht="12.75">
      <c r="D1430" s="20" t="s">
        <v>4193</v>
      </c>
      <c r="E1430" s="21" t="s">
        <v>4194</v>
      </c>
      <c r="F1430" s="22" t="s">
        <v>4195</v>
      </c>
    </row>
    <row r="1431" spans="4:6" ht="12.75">
      <c r="D1431" s="20" t="s">
        <v>4196</v>
      </c>
      <c r="E1431" s="21" t="s">
        <v>4197</v>
      </c>
      <c r="F1431" s="22"/>
    </row>
    <row r="1432" spans="4:6" ht="12.75">
      <c r="D1432" s="20" t="s">
        <v>4198</v>
      </c>
      <c r="E1432" s="21" t="s">
        <v>4199</v>
      </c>
      <c r="F1432" s="22" t="s">
        <v>4200</v>
      </c>
    </row>
    <row r="1433" spans="4:6" ht="12.75">
      <c r="D1433" s="20" t="s">
        <v>4201</v>
      </c>
      <c r="E1433" s="21" t="s">
        <v>4202</v>
      </c>
      <c r="F1433" s="22" t="s">
        <v>4203</v>
      </c>
    </row>
    <row r="1434" spans="4:6" ht="12.75">
      <c r="D1434" s="20" t="s">
        <v>4204</v>
      </c>
      <c r="E1434" s="21" t="s">
        <v>4205</v>
      </c>
      <c r="F1434" s="22" t="s">
        <v>4206</v>
      </c>
    </row>
    <row r="1435" spans="4:6" ht="12.75">
      <c r="D1435" s="20" t="s">
        <v>4207</v>
      </c>
      <c r="E1435" s="21" t="s">
        <v>4208</v>
      </c>
      <c r="F1435" s="22" t="s">
        <v>4209</v>
      </c>
    </row>
    <row r="1436" spans="4:6" ht="12.75">
      <c r="D1436" s="20" t="s">
        <v>4210</v>
      </c>
      <c r="E1436" s="21" t="s">
        <v>4211</v>
      </c>
      <c r="F1436" s="22" t="s">
        <v>4212</v>
      </c>
    </row>
    <row r="1437" spans="4:6" ht="12.75">
      <c r="D1437" s="20" t="s">
        <v>4213</v>
      </c>
      <c r="E1437" s="21" t="s">
        <v>29</v>
      </c>
      <c r="F1437" s="22" t="s">
        <v>4214</v>
      </c>
    </row>
    <row r="1438" spans="4:6" ht="12.75">
      <c r="D1438" s="20" t="s">
        <v>4215</v>
      </c>
      <c r="E1438" s="21" t="s">
        <v>4216</v>
      </c>
      <c r="F1438" s="22" t="s">
        <v>4217</v>
      </c>
    </row>
    <row r="1439" spans="4:6" ht="12.75">
      <c r="D1439" s="20" t="s">
        <v>4218</v>
      </c>
      <c r="E1439" s="21" t="s">
        <v>4219</v>
      </c>
      <c r="F1439" s="22"/>
    </row>
    <row r="1440" spans="4:6" ht="12.75">
      <c r="D1440" s="20" t="s">
        <v>4220</v>
      </c>
      <c r="E1440" s="21" t="s">
        <v>4221</v>
      </c>
      <c r="F1440" s="22" t="s">
        <v>4222</v>
      </c>
    </row>
    <row r="1441" spans="4:6" ht="12.75">
      <c r="D1441" s="20" t="s">
        <v>4223</v>
      </c>
      <c r="E1441" s="21" t="s">
        <v>4224</v>
      </c>
      <c r="F1441" s="22" t="s">
        <v>4225</v>
      </c>
    </row>
    <row r="1442" spans="4:6" ht="12.75">
      <c r="D1442" s="20" t="s">
        <v>4226</v>
      </c>
      <c r="E1442" s="21" t="s">
        <v>4227</v>
      </c>
      <c r="F1442" s="22" t="s">
        <v>4228</v>
      </c>
    </row>
    <row r="1443" spans="4:6" ht="12.75">
      <c r="D1443" s="20" t="s">
        <v>4229</v>
      </c>
      <c r="E1443" s="21" t="s">
        <v>4230</v>
      </c>
      <c r="F1443" s="22" t="s">
        <v>4231</v>
      </c>
    </row>
    <row r="1444" spans="4:6" ht="12.75">
      <c r="D1444" s="20" t="s">
        <v>4232</v>
      </c>
      <c r="E1444" s="21" t="s">
        <v>4233</v>
      </c>
      <c r="F1444" s="22" t="s">
        <v>4234</v>
      </c>
    </row>
    <row r="1445" spans="4:6" ht="12.75">
      <c r="D1445" s="20" t="s">
        <v>4235</v>
      </c>
      <c r="E1445" s="21" t="s">
        <v>4236</v>
      </c>
      <c r="F1445" s="22" t="s">
        <v>4237</v>
      </c>
    </row>
    <row r="1446" spans="4:6" ht="12.75">
      <c r="D1446" s="20" t="s">
        <v>284</v>
      </c>
      <c r="E1446" s="21"/>
      <c r="F1446" s="22"/>
    </row>
    <row r="1447" spans="4:6" ht="12.75">
      <c r="D1447" s="20" t="s">
        <v>4238</v>
      </c>
      <c r="E1447" s="21" t="s">
        <v>4239</v>
      </c>
      <c r="F1447" s="22" t="s">
        <v>4240</v>
      </c>
    </row>
    <row r="1448" spans="4:6" ht="12.75">
      <c r="D1448" s="20" t="s">
        <v>4241</v>
      </c>
      <c r="E1448" s="21" t="s">
        <v>4242</v>
      </c>
      <c r="F1448" s="22" t="s">
        <v>4243</v>
      </c>
    </row>
    <row r="1449" spans="4:6" ht="12.75">
      <c r="D1449" s="20" t="s">
        <v>4244</v>
      </c>
      <c r="E1449" s="21" t="s">
        <v>4245</v>
      </c>
      <c r="F1449" s="22" t="s">
        <v>4246</v>
      </c>
    </row>
    <row r="1450" spans="4:6" ht="12.75">
      <c r="D1450" s="20" t="s">
        <v>4247</v>
      </c>
      <c r="E1450" s="21" t="s">
        <v>4248</v>
      </c>
      <c r="F1450" s="22" t="s">
        <v>4249</v>
      </c>
    </row>
    <row r="1451" spans="4:6" ht="12.75">
      <c r="D1451" s="20" t="s">
        <v>4250</v>
      </c>
      <c r="E1451" s="21" t="s">
        <v>4251</v>
      </c>
      <c r="F1451" s="22" t="s">
        <v>4252</v>
      </c>
    </row>
    <row r="1452" spans="4:6" ht="12.75">
      <c r="D1452" s="20" t="s">
        <v>4253</v>
      </c>
      <c r="E1452" s="21" t="s">
        <v>4254</v>
      </c>
      <c r="F1452" s="22" t="s">
        <v>4255</v>
      </c>
    </row>
    <row r="1453" spans="4:6" ht="12.75">
      <c r="D1453" s="20" t="s">
        <v>4256</v>
      </c>
      <c r="E1453" s="21" t="s">
        <v>4257</v>
      </c>
      <c r="F1453" s="22" t="s">
        <v>4258</v>
      </c>
    </row>
    <row r="1454" spans="4:6" ht="12.75">
      <c r="D1454" s="20" t="s">
        <v>4259</v>
      </c>
      <c r="E1454" s="21" t="s">
        <v>4260</v>
      </c>
      <c r="F1454" s="22"/>
    </row>
    <row r="1455" spans="4:6" ht="12.75">
      <c r="D1455" s="20" t="s">
        <v>4261</v>
      </c>
      <c r="E1455" s="21" t="s">
        <v>4262</v>
      </c>
      <c r="F1455" s="22" t="s">
        <v>4263</v>
      </c>
    </row>
    <row r="1456" spans="4:6" ht="12.75">
      <c r="D1456" s="20" t="s">
        <v>284</v>
      </c>
      <c r="E1456" s="21"/>
      <c r="F1456" s="22"/>
    </row>
    <row r="1457" spans="4:6" ht="12.75">
      <c r="D1457" s="20" t="s">
        <v>4264</v>
      </c>
      <c r="E1457" s="21" t="s">
        <v>4265</v>
      </c>
      <c r="F1457" s="22" t="s">
        <v>4266</v>
      </c>
    </row>
    <row r="1458" spans="4:6" ht="12.75">
      <c r="D1458" s="20" t="s">
        <v>4267</v>
      </c>
      <c r="E1458" s="21" t="s">
        <v>4268</v>
      </c>
      <c r="F1458" s="22" t="s">
        <v>4269</v>
      </c>
    </row>
    <row r="1459" spans="4:6" ht="12.75">
      <c r="D1459" s="20" t="s">
        <v>4270</v>
      </c>
      <c r="E1459" s="21" t="s">
        <v>4271</v>
      </c>
      <c r="F1459" s="22" t="s">
        <v>4272</v>
      </c>
    </row>
    <row r="1460" spans="4:6" ht="12.75">
      <c r="D1460" s="20" t="s">
        <v>4273</v>
      </c>
      <c r="E1460" s="21" t="s">
        <v>4274</v>
      </c>
      <c r="F1460" s="22" t="s">
        <v>4275</v>
      </c>
    </row>
    <row r="1461" spans="4:6" ht="12.75">
      <c r="D1461" s="20" t="s">
        <v>4276</v>
      </c>
      <c r="E1461" s="21" t="s">
        <v>4277</v>
      </c>
      <c r="F1461" s="22"/>
    </row>
    <row r="1462" spans="4:6" ht="12.75">
      <c r="D1462" s="20" t="s">
        <v>4278</v>
      </c>
      <c r="E1462" s="21" t="s">
        <v>4279</v>
      </c>
      <c r="F1462" s="22" t="s">
        <v>4280</v>
      </c>
    </row>
    <row r="1463" spans="4:6" ht="12.75">
      <c r="D1463" s="20" t="s">
        <v>4281</v>
      </c>
      <c r="E1463" s="21" t="s">
        <v>4282</v>
      </c>
      <c r="F1463" s="22" t="s">
        <v>4283</v>
      </c>
    </row>
    <row r="1464" spans="4:6" ht="12.75">
      <c r="D1464" s="20" t="s">
        <v>4284</v>
      </c>
      <c r="E1464" s="21" t="s">
        <v>4285</v>
      </c>
      <c r="F1464" s="22" t="s">
        <v>4286</v>
      </c>
    </row>
    <row r="1465" spans="4:6" ht="12.75">
      <c r="D1465" s="20" t="s">
        <v>4287</v>
      </c>
      <c r="E1465" s="21" t="s">
        <v>4288</v>
      </c>
      <c r="F1465" s="22" t="s">
        <v>4289</v>
      </c>
    </row>
    <row r="1466" spans="4:6" ht="12.75">
      <c r="D1466" s="20" t="s">
        <v>4290</v>
      </c>
      <c r="E1466" s="21" t="s">
        <v>4291</v>
      </c>
      <c r="F1466" s="22"/>
    </row>
    <row r="1467" spans="4:6" ht="12.75">
      <c r="D1467" s="20" t="s">
        <v>4292</v>
      </c>
      <c r="E1467" s="21" t="s">
        <v>4293</v>
      </c>
      <c r="F1467" s="22" t="s">
        <v>4294</v>
      </c>
    </row>
    <row r="1468" spans="4:6" ht="12.75">
      <c r="D1468" s="20" t="s">
        <v>4295</v>
      </c>
      <c r="E1468" s="21" t="s">
        <v>4296</v>
      </c>
      <c r="F1468" s="22" t="s">
        <v>4297</v>
      </c>
    </row>
    <row r="1469" spans="4:6" ht="12.75">
      <c r="D1469" s="20" t="s">
        <v>284</v>
      </c>
      <c r="E1469" s="21"/>
      <c r="F1469" s="22"/>
    </row>
    <row r="1470" spans="4:6" ht="12.75">
      <c r="D1470" s="20" t="s">
        <v>4298</v>
      </c>
      <c r="E1470" s="21" t="s">
        <v>4299</v>
      </c>
      <c r="F1470" s="22" t="s">
        <v>4300</v>
      </c>
    </row>
    <row r="1471" spans="4:6" ht="12.75">
      <c r="D1471" s="20" t="s">
        <v>4301</v>
      </c>
      <c r="E1471" s="21" t="s">
        <v>4302</v>
      </c>
      <c r="F1471" s="22" t="s">
        <v>4303</v>
      </c>
    </row>
    <row r="1472" spans="4:6" ht="12.75">
      <c r="D1472" s="20" t="s">
        <v>4304</v>
      </c>
      <c r="E1472" s="21" t="s">
        <v>4305</v>
      </c>
      <c r="F1472" s="22" t="s">
        <v>4306</v>
      </c>
    </row>
    <row r="1473" spans="4:6" ht="12.75">
      <c r="D1473" s="20" t="s">
        <v>4307</v>
      </c>
      <c r="E1473" s="21" t="s">
        <v>4308</v>
      </c>
      <c r="F1473" s="22" t="s">
        <v>4309</v>
      </c>
    </row>
    <row r="1474" spans="4:6" ht="12.75">
      <c r="D1474" s="20" t="s">
        <v>4310</v>
      </c>
      <c r="E1474" s="21" t="s">
        <v>4311</v>
      </c>
      <c r="F1474" s="22" t="s">
        <v>4312</v>
      </c>
    </row>
    <row r="1475" spans="4:6" ht="12.75">
      <c r="D1475" s="20" t="s">
        <v>4313</v>
      </c>
      <c r="E1475" s="21" t="s">
        <v>4314</v>
      </c>
      <c r="F1475" s="22" t="s">
        <v>4315</v>
      </c>
    </row>
    <row r="1476" spans="4:6" ht="12.75">
      <c r="D1476" s="20" t="s">
        <v>284</v>
      </c>
      <c r="E1476" s="21"/>
      <c r="F1476" s="22"/>
    </row>
    <row r="1477" spans="4:6" ht="12.75">
      <c r="D1477" s="20" t="s">
        <v>4316</v>
      </c>
      <c r="E1477" s="21" t="s">
        <v>4317</v>
      </c>
      <c r="F1477" s="22" t="s">
        <v>4318</v>
      </c>
    </row>
    <row r="1478" spans="4:6" ht="12.75">
      <c r="D1478" s="20" t="s">
        <v>4319</v>
      </c>
      <c r="E1478" s="21" t="s">
        <v>4320</v>
      </c>
      <c r="F1478" s="22" t="s">
        <v>4321</v>
      </c>
    </row>
    <row r="1479" spans="4:6" ht="12.75">
      <c r="D1479" s="20" t="s">
        <v>4322</v>
      </c>
      <c r="E1479" s="21" t="s">
        <v>4323</v>
      </c>
      <c r="F1479" s="22" t="s">
        <v>4324</v>
      </c>
    </row>
    <row r="1480" spans="4:6" ht="12.75">
      <c r="D1480" s="20" t="s">
        <v>4325</v>
      </c>
      <c r="E1480" s="21" t="s">
        <v>4326</v>
      </c>
      <c r="F1480" s="22" t="s">
        <v>4327</v>
      </c>
    </row>
    <row r="1481" spans="4:6" ht="12.75">
      <c r="D1481" s="20" t="s">
        <v>4328</v>
      </c>
      <c r="E1481" s="21" t="s">
        <v>4329</v>
      </c>
      <c r="F1481" s="22" t="s">
        <v>4330</v>
      </c>
    </row>
    <row r="1482" spans="4:6" ht="12.75">
      <c r="D1482" s="20" t="s">
        <v>4331</v>
      </c>
      <c r="E1482" s="21" t="s">
        <v>4332</v>
      </c>
      <c r="F1482" s="22" t="s">
        <v>4333</v>
      </c>
    </row>
    <row r="1483" spans="4:6" ht="12.75">
      <c r="D1483" s="20" t="s">
        <v>4334</v>
      </c>
      <c r="E1483" s="21" t="s">
        <v>4335</v>
      </c>
      <c r="F1483" s="22" t="s">
        <v>4336</v>
      </c>
    </row>
    <row r="1484" spans="4:6" ht="12.75">
      <c r="D1484" s="20" t="s">
        <v>4337</v>
      </c>
      <c r="E1484" s="21" t="s">
        <v>4338</v>
      </c>
      <c r="F1484" s="22" t="s">
        <v>4339</v>
      </c>
    </row>
    <row r="1485" spans="4:6" ht="12.75">
      <c r="D1485" s="20" t="s">
        <v>4340</v>
      </c>
      <c r="E1485" s="21" t="s">
        <v>4341</v>
      </c>
      <c r="F1485" s="22" t="s">
        <v>4342</v>
      </c>
    </row>
    <row r="1486" spans="4:6" ht="12.75">
      <c r="D1486" s="20" t="s">
        <v>4343</v>
      </c>
      <c r="E1486" s="22" t="s">
        <v>4344</v>
      </c>
      <c r="F1486" s="22" t="s">
        <v>4345</v>
      </c>
    </row>
    <row r="1487" spans="4:6" ht="12.75">
      <c r="D1487" s="20" t="s">
        <v>4346</v>
      </c>
      <c r="E1487" s="21" t="s">
        <v>4347</v>
      </c>
      <c r="F1487" s="22" t="s">
        <v>4348</v>
      </c>
    </row>
    <row r="1488" spans="4:6" ht="12.75">
      <c r="D1488" s="20" t="s">
        <v>4349</v>
      </c>
      <c r="E1488" s="21" t="s">
        <v>4350</v>
      </c>
      <c r="F1488" s="22" t="s">
        <v>4351</v>
      </c>
    </row>
    <row r="1489" spans="4:6" ht="12.75">
      <c r="D1489" s="20" t="s">
        <v>4352</v>
      </c>
      <c r="E1489" s="21" t="s">
        <v>4353</v>
      </c>
      <c r="F1489" s="22" t="s">
        <v>4354</v>
      </c>
    </row>
    <row r="1490" spans="4:6" ht="12.75">
      <c r="D1490" s="20" t="s">
        <v>4355</v>
      </c>
      <c r="E1490" s="21" t="s">
        <v>4356</v>
      </c>
      <c r="F1490" s="22" t="s">
        <v>4357</v>
      </c>
    </row>
    <row r="1491" spans="4:6" ht="12.75">
      <c r="D1491" s="20" t="s">
        <v>4358</v>
      </c>
      <c r="E1491" s="21" t="s">
        <v>4359</v>
      </c>
      <c r="F1491" s="22" t="s">
        <v>4360</v>
      </c>
    </row>
    <row r="1492" spans="4:6" ht="12.75">
      <c r="D1492" s="20" t="s">
        <v>4361</v>
      </c>
      <c r="E1492" s="21" t="s">
        <v>4362</v>
      </c>
      <c r="F1492" s="22" t="s">
        <v>4363</v>
      </c>
    </row>
    <row r="1493" spans="4:6" ht="12.75">
      <c r="D1493" s="20" t="s">
        <v>4364</v>
      </c>
      <c r="E1493" s="21" t="s">
        <v>4365</v>
      </c>
      <c r="F1493" s="22" t="s">
        <v>4366</v>
      </c>
    </row>
    <row r="1494" spans="4:6" ht="12.75">
      <c r="D1494" s="20" t="s">
        <v>4367</v>
      </c>
      <c r="E1494" s="21" t="s">
        <v>4368</v>
      </c>
      <c r="F1494" s="22" t="s">
        <v>4369</v>
      </c>
    </row>
    <row r="1495" spans="4:6" ht="12.75">
      <c r="D1495" s="20" t="s">
        <v>4370</v>
      </c>
      <c r="E1495" s="21" t="s">
        <v>4371</v>
      </c>
      <c r="F1495" s="22" t="s">
        <v>4372</v>
      </c>
    </row>
    <row r="1496" spans="4:6" ht="12.75">
      <c r="D1496" s="20" t="s">
        <v>4373</v>
      </c>
      <c r="E1496" s="21" t="s">
        <v>4374</v>
      </c>
      <c r="F1496" s="22" t="s">
        <v>4375</v>
      </c>
    </row>
    <row r="1497" spans="4:6" ht="12.75">
      <c r="D1497" s="20" t="s">
        <v>4376</v>
      </c>
      <c r="E1497" s="21" t="s">
        <v>4377</v>
      </c>
      <c r="F1497" s="22" t="s">
        <v>4378</v>
      </c>
    </row>
    <row r="1498" spans="4:6" ht="12.75">
      <c r="D1498" s="20" t="s">
        <v>4379</v>
      </c>
      <c r="E1498" s="21" t="s">
        <v>4380</v>
      </c>
      <c r="F1498" s="22" t="s">
        <v>4381</v>
      </c>
    </row>
    <row r="1499" spans="4:6" ht="12.75">
      <c r="D1499" s="20" t="s">
        <v>4382</v>
      </c>
      <c r="E1499" s="21" t="s">
        <v>4383</v>
      </c>
      <c r="F1499" s="22" t="s">
        <v>4384</v>
      </c>
    </row>
    <row r="1500" spans="4:6" ht="12.75">
      <c r="D1500" s="20" t="s">
        <v>4385</v>
      </c>
      <c r="E1500" s="21" t="s">
        <v>4386</v>
      </c>
      <c r="F1500" s="22" t="s">
        <v>4387</v>
      </c>
    </row>
    <row r="1501" spans="4:6" ht="12.75">
      <c r="D1501" s="20" t="s">
        <v>4388</v>
      </c>
      <c r="E1501" s="21" t="s">
        <v>4389</v>
      </c>
      <c r="F1501" s="22" t="s">
        <v>4390</v>
      </c>
    </row>
    <row r="1502" spans="4:6" ht="12.75">
      <c r="D1502" s="20" t="s">
        <v>4391</v>
      </c>
      <c r="E1502" s="21" t="s">
        <v>4392</v>
      </c>
      <c r="F1502" s="22" t="s">
        <v>4393</v>
      </c>
    </row>
    <row r="1503" spans="4:6" ht="12.75">
      <c r="D1503" s="20" t="s">
        <v>4394</v>
      </c>
      <c r="E1503" s="21" t="s">
        <v>4395</v>
      </c>
      <c r="F1503" s="22" t="s">
        <v>4396</v>
      </c>
    </row>
    <row r="1504" spans="4:6" ht="12.75">
      <c r="D1504" s="20" t="s">
        <v>4397</v>
      </c>
      <c r="E1504" s="21" t="s">
        <v>4398</v>
      </c>
      <c r="F1504" s="22" t="s">
        <v>4399</v>
      </c>
    </row>
    <row r="1505" spans="4:6" ht="12.75">
      <c r="D1505" s="20" t="s">
        <v>4400</v>
      </c>
      <c r="E1505" s="21" t="s">
        <v>4401</v>
      </c>
      <c r="F1505" s="22" t="s">
        <v>4402</v>
      </c>
    </row>
    <row r="1506" spans="4:6" ht="12.75">
      <c r="D1506" s="20" t="s">
        <v>284</v>
      </c>
      <c r="E1506" s="21"/>
      <c r="F1506" s="22"/>
    </row>
    <row r="1507" spans="4:6" ht="12.75">
      <c r="D1507" s="20" t="s">
        <v>4403</v>
      </c>
      <c r="E1507" s="21" t="s">
        <v>4404</v>
      </c>
      <c r="F1507" s="22" t="s">
        <v>4405</v>
      </c>
    </row>
    <row r="1508" spans="4:6" ht="12.75">
      <c r="D1508" s="20" t="s">
        <v>4406</v>
      </c>
      <c r="E1508" s="21" t="s">
        <v>4407</v>
      </c>
      <c r="F1508" s="22" t="s">
        <v>4408</v>
      </c>
    </row>
    <row r="1509" spans="4:6" ht="12.75">
      <c r="D1509" s="20" t="s">
        <v>4409</v>
      </c>
      <c r="E1509" s="21" t="s">
        <v>4410</v>
      </c>
      <c r="F1509" s="22" t="s">
        <v>4411</v>
      </c>
    </row>
    <row r="1510" spans="4:6" ht="12.75">
      <c r="D1510" s="20" t="s">
        <v>4412</v>
      </c>
      <c r="E1510" s="21" t="s">
        <v>4413</v>
      </c>
      <c r="F1510" s="22" t="s">
        <v>4414</v>
      </c>
    </row>
    <row r="1511" spans="4:6" ht="12.75">
      <c r="D1511" s="20" t="s">
        <v>4415</v>
      </c>
      <c r="E1511" s="21" t="s">
        <v>4416</v>
      </c>
      <c r="F1511" s="22" t="s">
        <v>4417</v>
      </c>
    </row>
    <row r="1512" spans="4:6" ht="12.75">
      <c r="D1512" s="20" t="s">
        <v>4418</v>
      </c>
      <c r="E1512" s="21" t="s">
        <v>4419</v>
      </c>
      <c r="F1512" s="22" t="s">
        <v>4420</v>
      </c>
    </row>
    <row r="1513" spans="4:6" ht="12.75">
      <c r="D1513" s="20" t="s">
        <v>4421</v>
      </c>
      <c r="E1513" s="21" t="s">
        <v>4422</v>
      </c>
      <c r="F1513" s="22" t="s">
        <v>4423</v>
      </c>
    </row>
    <row r="1514" spans="4:6" ht="12.75">
      <c r="D1514" s="20" t="s">
        <v>4424</v>
      </c>
      <c r="E1514" s="21" t="s">
        <v>4425</v>
      </c>
      <c r="F1514" s="22" t="s">
        <v>4426</v>
      </c>
    </row>
    <row r="1515" spans="4:6" ht="12.75">
      <c r="D1515" s="20" t="s">
        <v>4427</v>
      </c>
      <c r="E1515" s="21" t="s">
        <v>4428</v>
      </c>
      <c r="F1515" s="22" t="s">
        <v>4429</v>
      </c>
    </row>
    <row r="1516" spans="4:6" ht="12.75">
      <c r="D1516" s="20" t="s">
        <v>4430</v>
      </c>
      <c r="E1516" s="21" t="s">
        <v>4431</v>
      </c>
      <c r="F1516" s="22" t="s">
        <v>4432</v>
      </c>
    </row>
    <row r="1517" spans="4:6" ht="12.75">
      <c r="D1517" s="20" t="s">
        <v>4433</v>
      </c>
      <c r="E1517" s="21" t="s">
        <v>4434</v>
      </c>
      <c r="F1517" s="22" t="s">
        <v>4435</v>
      </c>
    </row>
    <row r="1518" spans="4:6" ht="12.75">
      <c r="D1518" s="20" t="s">
        <v>4436</v>
      </c>
      <c r="E1518" s="21" t="s">
        <v>4437</v>
      </c>
      <c r="F1518" s="22" t="s">
        <v>4438</v>
      </c>
    </row>
    <row r="1519" spans="4:6" ht="12.75">
      <c r="D1519" s="20" t="s">
        <v>4439</v>
      </c>
      <c r="E1519" s="21" t="s">
        <v>4440</v>
      </c>
      <c r="F1519" s="22" t="s">
        <v>4441</v>
      </c>
    </row>
    <row r="1520" spans="4:6" ht="12.75">
      <c r="D1520" s="20" t="s">
        <v>4442</v>
      </c>
      <c r="E1520" s="21" t="s">
        <v>4443</v>
      </c>
      <c r="F1520" s="22" t="s">
        <v>4444</v>
      </c>
    </row>
    <row r="1521" spans="4:6" ht="12.75">
      <c r="D1521" s="20" t="s">
        <v>4445</v>
      </c>
      <c r="E1521" s="21" t="s">
        <v>4446</v>
      </c>
      <c r="F1521" s="22" t="s">
        <v>4447</v>
      </c>
    </row>
    <row r="1522" spans="4:6" ht="12.75">
      <c r="D1522" s="20" t="s">
        <v>4448</v>
      </c>
      <c r="E1522" s="21" t="s">
        <v>4449</v>
      </c>
      <c r="F1522" s="22" t="s">
        <v>4450</v>
      </c>
    </row>
    <row r="1523" spans="4:6" ht="12.75">
      <c r="D1523" s="20" t="s">
        <v>4451</v>
      </c>
      <c r="E1523" s="21" t="s">
        <v>4452</v>
      </c>
      <c r="F1523" s="22" t="s">
        <v>4453</v>
      </c>
    </row>
    <row r="1524" spans="4:6" ht="12.75">
      <c r="D1524" s="20" t="s">
        <v>4454</v>
      </c>
      <c r="E1524" s="21" t="s">
        <v>45</v>
      </c>
      <c r="F1524" s="22" t="s">
        <v>4455</v>
      </c>
    </row>
    <row r="1525" spans="4:6" ht="12.75">
      <c r="D1525" s="20" t="s">
        <v>4456</v>
      </c>
      <c r="E1525" s="21" t="s">
        <v>4457</v>
      </c>
      <c r="F1525" s="22" t="s">
        <v>4458</v>
      </c>
    </row>
    <row r="1526" spans="4:6" ht="12.75">
      <c r="D1526" s="20" t="s">
        <v>4459</v>
      </c>
      <c r="E1526" s="21" t="s">
        <v>4460</v>
      </c>
      <c r="F1526" s="22" t="s">
        <v>4461</v>
      </c>
    </row>
    <row r="1527" spans="4:6" ht="12.75">
      <c r="D1527" s="20" t="s">
        <v>4462</v>
      </c>
      <c r="E1527" s="21" t="s">
        <v>4463</v>
      </c>
      <c r="F1527" s="22" t="s">
        <v>4464</v>
      </c>
    </row>
    <row r="1528" spans="4:6" ht="12.75">
      <c r="D1528" s="20" t="s">
        <v>4465</v>
      </c>
      <c r="E1528" s="21" t="s">
        <v>4466</v>
      </c>
      <c r="F1528" s="22" t="s">
        <v>4467</v>
      </c>
    </row>
    <row r="1529" spans="4:6" ht="12.75">
      <c r="D1529" s="20" t="s">
        <v>4468</v>
      </c>
      <c r="E1529" s="21" t="s">
        <v>4469</v>
      </c>
      <c r="F1529" s="22" t="s">
        <v>4470</v>
      </c>
    </row>
    <row r="1530" spans="4:6" ht="12.75">
      <c r="D1530" s="20" t="s">
        <v>4471</v>
      </c>
      <c r="E1530" s="21" t="s">
        <v>4472</v>
      </c>
      <c r="F1530" s="22" t="s">
        <v>4473</v>
      </c>
    </row>
    <row r="1531" spans="4:6" ht="12.75">
      <c r="D1531" s="20" t="s">
        <v>4474</v>
      </c>
      <c r="E1531" s="21" t="s">
        <v>4475</v>
      </c>
      <c r="F1531" s="22" t="s">
        <v>4476</v>
      </c>
    </row>
    <row r="1532" spans="4:6" ht="12.75">
      <c r="D1532" s="20" t="s">
        <v>4477</v>
      </c>
      <c r="E1532" s="21" t="s">
        <v>4478</v>
      </c>
      <c r="F1532" s="22" t="s">
        <v>4479</v>
      </c>
    </row>
    <row r="1533" spans="4:6" ht="12.75">
      <c r="D1533" s="20" t="s">
        <v>4480</v>
      </c>
      <c r="E1533" s="21" t="s">
        <v>4481</v>
      </c>
      <c r="F1533" s="22" t="s">
        <v>4482</v>
      </c>
    </row>
    <row r="1534" spans="4:6" ht="12.75">
      <c r="D1534" s="20" t="s">
        <v>4483</v>
      </c>
      <c r="E1534" s="21" t="s">
        <v>4484</v>
      </c>
      <c r="F1534" s="22" t="s">
        <v>4485</v>
      </c>
    </row>
    <row r="1535" spans="4:6" ht="12.75">
      <c r="D1535" s="20" t="s">
        <v>4486</v>
      </c>
      <c r="E1535" s="21" t="s">
        <v>4487</v>
      </c>
      <c r="F1535" s="22" t="s">
        <v>4488</v>
      </c>
    </row>
    <row r="1536" spans="4:6" ht="12.75">
      <c r="D1536" s="20" t="s">
        <v>4489</v>
      </c>
      <c r="E1536" s="21" t="s">
        <v>4490</v>
      </c>
      <c r="F1536" s="22" t="s">
        <v>4491</v>
      </c>
    </row>
    <row r="1537" spans="4:6" ht="12.75">
      <c r="D1537" s="20" t="s">
        <v>4492</v>
      </c>
      <c r="E1537" s="21" t="s">
        <v>4493</v>
      </c>
      <c r="F1537" s="22" t="s">
        <v>4494</v>
      </c>
    </row>
    <row r="1538" spans="4:6" ht="12.75">
      <c r="D1538" s="20" t="s">
        <v>4495</v>
      </c>
      <c r="E1538" s="21" t="s">
        <v>4496</v>
      </c>
      <c r="F1538" s="22" t="s">
        <v>4497</v>
      </c>
    </row>
    <row r="1539" spans="4:6" ht="12.75">
      <c r="D1539" s="20" t="s">
        <v>4498</v>
      </c>
      <c r="E1539" s="21" t="s">
        <v>4499</v>
      </c>
      <c r="F1539" s="22" t="s">
        <v>4500</v>
      </c>
    </row>
    <row r="1540" spans="4:6" ht="12.75">
      <c r="D1540" s="20" t="s">
        <v>4501</v>
      </c>
      <c r="E1540" s="21" t="s">
        <v>4502</v>
      </c>
      <c r="F1540" s="22" t="s">
        <v>4503</v>
      </c>
    </row>
    <row r="1541" spans="4:6" ht="12.75">
      <c r="D1541" s="20" t="s">
        <v>4504</v>
      </c>
      <c r="E1541" s="21" t="s">
        <v>4505</v>
      </c>
      <c r="F1541" s="22" t="s">
        <v>4506</v>
      </c>
    </row>
    <row r="1542" spans="4:6" ht="12.75">
      <c r="D1542" s="20" t="s">
        <v>4507</v>
      </c>
      <c r="E1542" s="21" t="s">
        <v>4508</v>
      </c>
      <c r="F1542" s="22" t="s">
        <v>4509</v>
      </c>
    </row>
    <row r="1543" spans="4:6" ht="12.75">
      <c r="D1543" s="20" t="s">
        <v>4510</v>
      </c>
      <c r="E1543" s="21" t="s">
        <v>4511</v>
      </c>
      <c r="F1543" s="22" t="s">
        <v>4512</v>
      </c>
    </row>
    <row r="1544" spans="4:6" ht="12.75">
      <c r="D1544" s="20" t="s">
        <v>4513</v>
      </c>
      <c r="E1544" s="21" t="s">
        <v>4514</v>
      </c>
      <c r="F1544" s="22" t="s">
        <v>4515</v>
      </c>
    </row>
    <row r="1545" spans="4:6" ht="12.75">
      <c r="D1545" s="20" t="s">
        <v>4516</v>
      </c>
      <c r="E1545" s="21" t="s">
        <v>4517</v>
      </c>
      <c r="F1545" s="22" t="s">
        <v>4518</v>
      </c>
    </row>
    <row r="1546" spans="4:6" ht="12.75">
      <c r="D1546" s="20" t="s">
        <v>4519</v>
      </c>
      <c r="E1546" s="21" t="s">
        <v>4520</v>
      </c>
      <c r="F1546" s="22" t="s">
        <v>4521</v>
      </c>
    </row>
    <row r="1547" spans="4:6" ht="12.75">
      <c r="D1547" s="20" t="s">
        <v>4522</v>
      </c>
      <c r="E1547" s="21" t="s">
        <v>4523</v>
      </c>
      <c r="F1547" s="22" t="s">
        <v>4524</v>
      </c>
    </row>
    <row r="1548" spans="4:6" ht="12.75">
      <c r="D1548" s="20" t="s">
        <v>4525</v>
      </c>
      <c r="E1548" s="21" t="s">
        <v>4526</v>
      </c>
      <c r="F1548" s="22" t="s">
        <v>4527</v>
      </c>
    </row>
    <row r="1549" spans="4:6" ht="12.75">
      <c r="D1549" s="20" t="s">
        <v>4528</v>
      </c>
      <c r="E1549" s="21" t="s">
        <v>4529</v>
      </c>
      <c r="F1549" s="22" t="s">
        <v>4530</v>
      </c>
    </row>
    <row r="1550" spans="4:6" ht="12.75">
      <c r="D1550" s="20" t="s">
        <v>4531</v>
      </c>
      <c r="E1550" s="21" t="s">
        <v>4532</v>
      </c>
      <c r="F1550" s="22" t="s">
        <v>4533</v>
      </c>
    </row>
    <row r="1551" spans="4:6" ht="12.75">
      <c r="D1551" s="20" t="s">
        <v>4534</v>
      </c>
      <c r="E1551" s="21" t="s">
        <v>4535</v>
      </c>
      <c r="F1551" s="22" t="s">
        <v>4536</v>
      </c>
    </row>
    <row r="1552" spans="4:6" ht="12.75">
      <c r="D1552" s="20" t="s">
        <v>4537</v>
      </c>
      <c r="E1552" s="21" t="s">
        <v>4538</v>
      </c>
      <c r="F1552" s="22" t="s">
        <v>4539</v>
      </c>
    </row>
    <row r="1553" spans="4:6" ht="12.75">
      <c r="D1553" s="20" t="s">
        <v>4540</v>
      </c>
      <c r="E1553" s="21" t="s">
        <v>4541</v>
      </c>
      <c r="F1553" s="22" t="s">
        <v>4542</v>
      </c>
    </row>
    <row r="1554" spans="4:6" ht="12.75">
      <c r="D1554" s="20" t="s">
        <v>4543</v>
      </c>
      <c r="E1554" s="21" t="s">
        <v>4544</v>
      </c>
      <c r="F1554" s="22" t="s">
        <v>4545</v>
      </c>
    </row>
    <row r="1555" spans="4:6" ht="12.75">
      <c r="D1555" s="20" t="s">
        <v>4546</v>
      </c>
      <c r="E1555" s="21" t="s">
        <v>4547</v>
      </c>
      <c r="F1555" s="22" t="s">
        <v>4548</v>
      </c>
    </row>
    <row r="1556" spans="4:6" ht="12.75">
      <c r="D1556" s="20" t="s">
        <v>4549</v>
      </c>
      <c r="E1556" s="21" t="s">
        <v>4550</v>
      </c>
      <c r="F1556" s="22" t="s">
        <v>4551</v>
      </c>
    </row>
    <row r="1557" spans="4:6" ht="12.75">
      <c r="D1557" s="20" t="s">
        <v>4552</v>
      </c>
      <c r="E1557" s="21" t="s">
        <v>4553</v>
      </c>
      <c r="F1557" s="22" t="s">
        <v>4554</v>
      </c>
    </row>
    <row r="1558" spans="4:6" ht="12.75">
      <c r="D1558" s="20" t="s">
        <v>4555</v>
      </c>
      <c r="E1558" s="21" t="s">
        <v>4556</v>
      </c>
      <c r="F1558" s="22" t="s">
        <v>4557</v>
      </c>
    </row>
    <row r="1559" spans="4:6" ht="12.75">
      <c r="D1559" s="20" t="s">
        <v>4558</v>
      </c>
      <c r="E1559" s="21" t="s">
        <v>4559</v>
      </c>
      <c r="F1559" s="22" t="s">
        <v>4560</v>
      </c>
    </row>
    <row r="1560" spans="4:6" ht="12.75">
      <c r="D1560" s="20" t="s">
        <v>4561</v>
      </c>
      <c r="E1560" s="21" t="s">
        <v>4562</v>
      </c>
      <c r="F1560" s="22" t="s">
        <v>4563</v>
      </c>
    </row>
    <row r="1561" spans="4:6" ht="12.75">
      <c r="D1561" s="20" t="s">
        <v>4564</v>
      </c>
      <c r="E1561" s="21" t="s">
        <v>4565</v>
      </c>
      <c r="F1561" s="22" t="s">
        <v>4566</v>
      </c>
    </row>
    <row r="1562" spans="4:6" ht="12.75">
      <c r="D1562" s="20" t="s">
        <v>4567</v>
      </c>
      <c r="E1562" s="21" t="s">
        <v>4568</v>
      </c>
      <c r="F1562" s="22" t="s">
        <v>4569</v>
      </c>
    </row>
    <row r="1563" spans="4:6" ht="12.75">
      <c r="D1563" s="20" t="s">
        <v>4570</v>
      </c>
      <c r="E1563" s="21" t="s">
        <v>4571</v>
      </c>
      <c r="F1563" s="22" t="s">
        <v>4572</v>
      </c>
    </row>
    <row r="1564" spans="4:6" ht="12.75">
      <c r="D1564" s="20" t="s">
        <v>4573</v>
      </c>
      <c r="E1564" s="21" t="s">
        <v>4574</v>
      </c>
      <c r="F1564" s="22" t="s">
        <v>4575</v>
      </c>
    </row>
    <row r="1565" spans="4:6" ht="12.75">
      <c r="D1565" s="20" t="s">
        <v>4576</v>
      </c>
      <c r="E1565" s="21" t="s">
        <v>4577</v>
      </c>
      <c r="F1565" s="22" t="s">
        <v>4578</v>
      </c>
    </row>
    <row r="1566" spans="4:6" ht="12.75">
      <c r="D1566" s="20" t="s">
        <v>4579</v>
      </c>
      <c r="E1566" s="21" t="s">
        <v>4580</v>
      </c>
      <c r="F1566" s="22" t="s">
        <v>4581</v>
      </c>
    </row>
    <row r="1567" spans="4:6" ht="12.75">
      <c r="D1567" s="20" t="s">
        <v>4582</v>
      </c>
      <c r="E1567" s="21" t="s">
        <v>4583</v>
      </c>
      <c r="F1567" s="22" t="s">
        <v>4584</v>
      </c>
    </row>
    <row r="1568" spans="4:6" ht="12.75">
      <c r="D1568" s="20" t="s">
        <v>4585</v>
      </c>
      <c r="E1568" s="21" t="s">
        <v>4586</v>
      </c>
      <c r="F1568" s="22" t="s">
        <v>4587</v>
      </c>
    </row>
    <row r="1569" spans="4:6" ht="12.75">
      <c r="D1569" s="20" t="s">
        <v>4588</v>
      </c>
      <c r="E1569" s="21" t="s">
        <v>4589</v>
      </c>
      <c r="F1569" s="22" t="s">
        <v>4590</v>
      </c>
    </row>
    <row r="1570" spans="4:6" ht="12.75">
      <c r="D1570" s="20" t="s">
        <v>4591</v>
      </c>
      <c r="E1570" s="21" t="s">
        <v>4592</v>
      </c>
      <c r="F1570" s="22" t="s">
        <v>4593</v>
      </c>
    </row>
    <row r="1571" spans="4:6" ht="12.75">
      <c r="D1571" s="20" t="s">
        <v>4594</v>
      </c>
      <c r="E1571" s="21" t="s">
        <v>4595</v>
      </c>
      <c r="F1571" s="22" t="s">
        <v>4596</v>
      </c>
    </row>
    <row r="1572" spans="4:6" ht="12.75">
      <c r="D1572" s="20" t="s">
        <v>4597</v>
      </c>
      <c r="E1572" s="21" t="s">
        <v>4598</v>
      </c>
      <c r="F1572" s="22" t="s">
        <v>4599</v>
      </c>
    </row>
    <row r="1573" spans="4:6" ht="12.75">
      <c r="D1573" s="20" t="s">
        <v>4600</v>
      </c>
      <c r="E1573" s="21" t="s">
        <v>4601</v>
      </c>
      <c r="F1573" s="22" t="s">
        <v>4602</v>
      </c>
    </row>
    <row r="1574" spans="4:6" ht="12.75">
      <c r="D1574" s="20" t="s">
        <v>4603</v>
      </c>
      <c r="E1574" s="21" t="s">
        <v>4604</v>
      </c>
      <c r="F1574" s="22" t="s">
        <v>4605</v>
      </c>
    </row>
    <row r="1575" spans="4:6" ht="12.75">
      <c r="D1575" s="20" t="s">
        <v>4606</v>
      </c>
      <c r="E1575" s="21" t="s">
        <v>4607</v>
      </c>
      <c r="F1575" s="22" t="s">
        <v>4608</v>
      </c>
    </row>
    <row r="1576" spans="4:6" ht="12.75">
      <c r="D1576" s="20" t="s">
        <v>4609</v>
      </c>
      <c r="E1576" s="21" t="s">
        <v>4610</v>
      </c>
      <c r="F1576" s="22" t="s">
        <v>4611</v>
      </c>
    </row>
    <row r="1577" spans="4:6" ht="12.75">
      <c r="D1577" s="20" t="s">
        <v>4612</v>
      </c>
      <c r="E1577" s="21" t="s">
        <v>4613</v>
      </c>
      <c r="F1577" s="22" t="s">
        <v>4614</v>
      </c>
    </row>
    <row r="1578" spans="4:6" ht="12.75">
      <c r="D1578" s="20" t="s">
        <v>4615</v>
      </c>
      <c r="E1578" s="21" t="s">
        <v>4616</v>
      </c>
      <c r="F1578" s="22" t="s">
        <v>4617</v>
      </c>
    </row>
    <row r="1579" spans="4:6" ht="12.75">
      <c r="D1579" s="20" t="s">
        <v>4618</v>
      </c>
      <c r="E1579" s="21" t="s">
        <v>4619</v>
      </c>
      <c r="F1579" s="22" t="s">
        <v>4620</v>
      </c>
    </row>
    <row r="1580" spans="4:6" ht="12.75">
      <c r="D1580" s="20" t="s">
        <v>4621</v>
      </c>
      <c r="E1580" s="21" t="s">
        <v>4622</v>
      </c>
      <c r="F1580" s="22" t="s">
        <v>4623</v>
      </c>
    </row>
    <row r="1581" spans="4:6" ht="12.75">
      <c r="D1581" s="20" t="s">
        <v>4624</v>
      </c>
      <c r="E1581" s="21" t="s">
        <v>4625</v>
      </c>
      <c r="F1581" s="22" t="s">
        <v>4626</v>
      </c>
    </row>
    <row r="1582" spans="4:6" ht="12.75">
      <c r="D1582" s="20" t="s">
        <v>4627</v>
      </c>
      <c r="E1582" s="21" t="s">
        <v>4628</v>
      </c>
      <c r="F1582" s="22" t="s">
        <v>4629</v>
      </c>
    </row>
    <row r="1583" spans="4:6" ht="12.75">
      <c r="D1583" s="20" t="s">
        <v>4630</v>
      </c>
      <c r="E1583" s="21" t="s">
        <v>4631</v>
      </c>
      <c r="F1583" s="22" t="s">
        <v>4632</v>
      </c>
    </row>
    <row r="1584" spans="4:6" ht="12.75">
      <c r="D1584" s="20" t="s">
        <v>4633</v>
      </c>
      <c r="E1584" s="21" t="s">
        <v>4634</v>
      </c>
      <c r="F1584" s="22" t="s">
        <v>4635</v>
      </c>
    </row>
    <row r="1585" spans="4:6" ht="12.75">
      <c r="D1585" s="20" t="s">
        <v>4636</v>
      </c>
      <c r="E1585" s="21" t="s">
        <v>4637</v>
      </c>
      <c r="F1585" s="22" t="s">
        <v>4638</v>
      </c>
    </row>
    <row r="1586" spans="4:6" ht="12.75">
      <c r="D1586" s="20" t="s">
        <v>4639</v>
      </c>
      <c r="E1586" s="21" t="s">
        <v>4640</v>
      </c>
      <c r="F1586" s="22" t="s">
        <v>4641</v>
      </c>
    </row>
    <row r="1587" spans="4:6" ht="12.75">
      <c r="D1587" s="20" t="s">
        <v>4642</v>
      </c>
      <c r="E1587" s="21" t="s">
        <v>4643</v>
      </c>
      <c r="F1587" s="22" t="s">
        <v>4644</v>
      </c>
    </row>
    <row r="1588" spans="4:6" ht="12.75">
      <c r="D1588" s="20" t="s">
        <v>4645</v>
      </c>
      <c r="E1588" s="21" t="s">
        <v>4646</v>
      </c>
      <c r="F1588" s="22" t="s">
        <v>4647</v>
      </c>
    </row>
    <row r="1589" spans="4:6" ht="12.75">
      <c r="D1589" s="20" t="s">
        <v>4648</v>
      </c>
      <c r="E1589" s="21" t="s">
        <v>4649</v>
      </c>
      <c r="F1589" s="22" t="s">
        <v>4650</v>
      </c>
    </row>
    <row r="1590" spans="4:6" ht="12.75">
      <c r="D1590" s="20" t="s">
        <v>4651</v>
      </c>
      <c r="E1590" s="21" t="s">
        <v>4652</v>
      </c>
      <c r="F1590" s="22" t="s">
        <v>4653</v>
      </c>
    </row>
    <row r="1591" spans="4:6" ht="12.75">
      <c r="D1591" s="20" t="s">
        <v>4654</v>
      </c>
      <c r="E1591" s="21" t="s">
        <v>4655</v>
      </c>
      <c r="F1591" s="22" t="s">
        <v>4656</v>
      </c>
    </row>
    <row r="1592" spans="4:6" ht="12.75">
      <c r="D1592" s="20" t="s">
        <v>4657</v>
      </c>
      <c r="E1592" s="21" t="s">
        <v>4658</v>
      </c>
      <c r="F1592" s="22" t="s">
        <v>4659</v>
      </c>
    </row>
    <row r="1593" spans="4:6" ht="12.75">
      <c r="D1593" s="20" t="s">
        <v>4660</v>
      </c>
      <c r="E1593" s="21" t="s">
        <v>4661</v>
      </c>
      <c r="F1593" s="22" t="s">
        <v>4662</v>
      </c>
    </row>
    <row r="1594" spans="4:6" ht="12.75">
      <c r="D1594" s="20" t="s">
        <v>4663</v>
      </c>
      <c r="E1594" s="21" t="s">
        <v>4664</v>
      </c>
      <c r="F1594" s="22" t="s">
        <v>4665</v>
      </c>
    </row>
    <row r="1595" spans="4:6" ht="12.75">
      <c r="D1595" s="20" t="s">
        <v>4666</v>
      </c>
      <c r="E1595" s="21" t="s">
        <v>4667</v>
      </c>
      <c r="F1595" s="22" t="s">
        <v>4668</v>
      </c>
    </row>
    <row r="1596" spans="4:6" ht="12.75">
      <c r="D1596" s="20" t="s">
        <v>4669</v>
      </c>
      <c r="E1596" s="21" t="s">
        <v>4670</v>
      </c>
      <c r="F1596" s="22" t="s">
        <v>4671</v>
      </c>
    </row>
    <row r="1597" spans="4:6" ht="12.75">
      <c r="D1597" s="20" t="s">
        <v>4672</v>
      </c>
      <c r="E1597" s="21" t="s">
        <v>4673</v>
      </c>
      <c r="F1597" s="22" t="s">
        <v>4674</v>
      </c>
    </row>
    <row r="1598" spans="4:6" ht="12.75">
      <c r="D1598" s="20" t="s">
        <v>4675</v>
      </c>
      <c r="E1598" s="21" t="s">
        <v>4676</v>
      </c>
      <c r="F1598" s="22" t="s">
        <v>4677</v>
      </c>
    </row>
    <row r="1599" spans="4:6" ht="12.75">
      <c r="D1599" s="20" t="s">
        <v>4678</v>
      </c>
      <c r="E1599" s="21" t="s">
        <v>4679</v>
      </c>
      <c r="F1599" s="25" t="s">
        <v>4680</v>
      </c>
    </row>
    <row r="1600" spans="4:6" ht="12.75">
      <c r="D1600" s="20" t="s">
        <v>4681</v>
      </c>
      <c r="E1600" s="21" t="s">
        <v>4682</v>
      </c>
      <c r="F1600" s="22" t="s">
        <v>4683</v>
      </c>
    </row>
    <row r="1601" spans="4:6" ht="12.75">
      <c r="D1601" s="20" t="s">
        <v>4684</v>
      </c>
      <c r="E1601" s="21" t="s">
        <v>58</v>
      </c>
      <c r="F1601" s="22" t="s">
        <v>4685</v>
      </c>
    </row>
    <row r="1602" spans="4:6" ht="12.75">
      <c r="D1602" s="20" t="s">
        <v>4686</v>
      </c>
      <c r="E1602" s="21" t="s">
        <v>27</v>
      </c>
      <c r="F1602" s="22" t="s">
        <v>4687</v>
      </c>
    </row>
    <row r="1603" spans="4:6" ht="12.75">
      <c r="D1603" s="20" t="s">
        <v>4688</v>
      </c>
      <c r="E1603" s="21" t="s">
        <v>4689</v>
      </c>
      <c r="F1603" s="22" t="s">
        <v>4690</v>
      </c>
    </row>
    <row r="1604" spans="4:6" ht="12.75">
      <c r="D1604" s="20" t="s">
        <v>4691</v>
      </c>
      <c r="E1604" s="21" t="s">
        <v>4692</v>
      </c>
      <c r="F1604" s="22" t="s">
        <v>4693</v>
      </c>
    </row>
    <row r="1605" spans="4:6" ht="12.75">
      <c r="D1605" s="20" t="s">
        <v>4694</v>
      </c>
      <c r="E1605" s="21" t="s">
        <v>4695</v>
      </c>
      <c r="F1605" s="22" t="s">
        <v>4696</v>
      </c>
    </row>
    <row r="1606" spans="4:6" ht="12.75">
      <c r="D1606" s="20" t="s">
        <v>4697</v>
      </c>
      <c r="E1606" s="21" t="s">
        <v>4698</v>
      </c>
      <c r="F1606" s="22" t="s">
        <v>4699</v>
      </c>
    </row>
    <row r="1607" spans="4:6" ht="12.75">
      <c r="D1607" s="20" t="s">
        <v>4700</v>
      </c>
      <c r="E1607" s="21" t="s">
        <v>4701</v>
      </c>
      <c r="F1607" s="22" t="s">
        <v>4702</v>
      </c>
    </row>
    <row r="1608" spans="4:6" ht="12.75">
      <c r="D1608" s="20" t="s">
        <v>4703</v>
      </c>
      <c r="E1608" s="21" t="s">
        <v>4704</v>
      </c>
      <c r="F1608" s="21" t="s">
        <v>4705</v>
      </c>
    </row>
    <row r="1609" spans="4:6" ht="12.75">
      <c r="D1609" s="20" t="s">
        <v>4706</v>
      </c>
      <c r="E1609" s="21" t="s">
        <v>4707</v>
      </c>
      <c r="F1609" s="22" t="s">
        <v>4708</v>
      </c>
    </row>
    <row r="1610" spans="4:6" ht="12.75">
      <c r="D1610" s="20" t="s">
        <v>4709</v>
      </c>
      <c r="E1610" s="21" t="s">
        <v>4710</v>
      </c>
      <c r="F1610" s="22" t="s">
        <v>4711</v>
      </c>
    </row>
    <row r="1611" spans="4:6" ht="12.75">
      <c r="D1611" s="20" t="s">
        <v>4712</v>
      </c>
      <c r="E1611" s="21" t="s">
        <v>4713</v>
      </c>
      <c r="F1611" s="22" t="s">
        <v>4714</v>
      </c>
    </row>
    <row r="1612" spans="4:6" ht="12.75">
      <c r="D1612" s="20" t="s">
        <v>4715</v>
      </c>
      <c r="E1612" s="21" t="s">
        <v>4716</v>
      </c>
      <c r="F1612" s="21" t="s">
        <v>4717</v>
      </c>
    </row>
    <row r="1613" spans="4:6" ht="12.75">
      <c r="D1613" s="20" t="s">
        <v>4718</v>
      </c>
      <c r="E1613" s="21" t="s">
        <v>4719</v>
      </c>
      <c r="F1613" s="22" t="s">
        <v>4720</v>
      </c>
    </row>
    <row r="1614" spans="4:6" ht="12.75">
      <c r="D1614" s="20" t="s">
        <v>4721</v>
      </c>
      <c r="E1614" s="21" t="s">
        <v>4722</v>
      </c>
      <c r="F1614" s="22" t="s">
        <v>4723</v>
      </c>
    </row>
    <row r="1615" spans="4:6" ht="12.75">
      <c r="D1615" s="20" t="s">
        <v>4724</v>
      </c>
      <c r="E1615" s="21" t="s">
        <v>4725</v>
      </c>
      <c r="F1615" s="22" t="s">
        <v>4726</v>
      </c>
    </row>
    <row r="1616" spans="4:6" ht="12.75">
      <c r="D1616" s="20" t="s">
        <v>4727</v>
      </c>
      <c r="E1616" s="21" t="s">
        <v>4728</v>
      </c>
      <c r="F1616" s="22" t="s">
        <v>4729</v>
      </c>
    </row>
    <row r="1617" spans="4:6" ht="12.75">
      <c r="D1617" s="20" t="s">
        <v>4730</v>
      </c>
      <c r="E1617" s="21" t="s">
        <v>4731</v>
      </c>
      <c r="F1617" s="22" t="s">
        <v>4732</v>
      </c>
    </row>
    <row r="1618" spans="4:6" ht="12.75">
      <c r="D1618" s="20" t="s">
        <v>4733</v>
      </c>
      <c r="E1618" s="21" t="s">
        <v>4734</v>
      </c>
      <c r="F1618" s="22" t="s">
        <v>4735</v>
      </c>
    </row>
  </sheetData>
  <hyperlinks>
    <hyperlink ref="F222" r:id="rId1" xr:uid="{00000000-0004-0000-0800-000000000000}"/>
    <hyperlink ref="F233" r:id="rId2" xr:uid="{00000000-0004-0000-0800-000001000000}"/>
    <hyperlink ref="F235" r:id="rId3" xr:uid="{00000000-0004-0000-0800-000002000000}"/>
    <hyperlink ref="F299" r:id="rId4" xr:uid="{00000000-0004-0000-0800-000003000000}"/>
    <hyperlink ref="F367" r:id="rId5" xr:uid="{00000000-0004-0000-0800-000004000000}"/>
    <hyperlink ref="F394" r:id="rId6" xr:uid="{00000000-0004-0000-0800-000005000000}"/>
    <hyperlink ref="F715" r:id="rId7" xr:uid="{00000000-0004-0000-0800-000006000000}"/>
    <hyperlink ref="F839" r:id="rId8" xr:uid="{00000000-0004-0000-0800-000007000000}"/>
    <hyperlink ref="F899" r:id="rId9" xr:uid="{00000000-0004-0000-0800-000008000000}"/>
    <hyperlink ref="F931" r:id="rId10" xr:uid="{00000000-0004-0000-0800-000009000000}"/>
    <hyperlink ref="F948" r:id="rId11" xr:uid="{00000000-0004-0000-0800-00000A000000}"/>
    <hyperlink ref="F1002" r:id="rId12" xr:uid="{00000000-0004-0000-0800-00000B000000}"/>
    <hyperlink ref="F1046" r:id="rId13" xr:uid="{00000000-0004-0000-0800-00000C000000}"/>
    <hyperlink ref="F1061" r:id="rId14" xr:uid="{00000000-0004-0000-0800-00000D000000}"/>
    <hyperlink ref="F1069" r:id="rId15" xr:uid="{00000000-0004-0000-0800-00000E000000}"/>
    <hyperlink ref="F1075" r:id="rId16" xr:uid="{00000000-0004-0000-0800-00000F000000}"/>
    <hyperlink ref="F1107" r:id="rId17" xr:uid="{00000000-0004-0000-0800-000010000000}"/>
    <hyperlink ref="F1124" r:id="rId18" xr:uid="{00000000-0004-0000-0800-000011000000}"/>
    <hyperlink ref="F1140" r:id="rId19" xr:uid="{00000000-0004-0000-0800-000012000000}"/>
    <hyperlink ref="F1150" r:id="rId20" xr:uid="{00000000-0004-0000-0800-000013000000}"/>
    <hyperlink ref="F1173" r:id="rId21" xr:uid="{00000000-0004-0000-0800-000014000000}"/>
    <hyperlink ref="F1198" r:id="rId22" xr:uid="{00000000-0004-0000-0800-000015000000}"/>
    <hyperlink ref="F1260" r:id="rId23" xr:uid="{00000000-0004-0000-0800-000016000000}"/>
    <hyperlink ref="F1599" r:id="rId24" xr:uid="{00000000-0004-0000-0800-000017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Preguntas 3 tests FINAL_v1</vt:lpstr>
      <vt:lpstr>Eval Domain Owner</vt:lpstr>
      <vt:lpstr>Eval SubDomain  SMEs</vt:lpstr>
      <vt:lpstr>NO SE QUE ES ESTE TAB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Carrandi Esmenjaud Marcelo</dc:creator>
  <cp:lastModifiedBy>Lenovo</cp:lastModifiedBy>
  <dcterms:created xsi:type="dcterms:W3CDTF">2019-05-28T18:39:45Z</dcterms:created>
  <dcterms:modified xsi:type="dcterms:W3CDTF">2021-04-07T15:52:03Z</dcterms:modified>
</cp:coreProperties>
</file>